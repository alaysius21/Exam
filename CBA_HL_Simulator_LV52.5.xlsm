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embeddings/oleObject6.bin" ContentType="application/vnd.openxmlformats-officedocument.oleObject"/>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xml" ContentType="application/vnd.openxmlformats-officedocument.drawing+xml"/>
  <Override PartName="/xl/embeddings/oleObject7.bin" ContentType="application/vnd.openxmlformats-officedocument.oleObject"/>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embeddings/oleObject8.bin" ContentType="application/vnd.openxmlformats-officedocument.oleObject"/>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8.xml" ContentType="application/vnd.openxmlformats-officedocument.drawing+xml"/>
  <Override PartName="/xl/embeddings/oleObject14.bin" ContentType="application/vnd.openxmlformats-officedocument.oleObject"/>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9.xml" ContentType="application/vnd.openxmlformats-officedocument.drawing+xml"/>
  <Override PartName="/xl/embeddings/oleObject15.bin" ContentType="application/vnd.openxmlformats-officedocument.oleObject"/>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0.xml" ContentType="application/vnd.openxmlformats-officedocument.drawing+xml"/>
  <Override PartName="/xl/embeddings/oleObject16.bin" ContentType="application/vnd.openxmlformats-officedocument.oleObject"/>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1.xml" ContentType="application/vnd.openxmlformats-officedocument.drawing+xml"/>
  <Override PartName="/xl/embeddings/oleObject17.bin" ContentType="application/vnd.openxmlformats-officedocument.oleObject"/>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2.xml" ContentType="application/vnd.openxmlformats-officedocument.drawing+xml"/>
  <Override PartName="/xl/embeddings/oleObject18.bin" ContentType="application/vnd.openxmlformats-officedocument.oleObject"/>
  <Override PartName="/xl/ctrlProps/ctrlProp47.xml" ContentType="application/vnd.ms-excel.controlproperties+xml"/>
  <Override PartName="/xl/ctrlProps/ctrlProp48.xml" ContentType="application/vnd.ms-excel.controlproperties+xml"/>
  <Override PartName="/xl/drawings/drawing13.xml" ContentType="application/vnd.openxmlformats-officedocument.drawing+xml"/>
  <Override PartName="/xl/ctrlProps/ctrlProp4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14.xml" ContentType="application/vnd.openxmlformats-officedocument.drawing+xml"/>
  <Override PartName="/xl/embeddings/oleObject19.bin" ContentType="application/vnd.openxmlformats-officedocument.oleObject"/>
  <Override PartName="/xl/ctrlProps/ctrlProp50.xml" ContentType="application/vnd.ms-excel.controlproperties+xml"/>
  <Override PartName="/xl/ctrlProps/ctrlProp5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manavpr\Desktop\taxoffset_defects\"/>
    </mc:Choice>
  </mc:AlternateContent>
  <workbookProtection workbookAlgorithmName="SHA-512" workbookHashValue="dRsJtggepytOF24/iJVSTTHa16Em2PfhuY3jXjuAT0gtO4vMshvuEhjOzRHF7jLxnzfKL9yJNMLX9UQRXzw9og==" workbookSaltValue="MjFmS0RU9U/o8lpDHoBeDA==" workbookSpinCount="100000" lockStructure="1"/>
  <bookViews>
    <workbookView showSheetTabs="0" xWindow="0" yWindow="0" windowWidth="20490" windowHeight="5550" tabRatio="830" firstSheet="1"/>
  </bookViews>
  <sheets>
    <sheet name="Menu" sheetId="1" r:id="rId1"/>
    <sheet name="User Guide" sheetId="2" r:id="rId2"/>
    <sheet name="Model" sheetId="3" r:id="rId3"/>
    <sheet name="Self Employed" sheetId="4" r:id="rId4"/>
    <sheet name="Neg Gearing" sheetId="5" r:id="rId5"/>
    <sheet name="Rental Yield" sheetId="13" r:id="rId6"/>
    <sheet name="Bridging" sheetId="9" r:id="rId7"/>
    <sheet name="Bridging Self Employed" sheetId="10" r:id="rId8"/>
    <sheet name="Bridging Neg Gearing" sheetId="11" r:id="rId9"/>
    <sheet name="Bridging Rental Yield" sheetId="14" r:id="rId10"/>
    <sheet name="Basic Loan" sheetId="6" r:id="rId11"/>
    <sheet name="YTD Income" sheetId="15" r:id="rId12"/>
    <sheet name="Data" sheetId="7" state="hidden" r:id="rId13"/>
    <sheet name="Calculations" sheetId="8" state="hidden" r:id="rId14"/>
    <sheet name="Bridging Calculations" sheetId="12" state="hidden" r:id="rId15"/>
    <sheet name="Net To Gross" sheetId="16" r:id="rId16"/>
  </sheets>
  <functionGroups builtInGroupCount="18"/>
  <definedNames>
    <definedName name="Base_products">Data!$M$11:$M$13</definedName>
    <definedName name="Boolean">Data!$A$27:$A$28</definedName>
    <definedName name="Frequencies">Data!$M$30:$M$35</definedName>
    <definedName name="Limits">Data!$M$11:$O$21</definedName>
    <definedName name="Loan_type">Data!$I$28:$I$29</definedName>
    <definedName name="_xlnm.Print_Area" localSheetId="10">'Basic Loan'!$A$1:$L$49</definedName>
    <definedName name="_xlnm.Print_Area" localSheetId="6">Bridging!$A$1:$W$80</definedName>
    <definedName name="_xlnm.Print_Area" localSheetId="8">'Bridging Neg Gearing'!$A$1:$G$48</definedName>
    <definedName name="_xlnm.Print_Area" localSheetId="7">'Bridging Self Employed'!$A$1:$H$43</definedName>
    <definedName name="_xlnm.Print_Area" localSheetId="2">Model!$A$1:$M$72</definedName>
    <definedName name="_xlnm.Print_Area" localSheetId="4">'Neg Gearing'!$A$1:$I$36</definedName>
    <definedName name="_xlnm.Print_Area" localSheetId="3">'Self Employed'!$A$1:$M$86</definedName>
    <definedName name="_xlnm.Print_Area" localSheetId="1">'User Guide'!$A$1:$O$145</definedName>
    <definedName name="Products">Data!$I$11:$I$24</definedName>
    <definedName name="Proposed">Data!$M$11:$M$14</definedName>
    <definedName name="Residual">Data!$I$11:$I$16</definedName>
    <definedName name="Table">Data!$I$11:$K$24</definedName>
    <definedName name="Z_47743E36_E3F1_4AC8_AB28_1C3AD83F86F4_.wvu.Cols" localSheetId="4" hidden="1">'Neg Gearing'!#REF!</definedName>
    <definedName name="Z_47743E36_E3F1_4AC8_AB28_1C3AD83F86F4_.wvu.Cols" localSheetId="3" hidden="1">'Self Employed'!$O:$P</definedName>
    <definedName name="Z_47743E36_E3F1_4AC8_AB28_1C3AD83F86F4_.wvu.PrintArea" localSheetId="10" hidden="1">'Basic Loan'!$A$1:$L$49</definedName>
    <definedName name="Z_47743E36_E3F1_4AC8_AB28_1C3AD83F86F4_.wvu.PrintArea" localSheetId="2" hidden="1">Model!$A$1:$M$72</definedName>
    <definedName name="Z_47743E36_E3F1_4AC8_AB28_1C3AD83F86F4_.wvu.PrintArea" localSheetId="4" hidden="1">'Neg Gearing'!$A$1:$I$36</definedName>
    <definedName name="Z_47743E36_E3F1_4AC8_AB28_1C3AD83F86F4_.wvu.PrintArea" localSheetId="3" hidden="1">'Self Employed'!$A$1:$M$86</definedName>
    <definedName name="Z_47743E36_E3F1_4AC8_AB28_1C3AD83F86F4_.wvu.PrintArea" localSheetId="1" hidden="1">'User Guide'!$A$1:$O$145</definedName>
    <definedName name="Z_878686E5_D823_11D7_9EB6_0000F6FFAA54_.wvu.Cols" localSheetId="2" hidden="1">Model!#REF!</definedName>
    <definedName name="Z_878686E5_D823_11D7_9EB6_0000F6FFAA54_.wvu.Cols" localSheetId="4" hidden="1">'Neg Gearing'!#REF!</definedName>
    <definedName name="Z_878686E5_D823_11D7_9EB6_0000F6FFAA54_.wvu.Cols" localSheetId="3" hidden="1">'Self Employed'!$O:$P</definedName>
    <definedName name="Z_878686E5_D823_11D7_9EB6_0000F6FFAA54_.wvu.PrintArea" localSheetId="10" hidden="1">'Basic Loan'!$A$1:$L$49</definedName>
    <definedName name="Z_878686E5_D823_11D7_9EB6_0000F6FFAA54_.wvu.PrintArea" localSheetId="2" hidden="1">Model!$A$1:$M$72</definedName>
    <definedName name="Z_878686E5_D823_11D7_9EB6_0000F6FFAA54_.wvu.PrintArea" localSheetId="4" hidden="1">'Neg Gearing'!$A$1:$I$36</definedName>
    <definedName name="Z_878686E5_D823_11D7_9EB6_0000F6FFAA54_.wvu.PrintArea" localSheetId="3" hidden="1">'Self Employed'!$A$1:$M$86</definedName>
    <definedName name="Z_878686E5_D823_11D7_9EB6_0000F6FFAA54_.wvu.PrintArea" localSheetId="1" hidden="1">'User Guide'!$A$1:$O$145</definedName>
    <definedName name="Z_878686E5_D823_11D7_9EB6_0000F6FFAA54_.wvu.Rows" localSheetId="13" hidden="1">Calculations!$52:$65545,Calculations!$1:$49</definedName>
    <definedName name="Z_878686E5_D823_11D7_9EB6_0000F6FFAA54_.wvu.Rows" localSheetId="12" hidden="1">Data!$29:$65540,Data!$1:$22</definedName>
  </definedNames>
  <calcPr calcId="162913"/>
  <customWorkbookViews>
    <customWorkbookView name="bensleph - Personal View" guid="{47743E36-E3F1-4AC8-AB28-1C3AD83F86F4}" mergeInterval="0" personalView="1" maximized="1" showSheetTabs="0" windowWidth="796" windowHeight="461" activeSheetId="1"/>
    <customWorkbookView name="Philip Bensley - Personal View" guid="{878686E5-D823-11D7-9EB6-0000F6FFAA54}" mergeInterval="0" personalView="1" maximized="1" showSheetTabs="0" windowWidth="796" windowHeight="464" activeSheetId="3"/>
  </customWorkbookViews>
</workbook>
</file>

<file path=xl/calcChain.xml><?xml version="1.0" encoding="utf-8"?>
<calcChain xmlns="http://schemas.openxmlformats.org/spreadsheetml/2006/main">
  <c r="L43" i="7" l="1"/>
  <c r="J40" i="7"/>
  <c r="J41" i="7"/>
  <c r="J42" i="7"/>
  <c r="J43" i="7"/>
  <c r="J44" i="7"/>
  <c r="J45" i="7"/>
  <c r="G17" i="9" l="1"/>
  <c r="I17" i="9"/>
  <c r="I30" i="9" l="1"/>
  <c r="Q37" i="7" l="1"/>
  <c r="Q36" i="7"/>
  <c r="Q35" i="7"/>
  <c r="Q34" i="7"/>
  <c r="Q33" i="7"/>
  <c r="Q32" i="7"/>
  <c r="Q31" i="7"/>
  <c r="Q30" i="7"/>
  <c r="Q29" i="7"/>
  <c r="Q28" i="7"/>
  <c r="Q27" i="7"/>
  <c r="Q26" i="7"/>
  <c r="Q25" i="7"/>
  <c r="Q24" i="7"/>
  <c r="G30" i="9" l="1"/>
  <c r="P2" i="9"/>
  <c r="P1" i="9"/>
  <c r="P2" i="3"/>
  <c r="P1" i="3"/>
  <c r="O19" i="12" l="1"/>
  <c r="O18" i="12"/>
  <c r="O17" i="12"/>
  <c r="O16" i="12"/>
  <c r="O15" i="12"/>
  <c r="P16" i="12" l="1"/>
  <c r="L67" i="9" s="1"/>
  <c r="P17" i="12"/>
  <c r="L68" i="9" s="1"/>
  <c r="P18" i="12"/>
  <c r="L69" i="9" s="1"/>
  <c r="P15" i="12"/>
  <c r="L66" i="9" s="1"/>
  <c r="P19" i="12"/>
  <c r="L70" i="9" s="1"/>
  <c r="K51" i="9"/>
  <c r="Z15" i="8" l="1"/>
  <c r="Z14" i="8" s="1"/>
  <c r="Z2" i="8"/>
  <c r="Z1" i="8" s="1"/>
  <c r="O9" i="12" l="1"/>
  <c r="O8" i="12"/>
  <c r="O7" i="12"/>
  <c r="O6" i="12"/>
  <c r="O5" i="12"/>
  <c r="O4" i="12"/>
  <c r="O3" i="12"/>
  <c r="P7" i="12" l="1"/>
  <c r="L43" i="9" s="1"/>
  <c r="P6" i="12"/>
  <c r="L42" i="9" s="1"/>
  <c r="P4" i="12"/>
  <c r="L40" i="9" s="1"/>
  <c r="P8" i="12"/>
  <c r="L44" i="9" s="1"/>
  <c r="P3" i="12"/>
  <c r="L39" i="9" s="1"/>
  <c r="P5" i="12"/>
  <c r="L41" i="9" s="1"/>
  <c r="P9" i="12"/>
  <c r="L45" i="9" s="1"/>
  <c r="S9" i="12"/>
  <c r="S8" i="12"/>
  <c r="S7" i="12"/>
  <c r="S6" i="12"/>
  <c r="S5" i="12"/>
  <c r="S4" i="12"/>
  <c r="S3" i="12"/>
  <c r="E66" i="3"/>
  <c r="B35" i="12" l="1" a="1"/>
  <c r="B35" i="12" s="1"/>
  <c r="K53" i="9"/>
  <c r="K54" i="9" a="1"/>
  <c r="K54" i="9" s="1"/>
  <c r="L30" i="3"/>
  <c r="L23" i="3"/>
  <c r="Q50" i="9" l="1" a="1"/>
  <c r="Q50" i="9" s="1"/>
  <c r="Q51" i="9" a="1"/>
  <c r="Q51" i="9" s="1"/>
  <c r="K30" i="9"/>
  <c r="K23" i="9"/>
  <c r="G16" i="9"/>
  <c r="L30" i="9" l="1"/>
  <c r="K9" i="3" l="1"/>
  <c r="J9" i="3" l="1"/>
  <c r="I9" i="3"/>
  <c r="J8" i="9" l="1"/>
  <c r="K8" i="9"/>
  <c r="L8" i="9"/>
  <c r="I16" i="9"/>
  <c r="L16" i="3" l="1"/>
  <c r="K7" i="3" s="1"/>
  <c r="V3" i="8" l="1"/>
  <c r="Y5" i="12"/>
  <c r="X5" i="12"/>
  <c r="L29" i="12"/>
  <c r="M29" i="12" s="1"/>
  <c r="I29" i="12"/>
  <c r="J29" i="12" s="1"/>
  <c r="E29" i="12"/>
  <c r="F29" i="12" s="1"/>
  <c r="B29" i="12"/>
  <c r="C29" i="12" s="1"/>
  <c r="N31" i="8"/>
  <c r="O31" i="8" s="1"/>
  <c r="J31" i="8"/>
  <c r="K31" i="8" s="1"/>
  <c r="F31" i="8"/>
  <c r="G31" i="8" s="1"/>
  <c r="B31" i="8"/>
  <c r="C31" i="8" s="1"/>
  <c r="K16" i="9" l="1"/>
  <c r="J6" i="9" s="1"/>
  <c r="AE5" i="12"/>
  <c r="AF5" i="12"/>
  <c r="F23" i="16" l="1"/>
  <c r="E23" i="16"/>
  <c r="D23" i="16"/>
  <c r="T49" i="8" l="1"/>
  <c r="U49" i="8"/>
  <c r="V49" i="8"/>
  <c r="S49" i="8"/>
  <c r="T48" i="8" l="1"/>
  <c r="U48" i="8"/>
  <c r="V48" i="8"/>
  <c r="S48" i="8"/>
  <c r="M45" i="7" l="1"/>
  <c r="K45" i="7"/>
  <c r="I45" i="7"/>
  <c r="M44" i="7"/>
  <c r="K44" i="7"/>
  <c r="I44" i="7"/>
  <c r="M43" i="7"/>
  <c r="K43" i="7"/>
  <c r="I43" i="7"/>
  <c r="M42" i="7"/>
  <c r="K42" i="7"/>
  <c r="I42" i="7"/>
  <c r="M41" i="7"/>
  <c r="K41" i="7"/>
  <c r="I41" i="7"/>
  <c r="K40" i="7"/>
  <c r="I40" i="7"/>
  <c r="F24" i="16" l="1"/>
  <c r="F25" i="16" s="1"/>
  <c r="F26" i="16" s="1"/>
  <c r="E24" i="16"/>
  <c r="E25" i="16" s="1"/>
  <c r="E26" i="16" s="1"/>
  <c r="D24" i="16"/>
  <c r="D25" i="16" s="1"/>
  <c r="D26" i="16" s="1"/>
  <c r="C24" i="16"/>
  <c r="C25" i="16" s="1"/>
  <c r="C26" i="16" s="1"/>
  <c r="J13" i="6" l="1"/>
  <c r="H13" i="6"/>
  <c r="F13" i="6"/>
  <c r="E5" i="15" l="1"/>
  <c r="C9" i="15" s="1"/>
  <c r="C10" i="15" l="1"/>
  <c r="O45" i="9"/>
  <c r="T14" i="8"/>
  <c r="T13" i="8"/>
  <c r="T12" i="8"/>
  <c r="T11" i="8"/>
  <c r="T10" i="8"/>
  <c r="T9" i="8"/>
  <c r="T8" i="8"/>
  <c r="U14" i="8" l="1"/>
  <c r="X14" i="8" s="1"/>
  <c r="U13" i="8"/>
  <c r="S13" i="8" s="1"/>
  <c r="U10" i="8"/>
  <c r="S10" i="8" s="1"/>
  <c r="U11" i="8"/>
  <c r="X11" i="8" s="1"/>
  <c r="U9" i="8"/>
  <c r="S9" i="8" s="1"/>
  <c r="U12" i="8"/>
  <c r="S12" i="8" s="1"/>
  <c r="U8" i="8"/>
  <c r="X8" i="8" s="1"/>
  <c r="T15" i="8"/>
  <c r="O40" i="3"/>
  <c r="O44" i="3"/>
  <c r="O45" i="3"/>
  <c r="O42" i="3"/>
  <c r="O43" i="3"/>
  <c r="O41" i="3" l="1"/>
  <c r="X13" i="8"/>
  <c r="S11" i="8"/>
  <c r="X10" i="8"/>
  <c r="X9" i="8"/>
  <c r="O39" i="3"/>
  <c r="X12" i="8"/>
  <c r="S14" i="8"/>
  <c r="S8" i="8"/>
  <c r="O49" i="12"/>
  <c r="O48" i="12"/>
  <c r="O47" i="12"/>
  <c r="O46" i="12"/>
  <c r="O23" i="14" s="1"/>
  <c r="O45" i="12"/>
  <c r="O44" i="12"/>
  <c r="O43" i="12"/>
  <c r="O42" i="12"/>
  <c r="O19" i="14" s="1"/>
  <c r="O41" i="12"/>
  <c r="O40" i="12"/>
  <c r="O40" i="14"/>
  <c r="O41" i="14"/>
  <c r="O42" i="14"/>
  <c r="O43" i="14"/>
  <c r="O44" i="14"/>
  <c r="O45" i="14"/>
  <c r="O46" i="14"/>
  <c r="O47" i="14"/>
  <c r="O48" i="14"/>
  <c r="O49" i="14"/>
  <c r="O46" i="3" l="1"/>
  <c r="B51" i="8" a="1"/>
  <c r="B51" i="8" s="1"/>
  <c r="P47" i="12"/>
  <c r="K24" i="14" s="1"/>
  <c r="L24" i="14" s="1"/>
  <c r="C47" i="14" s="1"/>
  <c r="E47" i="14" s="1"/>
  <c r="O24" i="14"/>
  <c r="P40" i="12"/>
  <c r="J17" i="14" s="1"/>
  <c r="O17" i="14"/>
  <c r="P44" i="12"/>
  <c r="K21" i="14" s="1"/>
  <c r="L21" i="14" s="1"/>
  <c r="C44" i="14" s="1"/>
  <c r="E44" i="14" s="1"/>
  <c r="O21" i="14"/>
  <c r="P48" i="12"/>
  <c r="J25" i="14" s="1"/>
  <c r="O25" i="14"/>
  <c r="P43" i="12"/>
  <c r="K20" i="14" s="1"/>
  <c r="L20" i="14" s="1"/>
  <c r="C43" i="14" s="1"/>
  <c r="E43" i="14" s="1"/>
  <c r="O20" i="14"/>
  <c r="P41" i="12"/>
  <c r="K18" i="14" s="1"/>
  <c r="L18" i="14" s="1"/>
  <c r="C41" i="14" s="1"/>
  <c r="E41" i="14" s="1"/>
  <c r="O18" i="14"/>
  <c r="P45" i="12"/>
  <c r="J22" i="14" s="1"/>
  <c r="O22" i="14"/>
  <c r="P49" i="12"/>
  <c r="J26" i="14" s="1"/>
  <c r="O26" i="14"/>
  <c r="J24" i="14"/>
  <c r="P42" i="12"/>
  <c r="P46" i="12"/>
  <c r="K23" i="14" s="1"/>
  <c r="J21" i="14" l="1"/>
  <c r="J20" i="14"/>
  <c r="K26" i="14"/>
  <c r="L26" i="14" s="1"/>
  <c r="C49" i="14" s="1"/>
  <c r="E49" i="14" s="1"/>
  <c r="K22" i="14"/>
  <c r="L22" i="14" s="1"/>
  <c r="C45" i="14" s="1"/>
  <c r="E45" i="14" s="1"/>
  <c r="J18" i="14"/>
  <c r="K25" i="14"/>
  <c r="L25" i="14" s="1"/>
  <c r="C48" i="14" s="1"/>
  <c r="E48" i="14" s="1"/>
  <c r="K17" i="14"/>
  <c r="L17" i="14" s="1"/>
  <c r="C40" i="14" s="1"/>
  <c r="E40" i="14" s="1"/>
  <c r="L23" i="14"/>
  <c r="C46" i="14" s="1"/>
  <c r="E46" i="14" s="1"/>
  <c r="J23" i="14"/>
  <c r="J19" i="14"/>
  <c r="K19" i="14"/>
  <c r="L19" i="14" s="1"/>
  <c r="C42" i="14" s="1"/>
  <c r="E42" i="14" s="1"/>
  <c r="J63" i="8" l="1"/>
  <c r="J62" i="8"/>
  <c r="J61" i="8"/>
  <c r="J60" i="8"/>
  <c r="J59" i="8"/>
  <c r="J58" i="8"/>
  <c r="J57" i="8"/>
  <c r="J56" i="8"/>
  <c r="J55" i="8"/>
  <c r="J54" i="8"/>
  <c r="N40" i="13"/>
  <c r="N41" i="13"/>
  <c r="N42" i="13"/>
  <c r="N43" i="13"/>
  <c r="N44" i="13"/>
  <c r="N45" i="13"/>
  <c r="N46" i="13"/>
  <c r="N47" i="13"/>
  <c r="N48" i="13"/>
  <c r="N49" i="13"/>
  <c r="K63" i="8" l="1"/>
  <c r="J26" i="13" s="1"/>
  <c r="K26" i="13" s="1"/>
  <c r="C49" i="13" s="1"/>
  <c r="E49" i="13" s="1"/>
  <c r="K62" i="8"/>
  <c r="I25" i="13" s="1"/>
  <c r="K61" i="8"/>
  <c r="I24" i="13" s="1"/>
  <c r="N23" i="13"/>
  <c r="K59" i="8"/>
  <c r="I22" i="13" s="1"/>
  <c r="K58" i="8"/>
  <c r="J21" i="13" s="1"/>
  <c r="K21" i="13" s="1"/>
  <c r="C44" i="13" s="1"/>
  <c r="E44" i="13" s="1"/>
  <c r="K57" i="8"/>
  <c r="J20" i="13" s="1"/>
  <c r="K20" i="13" s="1"/>
  <c r="C43" i="13" s="1"/>
  <c r="E43" i="13" s="1"/>
  <c r="N19" i="13"/>
  <c r="K55" i="8"/>
  <c r="J18" i="13" s="1"/>
  <c r="K18" i="13" s="1"/>
  <c r="K54" i="8"/>
  <c r="I17" i="13" s="1"/>
  <c r="N26" i="13"/>
  <c r="N24" i="13"/>
  <c r="N22" i="13"/>
  <c r="N20" i="13"/>
  <c r="N18" i="13"/>
  <c r="N25" i="13"/>
  <c r="N21" i="13"/>
  <c r="N17" i="13"/>
  <c r="K56" i="8"/>
  <c r="K60" i="8"/>
  <c r="O39" i="12"/>
  <c r="O38" i="12"/>
  <c r="O37" i="12"/>
  <c r="O36" i="12"/>
  <c r="O35" i="12"/>
  <c r="O34" i="12"/>
  <c r="O33" i="12"/>
  <c r="O32" i="12"/>
  <c r="O31" i="12"/>
  <c r="O30" i="12"/>
  <c r="O39" i="14"/>
  <c r="O38" i="14"/>
  <c r="O37" i="14"/>
  <c r="O36" i="14"/>
  <c r="O35" i="14"/>
  <c r="O34" i="14"/>
  <c r="O33" i="14"/>
  <c r="O32" i="14"/>
  <c r="O31" i="14"/>
  <c r="O30" i="14"/>
  <c r="J45" i="8"/>
  <c r="N8" i="13" s="1"/>
  <c r="J46" i="8"/>
  <c r="K46" i="8" s="1"/>
  <c r="J47" i="8"/>
  <c r="K47" i="8" s="1"/>
  <c r="J48" i="8"/>
  <c r="J49" i="8"/>
  <c r="N12" i="13" s="1"/>
  <c r="J50" i="8"/>
  <c r="J51" i="8"/>
  <c r="K51" i="8" s="1"/>
  <c r="J52" i="8"/>
  <c r="J53" i="8"/>
  <c r="N16" i="13" s="1"/>
  <c r="J44" i="8"/>
  <c r="N39" i="13"/>
  <c r="N38" i="13"/>
  <c r="N37" i="13"/>
  <c r="N36" i="13"/>
  <c r="N35" i="13"/>
  <c r="N34" i="13"/>
  <c r="N33" i="13"/>
  <c r="N32" i="13"/>
  <c r="N31" i="13"/>
  <c r="N30" i="13"/>
  <c r="I26" i="13" l="1"/>
  <c r="J24" i="13"/>
  <c r="K24" i="13" s="1"/>
  <c r="C47" i="13" s="1"/>
  <c r="E47" i="13" s="1"/>
  <c r="I20" i="13"/>
  <c r="P36" i="12"/>
  <c r="O13" i="14"/>
  <c r="P33" i="12"/>
  <c r="J10" i="14" s="1"/>
  <c r="O10" i="14"/>
  <c r="P34" i="12"/>
  <c r="O11" i="14"/>
  <c r="P38" i="12"/>
  <c r="K15" i="14" s="1"/>
  <c r="O15" i="14"/>
  <c r="P37" i="12"/>
  <c r="J14" i="14" s="1"/>
  <c r="O14" i="14"/>
  <c r="P35" i="12"/>
  <c r="K12" i="14" s="1"/>
  <c r="O12" i="14"/>
  <c r="P39" i="12"/>
  <c r="J16" i="14" s="1"/>
  <c r="O16" i="14"/>
  <c r="P32" i="12"/>
  <c r="J9" i="14" s="1"/>
  <c r="O9" i="14"/>
  <c r="P31" i="12"/>
  <c r="K8" i="14" s="1"/>
  <c r="L8" i="14" s="1"/>
  <c r="C31" i="14" s="1"/>
  <c r="E31" i="14" s="1"/>
  <c r="O8" i="14"/>
  <c r="N7" i="13"/>
  <c r="J64" i="8"/>
  <c r="P30" i="12"/>
  <c r="O50" i="12"/>
  <c r="J25" i="13"/>
  <c r="K25" i="13" s="1"/>
  <c r="C48" i="13" s="1"/>
  <c r="E48" i="13" s="1"/>
  <c r="J22" i="13"/>
  <c r="K22" i="13" s="1"/>
  <c r="C45" i="13" s="1"/>
  <c r="E45" i="13" s="1"/>
  <c r="I18" i="13"/>
  <c r="C41" i="13"/>
  <c r="E41" i="13" s="1"/>
  <c r="J17" i="13"/>
  <c r="K17" i="13" s="1"/>
  <c r="C40" i="13" s="1"/>
  <c r="E40" i="13" s="1"/>
  <c r="J23" i="13"/>
  <c r="K23" i="13" s="1"/>
  <c r="C46" i="13" s="1"/>
  <c r="E46" i="13" s="1"/>
  <c r="I23" i="13"/>
  <c r="I21" i="13"/>
  <c r="I19" i="13"/>
  <c r="J19" i="13"/>
  <c r="K19" i="13" s="1"/>
  <c r="C42" i="13" s="1"/>
  <c r="E42" i="13" s="1"/>
  <c r="J9" i="13"/>
  <c r="K9" i="13" s="1"/>
  <c r="C32" i="13" s="1"/>
  <c r="E32" i="13" s="1"/>
  <c r="K48" i="8"/>
  <c r="J11" i="13" s="1"/>
  <c r="K50" i="8"/>
  <c r="N15" i="13"/>
  <c r="K52" i="8"/>
  <c r="I15" i="13" s="1"/>
  <c r="N11" i="13"/>
  <c r="I14" i="13"/>
  <c r="I10" i="13"/>
  <c r="K45" i="8"/>
  <c r="K49" i="8"/>
  <c r="K53" i="8"/>
  <c r="J10" i="13"/>
  <c r="K10" i="13" s="1"/>
  <c r="C33" i="13" s="1"/>
  <c r="E33" i="13" s="1"/>
  <c r="J14" i="13"/>
  <c r="K14" i="13" s="1"/>
  <c r="C37" i="13" s="1"/>
  <c r="E37" i="13" s="1"/>
  <c r="N14" i="13"/>
  <c r="N10" i="13"/>
  <c r="N13" i="13"/>
  <c r="N9" i="13"/>
  <c r="I9" i="13"/>
  <c r="O7" i="14"/>
  <c r="K44" i="8"/>
  <c r="J12" i="14" l="1"/>
  <c r="J15" i="14"/>
  <c r="K9" i="14"/>
  <c r="L9" i="14" s="1"/>
  <c r="C32" i="14" s="1"/>
  <c r="E32" i="14" s="1"/>
  <c r="L12" i="14"/>
  <c r="C35" i="14" s="1"/>
  <c r="E35" i="14" s="1"/>
  <c r="J8" i="14"/>
  <c r="K16" i="14"/>
  <c r="L16" i="14" s="1"/>
  <c r="C39" i="14" s="1"/>
  <c r="E39" i="14" s="1"/>
  <c r="K13" i="14"/>
  <c r="L13" i="14" s="1"/>
  <c r="C36" i="14" s="1"/>
  <c r="E36" i="14" s="1"/>
  <c r="K14" i="14"/>
  <c r="L14" i="14" s="1"/>
  <c r="C37" i="14" s="1"/>
  <c r="E37" i="14" s="1"/>
  <c r="J13" i="14"/>
  <c r="J11" i="14"/>
  <c r="K11" i="14"/>
  <c r="L11" i="14" s="1"/>
  <c r="C34" i="14" s="1"/>
  <c r="E34" i="14" s="1"/>
  <c r="L15" i="14"/>
  <c r="C38" i="14" s="1"/>
  <c r="E38" i="14" s="1"/>
  <c r="K10" i="14"/>
  <c r="L10" i="14" s="1"/>
  <c r="C33" i="14" s="1"/>
  <c r="E33" i="14" s="1"/>
  <c r="P50" i="12"/>
  <c r="J7" i="14"/>
  <c r="K7" i="14"/>
  <c r="L7" i="14" s="1"/>
  <c r="C30" i="14" s="1"/>
  <c r="K64" i="8"/>
  <c r="J12" i="13"/>
  <c r="K12" i="13" s="1"/>
  <c r="C35" i="13" s="1"/>
  <c r="E35" i="13" s="1"/>
  <c r="J15" i="13"/>
  <c r="K15" i="13" s="1"/>
  <c r="C38" i="13" s="1"/>
  <c r="E38" i="13" s="1"/>
  <c r="J13" i="13"/>
  <c r="K13" i="13" s="1"/>
  <c r="C36" i="13" s="1"/>
  <c r="E36" i="13" s="1"/>
  <c r="I8" i="13"/>
  <c r="J8" i="13"/>
  <c r="K8" i="13" s="1"/>
  <c r="C31" i="13" s="1"/>
  <c r="E31" i="13" s="1"/>
  <c r="K11" i="13"/>
  <c r="C34" i="13" s="1"/>
  <c r="E34" i="13" s="1"/>
  <c r="I13" i="13"/>
  <c r="I11" i="13"/>
  <c r="I16" i="13"/>
  <c r="J16" i="13"/>
  <c r="K16" i="13" s="1"/>
  <c r="C39" i="13" s="1"/>
  <c r="E39" i="13" s="1"/>
  <c r="I12" i="13"/>
  <c r="J7" i="13"/>
  <c r="K7" i="13" s="1"/>
  <c r="C30" i="13" s="1"/>
  <c r="I7" i="13"/>
  <c r="W12" i="12" l="1" a="1"/>
  <c r="W12" i="12" s="1"/>
  <c r="V12" i="12" a="1"/>
  <c r="V12" i="12" s="1"/>
  <c r="S2" i="8" a="1"/>
  <c r="S2" i="8" s="1"/>
  <c r="E30" i="14"/>
  <c r="E30" i="13"/>
  <c r="S3" i="8" s="1" a="1"/>
  <c r="S3" i="8" s="1"/>
  <c r="G55" i="14" l="1" a="1"/>
  <c r="G55" i="14" s="1"/>
  <c r="H21" i="9" s="1"/>
  <c r="G60" i="14" a="1"/>
  <c r="G60" i="14" s="1"/>
  <c r="I20" i="9" s="1"/>
  <c r="G54" i="14" a="1"/>
  <c r="G54" i="14" s="1"/>
  <c r="H20" i="9" s="1"/>
  <c r="G61" i="14" a="1"/>
  <c r="G61" i="14" s="1"/>
  <c r="I21" i="9" s="1"/>
  <c r="W13" i="12" a="1"/>
  <c r="W13" i="12" s="1"/>
  <c r="F61" i="14" a="1"/>
  <c r="F61" i="14" s="1"/>
  <c r="G21" i="9" s="1"/>
  <c r="F60" i="14" a="1"/>
  <c r="F60" i="14" s="1"/>
  <c r="G20" i="9" s="1"/>
  <c r="V13" i="12" a="1"/>
  <c r="V13" i="12" s="1"/>
  <c r="F54" i="14" a="1"/>
  <c r="F54" i="14" s="1"/>
  <c r="F20" i="9" s="1"/>
  <c r="F55" i="14" a="1"/>
  <c r="F55" i="14" s="1"/>
  <c r="F21" i="9" s="1"/>
  <c r="G55" i="13" a="1"/>
  <c r="G55" i="13" s="1"/>
  <c r="H21" i="3" s="1"/>
  <c r="I55" i="13" a="1"/>
  <c r="I55" i="13" s="1"/>
  <c r="J21" i="3" s="1"/>
  <c r="H55" i="13" a="1"/>
  <c r="H55" i="13" s="1"/>
  <c r="I21" i="3" s="1"/>
  <c r="H54" i="13" a="1"/>
  <c r="H54" i="13" s="1"/>
  <c r="I20" i="3" s="1"/>
  <c r="G54" i="13" a="1"/>
  <c r="G54" i="13" s="1"/>
  <c r="H20" i="3" s="1"/>
  <c r="I54" i="13" a="1"/>
  <c r="I54" i="13" s="1"/>
  <c r="J20" i="3" s="1"/>
  <c r="F55" i="13" a="1"/>
  <c r="F55" i="13" s="1"/>
  <c r="G21" i="3" s="1"/>
  <c r="F54" i="13" a="1"/>
  <c r="F54" i="13" s="1"/>
  <c r="G20" i="3" s="1"/>
  <c r="Q19" i="7"/>
  <c r="Q18" i="7"/>
  <c r="Q17" i="7"/>
  <c r="Q16" i="7"/>
  <c r="Q15" i="7"/>
  <c r="Q14" i="7"/>
  <c r="Q13" i="7"/>
  <c r="Q12" i="7"/>
  <c r="Q11" i="7"/>
  <c r="Q10" i="7"/>
  <c r="Q9" i="7"/>
  <c r="Q8" i="7"/>
  <c r="Q7" i="7"/>
  <c r="Q6" i="7"/>
  <c r="Q5" i="7"/>
  <c r="Q4" i="7"/>
  <c r="K20" i="9" l="1"/>
  <c r="K21" i="9"/>
  <c r="L20" i="9"/>
  <c r="L21" i="9"/>
  <c r="L21" i="3"/>
  <c r="L20" i="3"/>
  <c r="AD7" i="12" l="1"/>
  <c r="AE7" i="12"/>
  <c r="AF7" i="12"/>
  <c r="AC7" i="12"/>
  <c r="AD4" i="12"/>
  <c r="AE4" i="12"/>
  <c r="AF4" i="12"/>
  <c r="AC4" i="12"/>
  <c r="AD3" i="12"/>
  <c r="AE3" i="12"/>
  <c r="AE6" i="12" s="1"/>
  <c r="AF3" i="12"/>
  <c r="AC3" i="12"/>
  <c r="K22" i="9"/>
  <c r="K19" i="9"/>
  <c r="K18" i="9"/>
  <c r="E4" i="12"/>
  <c r="F4" i="12" s="1"/>
  <c r="B4" i="12"/>
  <c r="C4" i="12" s="1"/>
  <c r="I18" i="9"/>
  <c r="L4" i="12" s="1"/>
  <c r="G18" i="9"/>
  <c r="I4" i="12" s="1"/>
  <c r="J4" i="12" s="1"/>
  <c r="N4" i="8"/>
  <c r="O4" i="8" s="1"/>
  <c r="J4" i="8"/>
  <c r="K4" i="8" s="1"/>
  <c r="F4" i="8"/>
  <c r="G4" i="8" s="1"/>
  <c r="B4" i="8"/>
  <c r="C4" i="8" s="1"/>
  <c r="L22" i="3"/>
  <c r="L19" i="3"/>
  <c r="L18" i="3"/>
  <c r="V4" i="12"/>
  <c r="W4" i="12"/>
  <c r="V3" i="12"/>
  <c r="C36" i="8"/>
  <c r="D36" i="8"/>
  <c r="E36" i="8"/>
  <c r="B36" i="8"/>
  <c r="B35" i="8"/>
  <c r="C35" i="8"/>
  <c r="D35" i="8"/>
  <c r="E35" i="8"/>
  <c r="V7" i="12"/>
  <c r="K7" i="9"/>
  <c r="Z11" i="12" s="1"/>
  <c r="Y7" i="12"/>
  <c r="X7" i="12"/>
  <c r="W7" i="12"/>
  <c r="E39" i="8"/>
  <c r="D39" i="8"/>
  <c r="C39" i="8"/>
  <c r="B39" i="8"/>
  <c r="Z14" i="12"/>
  <c r="Q9" i="12"/>
  <c r="B14" i="11" s="1"/>
  <c r="Q8" i="12"/>
  <c r="Q7" i="12"/>
  <c r="B12" i="11" s="1"/>
  <c r="Q6" i="12"/>
  <c r="Q5" i="12"/>
  <c r="B10" i="11" s="1"/>
  <c r="Q4" i="12"/>
  <c r="Q3" i="12"/>
  <c r="B8" i="11" s="1"/>
  <c r="Q19" i="12"/>
  <c r="Q18" i="12"/>
  <c r="Q17" i="12"/>
  <c r="Q16" i="12"/>
  <c r="Q15" i="12"/>
  <c r="Q14" i="12"/>
  <c r="B20" i="11" s="1" a="1"/>
  <c r="B20" i="11" s="1"/>
  <c r="Y4" i="12"/>
  <c r="X4" i="12"/>
  <c r="X3" i="12"/>
  <c r="W3" i="12"/>
  <c r="Y3" i="12"/>
  <c r="L7" i="12"/>
  <c r="M7" i="12" s="1"/>
  <c r="L6" i="12"/>
  <c r="M6" i="12" s="1"/>
  <c r="I7" i="12"/>
  <c r="J7" i="12" s="1"/>
  <c r="I6" i="12"/>
  <c r="J6" i="12" s="1"/>
  <c r="E3" i="12"/>
  <c r="F3" i="12" s="1"/>
  <c r="E10" i="12"/>
  <c r="F10" i="12" s="1"/>
  <c r="E9" i="12"/>
  <c r="F9" i="12" s="1"/>
  <c r="E8" i="12"/>
  <c r="F8" i="12" s="1"/>
  <c r="E7" i="12"/>
  <c r="F7" i="12" s="1"/>
  <c r="E6" i="12"/>
  <c r="F6" i="12" s="1"/>
  <c r="E5" i="12"/>
  <c r="F5" i="12" s="1"/>
  <c r="B10" i="12"/>
  <c r="C10" i="12" s="1"/>
  <c r="B9" i="12"/>
  <c r="C9" i="12" s="1"/>
  <c r="B8" i="12"/>
  <c r="C8" i="12" s="1"/>
  <c r="B7" i="12"/>
  <c r="C7" i="12" s="1"/>
  <c r="B6" i="12"/>
  <c r="C6" i="12" s="1"/>
  <c r="B5" i="12"/>
  <c r="C5" i="12" s="1"/>
  <c r="B3" i="12"/>
  <c r="C3" i="12" s="1"/>
  <c r="Q52" i="9" a="1"/>
  <c r="Q52" i="9" s="1"/>
  <c r="K56" i="9"/>
  <c r="K24" i="9"/>
  <c r="I24" i="9"/>
  <c r="L10" i="12" s="1"/>
  <c r="M10" i="12" s="1"/>
  <c r="G24" i="9"/>
  <c r="I10" i="12" s="1"/>
  <c r="J10" i="12" s="1"/>
  <c r="I23" i="9"/>
  <c r="G23" i="9"/>
  <c r="I22" i="9"/>
  <c r="L8" i="12" s="1"/>
  <c r="M8" i="12" s="1"/>
  <c r="G22" i="9"/>
  <c r="I8" i="12" s="1"/>
  <c r="J8" i="12" s="1"/>
  <c r="I19" i="9"/>
  <c r="L5" i="12" s="1"/>
  <c r="M5" i="12" s="1"/>
  <c r="G19" i="9"/>
  <c r="K17" i="9"/>
  <c r="L3" i="12"/>
  <c r="M3" i="12" s="1"/>
  <c r="I3" i="12"/>
  <c r="E37" i="10"/>
  <c r="C37" i="10"/>
  <c r="E30" i="10"/>
  <c r="C30" i="10"/>
  <c r="E29" i="10"/>
  <c r="C29" i="10"/>
  <c r="C40" i="10" s="1"/>
  <c r="C39" i="10" s="1"/>
  <c r="G27" i="10"/>
  <c r="E18" i="10"/>
  <c r="C18" i="10"/>
  <c r="E11" i="10"/>
  <c r="C11" i="10"/>
  <c r="E10" i="10"/>
  <c r="E21" i="10" s="1"/>
  <c r="E20" i="10" s="1"/>
  <c r="C10" i="10"/>
  <c r="G8" i="10"/>
  <c r="C47" i="8"/>
  <c r="C46" i="8"/>
  <c r="C45" i="8"/>
  <c r="C44" i="8"/>
  <c r="V22" i="8"/>
  <c r="V21" i="8"/>
  <c r="W21" i="8" s="1"/>
  <c r="V20" i="8"/>
  <c r="W20" i="8" s="1"/>
  <c r="V19" i="8"/>
  <c r="V18" i="8"/>
  <c r="V17" i="8"/>
  <c r="W17" i="8" s="1"/>
  <c r="V9" i="8"/>
  <c r="V10" i="8"/>
  <c r="V11" i="8"/>
  <c r="B11" i="5" s="1"/>
  <c r="V12" i="8"/>
  <c r="V13" i="8"/>
  <c r="B13" i="5" s="1"/>
  <c r="V14" i="8"/>
  <c r="V8" i="8"/>
  <c r="B8" i="5" s="1"/>
  <c r="D8" i="5" s="1"/>
  <c r="Z18" i="8"/>
  <c r="N5" i="8"/>
  <c r="J5" i="8"/>
  <c r="K5" i="8" s="1"/>
  <c r="F5" i="8"/>
  <c r="G5" i="8" s="1"/>
  <c r="B5" i="8"/>
  <c r="C5" i="8" s="1"/>
  <c r="M5" i="7"/>
  <c r="M4" i="7"/>
  <c r="O8" i="4"/>
  <c r="P8" i="4"/>
  <c r="H23" i="4" s="1"/>
  <c r="F19" i="4"/>
  <c r="T18" i="8"/>
  <c r="T17" i="8"/>
  <c r="T19" i="8"/>
  <c r="T20" i="8"/>
  <c r="T21" i="8"/>
  <c r="T22" i="8"/>
  <c r="L17" i="3"/>
  <c r="K8" i="3" s="1"/>
  <c r="O28" i="4"/>
  <c r="F42" i="4" s="1"/>
  <c r="P28" i="4"/>
  <c r="H42" i="4" s="1"/>
  <c r="O48" i="4"/>
  <c r="F61" i="4" s="1"/>
  <c r="P48" i="4"/>
  <c r="H61" i="4" s="1"/>
  <c r="O68" i="4"/>
  <c r="F83" i="4" s="1"/>
  <c r="P68" i="4"/>
  <c r="H81" i="4" s="1"/>
  <c r="L24" i="3"/>
  <c r="F3" i="8"/>
  <c r="G3" i="8" s="1"/>
  <c r="F8" i="8"/>
  <c r="G8" i="8" s="1"/>
  <c r="F6" i="8"/>
  <c r="G6" i="8" s="1"/>
  <c r="F7" i="8"/>
  <c r="G7" i="8" s="1"/>
  <c r="F9" i="8"/>
  <c r="G9" i="8" s="1"/>
  <c r="F10" i="8"/>
  <c r="G10" i="8" s="1"/>
  <c r="B3" i="8"/>
  <c r="C3" i="8" s="1"/>
  <c r="B8" i="8"/>
  <c r="C8" i="8" s="1"/>
  <c r="B7" i="8"/>
  <c r="C7" i="8" s="1"/>
  <c r="B6" i="8"/>
  <c r="C6" i="8" s="1"/>
  <c r="B9" i="8"/>
  <c r="C9" i="8" s="1"/>
  <c r="B10" i="8"/>
  <c r="C10" i="8" s="1"/>
  <c r="J8" i="8"/>
  <c r="K8" i="8" s="1"/>
  <c r="J3" i="8"/>
  <c r="K3" i="8" s="1"/>
  <c r="J6" i="8"/>
  <c r="K6" i="8" s="1"/>
  <c r="J7" i="8"/>
  <c r="K7" i="8" s="1"/>
  <c r="J9" i="8"/>
  <c r="K9" i="8" s="1"/>
  <c r="J10" i="8"/>
  <c r="K10" i="8" s="1"/>
  <c r="N3" i="8"/>
  <c r="O3" i="8" s="1"/>
  <c r="N6" i="8"/>
  <c r="O6" i="8" s="1"/>
  <c r="N7" i="8"/>
  <c r="O7" i="8" s="1"/>
  <c r="N8" i="8"/>
  <c r="O8" i="8" s="1"/>
  <c r="N9" i="8"/>
  <c r="O9" i="8" s="1"/>
  <c r="N10" i="8"/>
  <c r="O10" i="8" s="1"/>
  <c r="F39" i="4"/>
  <c r="F59" i="4"/>
  <c r="F79" i="4"/>
  <c r="Z3" i="8"/>
  <c r="Z4" i="8"/>
  <c r="F66" i="3"/>
  <c r="I66" i="3"/>
  <c r="K66" i="3"/>
  <c r="J66" i="3"/>
  <c r="H66" i="3"/>
  <c r="I5" i="7"/>
  <c r="I4" i="7"/>
  <c r="Z16" i="8"/>
  <c r="Z17" i="8"/>
  <c r="A43" i="8"/>
  <c r="C43" i="8"/>
  <c r="B43" i="8"/>
  <c r="B44" i="8"/>
  <c r="A44" i="8"/>
  <c r="A45" i="8"/>
  <c r="D45" i="8" s="1"/>
  <c r="B45" i="8"/>
  <c r="A46" i="8"/>
  <c r="B46" i="8"/>
  <c r="A47" i="8"/>
  <c r="B47" i="8"/>
  <c r="A48" i="8"/>
  <c r="C48" i="8" s="1"/>
  <c r="B48" i="8"/>
  <c r="I6" i="7"/>
  <c r="I7" i="7"/>
  <c r="D23" i="6"/>
  <c r="E23" i="6"/>
  <c r="F23" i="6"/>
  <c r="G23" i="6"/>
  <c r="H23" i="6"/>
  <c r="I23" i="6"/>
  <c r="J23" i="6"/>
  <c r="D24" i="6"/>
  <c r="E24" i="6"/>
  <c r="F24" i="6"/>
  <c r="G24" i="6"/>
  <c r="H24" i="6"/>
  <c r="I24" i="6"/>
  <c r="J24" i="6"/>
  <c r="D25" i="6"/>
  <c r="E25" i="6"/>
  <c r="F25" i="6"/>
  <c r="G25" i="6"/>
  <c r="H25" i="6"/>
  <c r="I25" i="6"/>
  <c r="J25" i="6"/>
  <c r="D26" i="6"/>
  <c r="E26" i="6"/>
  <c r="F26" i="6"/>
  <c r="G26" i="6"/>
  <c r="H26" i="6"/>
  <c r="I26" i="6"/>
  <c r="J26" i="6"/>
  <c r="D27" i="6"/>
  <c r="E27" i="6"/>
  <c r="F27" i="6"/>
  <c r="G27" i="6"/>
  <c r="H27" i="6"/>
  <c r="I27" i="6"/>
  <c r="J27" i="6"/>
  <c r="D28" i="6"/>
  <c r="E28" i="6"/>
  <c r="F28" i="6"/>
  <c r="G28" i="6"/>
  <c r="H28" i="6"/>
  <c r="I28" i="6"/>
  <c r="J28" i="6"/>
  <c r="D29" i="6"/>
  <c r="E29" i="6"/>
  <c r="F29" i="6"/>
  <c r="G29" i="6"/>
  <c r="H29" i="6"/>
  <c r="I29" i="6"/>
  <c r="J29" i="6"/>
  <c r="D30" i="6"/>
  <c r="E30" i="6"/>
  <c r="F30" i="6"/>
  <c r="G30" i="6"/>
  <c r="H30" i="6"/>
  <c r="I30" i="6"/>
  <c r="J30" i="6"/>
  <c r="D31" i="6"/>
  <c r="E31" i="6"/>
  <c r="F31" i="6"/>
  <c r="G31" i="6"/>
  <c r="H31" i="6"/>
  <c r="I31" i="6"/>
  <c r="J31" i="6"/>
  <c r="D32" i="6"/>
  <c r="E32" i="6"/>
  <c r="F32" i="6"/>
  <c r="G32" i="6"/>
  <c r="H32" i="6"/>
  <c r="I32" i="6"/>
  <c r="J32" i="6"/>
  <c r="D33" i="6"/>
  <c r="E33" i="6"/>
  <c r="F33" i="6"/>
  <c r="G33" i="6"/>
  <c r="H33" i="6"/>
  <c r="I33" i="6"/>
  <c r="J33" i="6"/>
  <c r="D34" i="6"/>
  <c r="E34" i="6"/>
  <c r="F34" i="6"/>
  <c r="G34" i="6"/>
  <c r="H34" i="6"/>
  <c r="I34" i="6"/>
  <c r="J34" i="6"/>
  <c r="D35" i="6"/>
  <c r="E35" i="6"/>
  <c r="F35" i="6"/>
  <c r="G35" i="6"/>
  <c r="H35" i="6"/>
  <c r="I35" i="6"/>
  <c r="J35" i="6"/>
  <c r="D36" i="6"/>
  <c r="E36" i="6"/>
  <c r="F36" i="6"/>
  <c r="G36" i="6"/>
  <c r="H36" i="6"/>
  <c r="I36" i="6"/>
  <c r="J36" i="6"/>
  <c r="D37" i="6"/>
  <c r="E37" i="6"/>
  <c r="F37" i="6"/>
  <c r="G37" i="6"/>
  <c r="H37" i="6"/>
  <c r="I37" i="6"/>
  <c r="J37" i="6"/>
  <c r="D38" i="6"/>
  <c r="E38" i="6"/>
  <c r="F38" i="6"/>
  <c r="G38" i="6"/>
  <c r="H38" i="6"/>
  <c r="I38" i="6"/>
  <c r="J38" i="6"/>
  <c r="D39" i="6"/>
  <c r="E39" i="6"/>
  <c r="F39" i="6"/>
  <c r="G39" i="6"/>
  <c r="H39" i="6"/>
  <c r="I39" i="6"/>
  <c r="J39" i="6"/>
  <c r="D40" i="6"/>
  <c r="E40" i="6"/>
  <c r="F40" i="6"/>
  <c r="G40" i="6"/>
  <c r="H40" i="6"/>
  <c r="I40" i="6"/>
  <c r="J40" i="6"/>
  <c r="D41" i="6"/>
  <c r="E41" i="6"/>
  <c r="F41" i="6"/>
  <c r="G41" i="6"/>
  <c r="H41" i="6"/>
  <c r="I41" i="6"/>
  <c r="J41" i="6"/>
  <c r="D42" i="6"/>
  <c r="E42" i="6"/>
  <c r="F42" i="6"/>
  <c r="G42" i="6"/>
  <c r="H42" i="6"/>
  <c r="I42" i="6"/>
  <c r="J42" i="6"/>
  <c r="J9" i="4"/>
  <c r="H19" i="4"/>
  <c r="J29" i="4"/>
  <c r="H39" i="4"/>
  <c r="J49" i="4"/>
  <c r="H59" i="4"/>
  <c r="J69" i="4"/>
  <c r="H79" i="4"/>
  <c r="B66" i="3"/>
  <c r="J3" i="1"/>
  <c r="R14" i="12" l="1"/>
  <c r="D20" i="11"/>
  <c r="R18" i="12"/>
  <c r="B24" i="11" a="1"/>
  <c r="B24" i="11" s="1"/>
  <c r="D24" i="11" s="1"/>
  <c r="R15" i="12"/>
  <c r="B21" i="11" a="1"/>
  <c r="B21" i="11" s="1"/>
  <c r="D21" i="11" s="1"/>
  <c r="R19" i="12"/>
  <c r="B25" i="11" a="1"/>
  <c r="B25" i="11" s="1"/>
  <c r="D25" i="11" s="1"/>
  <c r="R16" i="12"/>
  <c r="B22" i="11" a="1"/>
  <c r="B22" i="11" s="1"/>
  <c r="D22" i="11" s="1"/>
  <c r="B35" i="11"/>
  <c r="D35" i="11" s="1"/>
  <c r="B23" i="11" a="1"/>
  <c r="B23" i="11" s="1"/>
  <c r="D23" i="11" s="1"/>
  <c r="Y6" i="12"/>
  <c r="Y8" i="12" s="1"/>
  <c r="AF6" i="12"/>
  <c r="AF8" i="12" s="1"/>
  <c r="O14" i="12"/>
  <c r="P14" i="12" s="1"/>
  <c r="B40" i="12" a="1"/>
  <c r="B40" i="12" s="1"/>
  <c r="D44" i="8"/>
  <c r="R8" i="12"/>
  <c r="B13" i="11"/>
  <c r="R6" i="12"/>
  <c r="B11" i="11"/>
  <c r="R4" i="12"/>
  <c r="B9" i="11"/>
  <c r="D9" i="11" s="1"/>
  <c r="W14" i="8"/>
  <c r="B14" i="5"/>
  <c r="D14" i="5" s="1"/>
  <c r="W10" i="8"/>
  <c r="B10" i="5"/>
  <c r="D10" i="5" s="1"/>
  <c r="W9" i="8"/>
  <c r="B9" i="5"/>
  <c r="D9" i="5" s="1"/>
  <c r="W12" i="8"/>
  <c r="B12" i="5"/>
  <c r="D12" i="5" s="1"/>
  <c r="W11" i="8"/>
  <c r="D11" i="5"/>
  <c r="U20" i="8"/>
  <c r="S20" i="8" s="1"/>
  <c r="U19" i="8"/>
  <c r="U22" i="8"/>
  <c r="S22" i="8" s="1"/>
  <c r="U18" i="8"/>
  <c r="S18" i="8" s="1"/>
  <c r="U17" i="8"/>
  <c r="L9" i="12"/>
  <c r="M9" i="12" s="1"/>
  <c r="L23" i="9"/>
  <c r="X6" i="12"/>
  <c r="X8" i="12" s="1"/>
  <c r="AE8" i="12"/>
  <c r="F39" i="8"/>
  <c r="O42" i="9"/>
  <c r="B21" i="5"/>
  <c r="D21" i="5" s="1"/>
  <c r="W18" i="8"/>
  <c r="B25" i="5"/>
  <c r="D25" i="5" s="1"/>
  <c r="W22" i="8"/>
  <c r="B22" i="5"/>
  <c r="D22" i="5" s="1"/>
  <c r="W19" i="8"/>
  <c r="D13" i="5"/>
  <c r="W13" i="8"/>
  <c r="O40" i="9"/>
  <c r="W8" i="8"/>
  <c r="L45" i="3"/>
  <c r="L44" i="3"/>
  <c r="L40" i="3"/>
  <c r="H21" i="4"/>
  <c r="H22" i="4"/>
  <c r="J17" i="4"/>
  <c r="J50" i="4"/>
  <c r="F62" i="4"/>
  <c r="J83" i="4"/>
  <c r="R3" i="12"/>
  <c r="D8" i="11"/>
  <c r="D47" i="8"/>
  <c r="D48" i="8"/>
  <c r="D46" i="8"/>
  <c r="D43" i="8"/>
  <c r="J33" i="4"/>
  <c r="J75" i="4"/>
  <c r="B34" i="11"/>
  <c r="D34" i="11" s="1"/>
  <c r="G12" i="10"/>
  <c r="F82" i="4"/>
  <c r="J73" i="4"/>
  <c r="H83" i="4"/>
  <c r="J78" i="4"/>
  <c r="F81" i="4"/>
  <c r="J82" i="4"/>
  <c r="F43" i="4"/>
  <c r="J19" i="4"/>
  <c r="AG4" i="12"/>
  <c r="D12" i="11"/>
  <c r="D14" i="11"/>
  <c r="L18" i="9"/>
  <c r="R9" i="12"/>
  <c r="B32" i="11"/>
  <c r="D32" i="11" s="1"/>
  <c r="G37" i="10"/>
  <c r="G32" i="10"/>
  <c r="G28" i="10"/>
  <c r="Z7" i="12"/>
  <c r="R5" i="12"/>
  <c r="L19" i="9"/>
  <c r="L17" i="9"/>
  <c r="B33" i="11"/>
  <c r="D33" i="11" s="1"/>
  <c r="Z4" i="12"/>
  <c r="G36" i="10"/>
  <c r="G33" i="10"/>
  <c r="G35" i="10"/>
  <c r="E40" i="10"/>
  <c r="E39" i="10" s="1"/>
  <c r="G34" i="10"/>
  <c r="G40" i="10"/>
  <c r="G39" i="10" s="1"/>
  <c r="G31" i="10"/>
  <c r="B37" i="11"/>
  <c r="D37" i="11" s="1"/>
  <c r="F63" i="4"/>
  <c r="J70" i="4"/>
  <c r="H82" i="4"/>
  <c r="J14" i="4"/>
  <c r="B23" i="5"/>
  <c r="D23" i="5" s="1"/>
  <c r="J34" i="4"/>
  <c r="J54" i="4"/>
  <c r="C21" i="10"/>
  <c r="C20" i="10" s="1"/>
  <c r="J30" i="4"/>
  <c r="J61" i="4"/>
  <c r="J63" i="4"/>
  <c r="R7" i="12"/>
  <c r="J35" i="4"/>
  <c r="J59" i="4"/>
  <c r="J53" i="4"/>
  <c r="G9" i="10"/>
  <c r="J76" i="4"/>
  <c r="D10" i="11"/>
  <c r="F35" i="8"/>
  <c r="F41" i="4"/>
  <c r="J57" i="4"/>
  <c r="J58" i="4"/>
  <c r="J43" i="4"/>
  <c r="L22" i="9"/>
  <c r="J15" i="4"/>
  <c r="H62" i="4"/>
  <c r="H63" i="4"/>
  <c r="J36" i="4"/>
  <c r="B20" i="5"/>
  <c r="D20" i="5" s="1"/>
  <c r="G15" i="10"/>
  <c r="AG3" i="12"/>
  <c r="G21" i="10"/>
  <c r="G20" i="10" s="1"/>
  <c r="G16" i="10"/>
  <c r="G14" i="10"/>
  <c r="G17" i="10"/>
  <c r="G13" i="10"/>
  <c r="G18" i="10"/>
  <c r="M4" i="12"/>
  <c r="Q20" i="12"/>
  <c r="L24" i="9"/>
  <c r="AG7" i="12"/>
  <c r="R17" i="12"/>
  <c r="I5" i="12"/>
  <c r="J5" i="12" s="1"/>
  <c r="B36" i="11"/>
  <c r="D36" i="11" s="1"/>
  <c r="Q10" i="12"/>
  <c r="I9" i="12"/>
  <c r="J9" i="12" s="1"/>
  <c r="Z3" i="12"/>
  <c r="J3" i="12"/>
  <c r="J79" i="4"/>
  <c r="J16" i="4"/>
  <c r="J38" i="4"/>
  <c r="J41" i="4"/>
  <c r="J37" i="4"/>
  <c r="J74" i="4"/>
  <c r="J77" i="4"/>
  <c r="J39" i="4"/>
  <c r="H31" i="3" s="1"/>
  <c r="J81" i="4"/>
  <c r="H41" i="4"/>
  <c r="H43" i="4"/>
  <c r="J55" i="4"/>
  <c r="J10" i="4"/>
  <c r="J42" i="4"/>
  <c r="J13" i="4"/>
  <c r="J62" i="4"/>
  <c r="J56" i="4"/>
  <c r="J18" i="4"/>
  <c r="F21" i="4"/>
  <c r="F22" i="4" s="1"/>
  <c r="U21" i="8"/>
  <c r="S21" i="8" s="1"/>
  <c r="B24" i="5"/>
  <c r="D24" i="5" s="1"/>
  <c r="O5" i="8"/>
  <c r="Z5" i="8"/>
  <c r="F36" i="8"/>
  <c r="V23" i="8"/>
  <c r="T23" i="8"/>
  <c r="V15" i="8"/>
  <c r="F31" i="9" l="1"/>
  <c r="G31" i="9" s="1"/>
  <c r="H31" i="9"/>
  <c r="I31" i="9" s="1"/>
  <c r="J31" i="3"/>
  <c r="N32" i="8" s="1"/>
  <c r="O32" i="8" s="1"/>
  <c r="I31" i="3"/>
  <c r="J32" i="8" s="1"/>
  <c r="K32" i="8" s="1"/>
  <c r="G31" i="3"/>
  <c r="J21" i="4"/>
  <c r="J22" i="4"/>
  <c r="F23" i="4"/>
  <c r="J23" i="4" s="1"/>
  <c r="R20" i="12"/>
  <c r="B71" i="9" s="1"/>
  <c r="O20" i="12"/>
  <c r="L65" i="9"/>
  <c r="Q53" i="9" s="1" a="1"/>
  <c r="Q53" i="9" s="1"/>
  <c r="P20" i="12"/>
  <c r="O39" i="9"/>
  <c r="S19" i="8"/>
  <c r="L54" i="3" s="1"/>
  <c r="S17" i="8"/>
  <c r="L52" i="3" s="1"/>
  <c r="L53" i="3"/>
  <c r="O43" i="9"/>
  <c r="L56" i="3"/>
  <c r="L57" i="3"/>
  <c r="L55" i="3"/>
  <c r="O44" i="9"/>
  <c r="O41" i="9"/>
  <c r="P10" i="12"/>
  <c r="L42" i="3"/>
  <c r="L41" i="3"/>
  <c r="I25" i="3"/>
  <c r="J11" i="8" s="1"/>
  <c r="F30" i="5" a="1"/>
  <c r="F30" i="5" s="1"/>
  <c r="U23" i="8"/>
  <c r="H25" i="9"/>
  <c r="I25" i="9" s="1"/>
  <c r="L11" i="12" s="1"/>
  <c r="F42" i="11" a="1"/>
  <c r="F42" i="11" s="1"/>
  <c r="F43" i="11" a="1"/>
  <c r="F43" i="11" s="1"/>
  <c r="D13" i="11"/>
  <c r="R10" i="12"/>
  <c r="B46" i="9" s="1"/>
  <c r="F28" i="5" a="1"/>
  <c r="F28" i="5" s="1"/>
  <c r="W15" i="8"/>
  <c r="B46" i="3" s="1"/>
  <c r="J25" i="3"/>
  <c r="J26" i="3" s="1"/>
  <c r="G25" i="3"/>
  <c r="H25" i="3"/>
  <c r="F11" i="8" s="1"/>
  <c r="F31" i="5" a="1"/>
  <c r="F31" i="5" s="1"/>
  <c r="W23" i="8"/>
  <c r="B58" i="3" s="1"/>
  <c r="E30" i="5" a="1"/>
  <c r="E30" i="5" s="1"/>
  <c r="AD2" i="8" s="1"/>
  <c r="U15" i="8"/>
  <c r="B47" i="3" s="1"/>
  <c r="F25" i="9"/>
  <c r="D11" i="11"/>
  <c r="F29" i="5" a="1"/>
  <c r="F29" i="5" s="1"/>
  <c r="F32" i="8"/>
  <c r="G32" i="8" s="1"/>
  <c r="L39" i="3"/>
  <c r="L31" i="3" l="1"/>
  <c r="B32" i="8"/>
  <c r="C32" i="8" s="1"/>
  <c r="C42" i="11" a="1"/>
  <c r="C42" i="11" s="1"/>
  <c r="S23" i="8"/>
  <c r="L44" i="7"/>
  <c r="I30" i="12"/>
  <c r="J30" i="12" s="1"/>
  <c r="B30" i="12"/>
  <c r="C30" i="12" s="1"/>
  <c r="L30" i="12"/>
  <c r="M30" i="12" s="1"/>
  <c r="E30" i="12"/>
  <c r="F30" i="12" s="1"/>
  <c r="L71" i="9"/>
  <c r="O46" i="9"/>
  <c r="B47" i="9" s="1"/>
  <c r="L46" i="9"/>
  <c r="I26" i="3"/>
  <c r="E42" i="11" a="1"/>
  <c r="E42" i="11" s="1"/>
  <c r="E43" i="11" a="1"/>
  <c r="E43" i="11" s="1"/>
  <c r="M19" i="12" s="1"/>
  <c r="S15" i="8"/>
  <c r="L43" i="3"/>
  <c r="L46" i="3" s="1"/>
  <c r="V2" i="8"/>
  <c r="N11" i="8"/>
  <c r="O11" i="8" s="1"/>
  <c r="O12" i="8" s="1"/>
  <c r="H26" i="9"/>
  <c r="H26" i="3"/>
  <c r="K25" i="9"/>
  <c r="K26" i="9" s="1"/>
  <c r="E11" i="12"/>
  <c r="F11" i="12" s="1"/>
  <c r="F12" i="12" s="1"/>
  <c r="G26" i="3"/>
  <c r="F44" i="11"/>
  <c r="I26" i="9"/>
  <c r="Z13" i="12"/>
  <c r="K31" i="9"/>
  <c r="B11" i="12"/>
  <c r="C11" i="12" s="1"/>
  <c r="F26" i="9"/>
  <c r="M11" i="12"/>
  <c r="M12" i="12" s="1"/>
  <c r="L12" i="12"/>
  <c r="B11" i="8"/>
  <c r="C11" i="8" s="1"/>
  <c r="C12" i="8" s="1"/>
  <c r="L25" i="3"/>
  <c r="L26" i="3" s="1"/>
  <c r="E29" i="5" a="1"/>
  <c r="E29" i="5" s="1"/>
  <c r="AC15" i="8" s="1"/>
  <c r="V4" i="8"/>
  <c r="F32" i="5"/>
  <c r="E28" i="5" a="1"/>
  <c r="E28" i="5" s="1"/>
  <c r="AB2" i="8" s="1"/>
  <c r="G30" i="5"/>
  <c r="K19" i="8" s="1"/>
  <c r="AD15" i="8"/>
  <c r="E31" i="5" a="1"/>
  <c r="E31" i="5" s="1"/>
  <c r="G31" i="5" s="1"/>
  <c r="O19" i="8" s="1"/>
  <c r="L19" i="8"/>
  <c r="G25" i="9"/>
  <c r="I11" i="12" s="1"/>
  <c r="S1" i="8"/>
  <c r="S4" i="8" s="1"/>
  <c r="S27" i="8" s="1"/>
  <c r="J12" i="8"/>
  <c r="K11" i="8"/>
  <c r="K12" i="8" s="1"/>
  <c r="G11" i="8"/>
  <c r="G12" i="8" s="1"/>
  <c r="F12" i="8"/>
  <c r="M13" i="12"/>
  <c r="M14" i="12"/>
  <c r="C14" i="8"/>
  <c r="O14" i="8"/>
  <c r="J13" i="8"/>
  <c r="F14" i="12"/>
  <c r="F13" i="12"/>
  <c r="F13" i="8"/>
  <c r="G14" i="8"/>
  <c r="L13" i="12"/>
  <c r="O13" i="8"/>
  <c r="C13" i="8"/>
  <c r="L14" i="12"/>
  <c r="F14" i="8"/>
  <c r="G13" i="8"/>
  <c r="K14" i="8"/>
  <c r="K13" i="8"/>
  <c r="J14" i="8"/>
  <c r="G28" i="3" l="1"/>
  <c r="I28" i="9"/>
  <c r="H28" i="9"/>
  <c r="J28" i="3"/>
  <c r="I28" i="3"/>
  <c r="H28" i="3"/>
  <c r="L28" i="3"/>
  <c r="K57" i="9" a="1"/>
  <c r="K57" i="9" s="1"/>
  <c r="C37" i="8"/>
  <c r="D37" i="8"/>
  <c r="E37" i="8"/>
  <c r="E38" i="8" s="1"/>
  <c r="E40" i="8" s="1"/>
  <c r="W5" i="12"/>
  <c r="W6" i="12" s="1"/>
  <c r="W8" i="12" s="1"/>
  <c r="AD5" i="12"/>
  <c r="AD6" i="12" s="1"/>
  <c r="AD8" i="12" s="1"/>
  <c r="S24" i="8"/>
  <c r="B37" i="8"/>
  <c r="B38" i="8" s="1"/>
  <c r="D38" i="8"/>
  <c r="D40" i="8" s="1"/>
  <c r="C38" i="8"/>
  <c r="C40" i="8" s="1"/>
  <c r="L45" i="7"/>
  <c r="L31" i="9"/>
  <c r="Z9" i="8"/>
  <c r="B5" i="5" s="1"/>
  <c r="V5" i="8"/>
  <c r="E12" i="12"/>
  <c r="N12" i="8"/>
  <c r="E5" i="11"/>
  <c r="B12" i="8"/>
  <c r="E44" i="11"/>
  <c r="M20" i="12"/>
  <c r="B12" i="12"/>
  <c r="H19" i="8"/>
  <c r="S42" i="8"/>
  <c r="G26" i="9"/>
  <c r="Z12" i="12" s="1"/>
  <c r="Z15" i="12" s="1"/>
  <c r="L25" i="9"/>
  <c r="L26" i="9" s="1"/>
  <c r="J19" i="12"/>
  <c r="AC2" i="8"/>
  <c r="G29" i="5"/>
  <c r="G19" i="8" s="1"/>
  <c r="G20" i="8" s="1"/>
  <c r="G28" i="5"/>
  <c r="C19" i="8" s="1"/>
  <c r="C20" i="8" s="1"/>
  <c r="AB15" i="8"/>
  <c r="K20" i="8"/>
  <c r="D19" i="8"/>
  <c r="E32" i="5"/>
  <c r="G32" i="5" s="1"/>
  <c r="AE15" i="8"/>
  <c r="P19" i="8"/>
  <c r="AE2" i="8"/>
  <c r="C19" i="12"/>
  <c r="V11" i="12"/>
  <c r="V14" i="12" s="1"/>
  <c r="C12" i="12"/>
  <c r="J11" i="12"/>
  <c r="I12" i="12"/>
  <c r="B41" i="12" s="1"/>
  <c r="B42" i="12" s="1"/>
  <c r="AG15" i="8"/>
  <c r="AG2" i="8"/>
  <c r="H12" i="8"/>
  <c r="P12" i="8"/>
  <c r="AI15" i="8"/>
  <c r="AI2" i="8"/>
  <c r="O20" i="8"/>
  <c r="AH15" i="8"/>
  <c r="AH2" i="8"/>
  <c r="L12" i="8"/>
  <c r="AF15" i="8"/>
  <c r="D12" i="8"/>
  <c r="AF2" i="8"/>
  <c r="S6" i="8"/>
  <c r="E14" i="12"/>
  <c r="F16" i="12"/>
  <c r="I14" i="12"/>
  <c r="B14" i="12"/>
  <c r="AL2" i="8"/>
  <c r="L14" i="8"/>
  <c r="G21" i="8"/>
  <c r="C21" i="8"/>
  <c r="N13" i="8"/>
  <c r="B13" i="8"/>
  <c r="C16" i="8"/>
  <c r="AL15" i="8"/>
  <c r="G15" i="8"/>
  <c r="K21" i="8"/>
  <c r="O22" i="8"/>
  <c r="M22" i="12"/>
  <c r="AM15" i="8"/>
  <c r="B14" i="8"/>
  <c r="N14" i="8"/>
  <c r="O21" i="8"/>
  <c r="E13" i="12"/>
  <c r="F15" i="12"/>
  <c r="B13" i="12"/>
  <c r="C13" i="12"/>
  <c r="AJ2" i="8"/>
  <c r="F16" i="8"/>
  <c r="C22" i="8"/>
  <c r="AK2" i="8"/>
  <c r="P14" i="8"/>
  <c r="G22" i="8"/>
  <c r="AJ15" i="8"/>
  <c r="O15" i="8"/>
  <c r="H14" i="8"/>
  <c r="K22" i="8"/>
  <c r="H13" i="8"/>
  <c r="L13" i="8"/>
  <c r="K15" i="8"/>
  <c r="M21" i="12"/>
  <c r="D13" i="8"/>
  <c r="F15" i="8"/>
  <c r="J15" i="8"/>
  <c r="L16" i="12"/>
  <c r="M15" i="12"/>
  <c r="M16" i="12"/>
  <c r="C14" i="12"/>
  <c r="AK15" i="8"/>
  <c r="J16" i="8"/>
  <c r="D14" i="8"/>
  <c r="P13" i="8"/>
  <c r="AM2" i="8"/>
  <c r="C15" i="8"/>
  <c r="L15" i="12"/>
  <c r="K16" i="8"/>
  <c r="O16" i="8"/>
  <c r="G16" i="8"/>
  <c r="I13" i="12"/>
  <c r="G27" i="3" l="1"/>
  <c r="F28" i="9"/>
  <c r="H27" i="9"/>
  <c r="I27" i="9"/>
  <c r="J27" i="3"/>
  <c r="I27" i="3"/>
  <c r="H27" i="3"/>
  <c r="L17" i="12"/>
  <c r="M17" i="12"/>
  <c r="G17" i="8"/>
  <c r="F17" i="8"/>
  <c r="F17" i="12"/>
  <c r="K17" i="8"/>
  <c r="C17" i="8"/>
  <c r="O17" i="8"/>
  <c r="J17" i="8"/>
  <c r="B36" i="12"/>
  <c r="B37" i="12" s="1"/>
  <c r="B52" i="8"/>
  <c r="B53" i="8" s="1"/>
  <c r="F61" i="3" s="1"/>
  <c r="D62" i="3" s="1"/>
  <c r="G75" i="9"/>
  <c r="D76" i="9" s="1"/>
  <c r="V5" i="12"/>
  <c r="V6" i="12" s="1"/>
  <c r="L58" i="3"/>
  <c r="F37" i="8"/>
  <c r="F38" i="8"/>
  <c r="B40" i="8"/>
  <c r="F40" i="8" s="1"/>
  <c r="T30" i="8"/>
  <c r="T31" i="8" s="1"/>
  <c r="H20" i="8"/>
  <c r="K27" i="8"/>
  <c r="K26" i="8"/>
  <c r="G26" i="8"/>
  <c r="C20" i="12"/>
  <c r="P20" i="8"/>
  <c r="J12" i="12"/>
  <c r="W11" i="12"/>
  <c r="W14" i="12" s="1"/>
  <c r="V17" i="12"/>
  <c r="V26" i="12"/>
  <c r="V16" i="12"/>
  <c r="L59" i="9" s="1"/>
  <c r="V28" i="12"/>
  <c r="K28" i="9"/>
  <c r="C26" i="8"/>
  <c r="L20" i="8"/>
  <c r="O27" i="8"/>
  <c r="D20" i="8"/>
  <c r="M24" i="12"/>
  <c r="B16" i="12"/>
  <c r="B15" i="12"/>
  <c r="P16" i="8"/>
  <c r="L22" i="8"/>
  <c r="L15" i="8"/>
  <c r="H22" i="8"/>
  <c r="G24" i="8"/>
  <c r="D21" i="8"/>
  <c r="P22" i="8"/>
  <c r="H21" i="8"/>
  <c r="E16" i="12"/>
  <c r="J13" i="12"/>
  <c r="D16" i="8"/>
  <c r="B16" i="8"/>
  <c r="P21" i="8"/>
  <c r="N15" i="8"/>
  <c r="K23" i="8"/>
  <c r="M23" i="12"/>
  <c r="C15" i="12"/>
  <c r="I15" i="12"/>
  <c r="L16" i="8"/>
  <c r="D15" i="8"/>
  <c r="H16" i="8"/>
  <c r="O23" i="8"/>
  <c r="P15" i="8"/>
  <c r="C23" i="8"/>
  <c r="C22" i="12"/>
  <c r="D22" i="8"/>
  <c r="L21" i="8"/>
  <c r="H15" i="8"/>
  <c r="C24" i="8"/>
  <c r="C16" i="12"/>
  <c r="E15" i="12"/>
  <c r="I16" i="12"/>
  <c r="C21" i="12"/>
  <c r="J14" i="12"/>
  <c r="O24" i="8"/>
  <c r="N16" i="8"/>
  <c r="G23" i="8"/>
  <c r="K24" i="8"/>
  <c r="B15" i="8"/>
  <c r="G28" i="9" l="1"/>
  <c r="F27" i="9"/>
  <c r="O28" i="8"/>
  <c r="L27" i="3"/>
  <c r="K28" i="8"/>
  <c r="G28" i="8"/>
  <c r="C28" i="8"/>
  <c r="C25" i="8"/>
  <c r="C29" i="8" s="1"/>
  <c r="B17" i="8"/>
  <c r="M25" i="12"/>
  <c r="M27" i="12" s="1"/>
  <c r="I29" i="9" s="1"/>
  <c r="E17" i="12"/>
  <c r="K25" i="8"/>
  <c r="K29" i="8" s="1"/>
  <c r="I29" i="3" s="1"/>
  <c r="P17" i="8"/>
  <c r="N17" i="8"/>
  <c r="I17" i="12"/>
  <c r="B17" i="12"/>
  <c r="C17" i="12"/>
  <c r="D17" i="8"/>
  <c r="O25" i="8"/>
  <c r="O29" i="8" s="1"/>
  <c r="G25" i="8"/>
  <c r="G29" i="8" s="1"/>
  <c r="H17" i="8"/>
  <c r="L17" i="8"/>
  <c r="AB16" i="8"/>
  <c r="AF16" i="8" s="1"/>
  <c r="AC16" i="8"/>
  <c r="AG16" i="8" s="1"/>
  <c r="AD16" i="8"/>
  <c r="AH16" i="8" s="1"/>
  <c r="AE16" i="8"/>
  <c r="AI16" i="8" s="1"/>
  <c r="H27" i="8"/>
  <c r="P27" i="8"/>
  <c r="Z5" i="12"/>
  <c r="AC5" i="12"/>
  <c r="AG5" i="12" s="1"/>
  <c r="V8" i="12"/>
  <c r="Z8" i="12" s="1"/>
  <c r="Z6" i="12"/>
  <c r="C27" i="8"/>
  <c r="G27" i="8"/>
  <c r="W16" i="12"/>
  <c r="L73" i="9" s="1"/>
  <c r="W17" i="12"/>
  <c r="W26" i="12"/>
  <c r="V23" i="12"/>
  <c r="V29" i="12"/>
  <c r="L28" i="9"/>
  <c r="J20" i="12"/>
  <c r="L27" i="8"/>
  <c r="L26" i="8"/>
  <c r="D27" i="8"/>
  <c r="D26" i="8"/>
  <c r="O26" i="8"/>
  <c r="J16" i="12"/>
  <c r="AL16" i="8"/>
  <c r="L24" i="8"/>
  <c r="AK16" i="8"/>
  <c r="C23" i="12"/>
  <c r="AM16" i="8"/>
  <c r="AJ16" i="8"/>
  <c r="J22" i="12"/>
  <c r="H23" i="8"/>
  <c r="D23" i="8"/>
  <c r="J21" i="12"/>
  <c r="L23" i="8"/>
  <c r="P23" i="8"/>
  <c r="D24" i="8"/>
  <c r="P24" i="8"/>
  <c r="J15" i="12"/>
  <c r="C24" i="12"/>
  <c r="H24" i="8"/>
  <c r="G27" i="9" l="1"/>
  <c r="L27" i="9" s="1"/>
  <c r="L29" i="3"/>
  <c r="K27" i="9"/>
  <c r="P28" i="8"/>
  <c r="L28" i="8"/>
  <c r="H28" i="8"/>
  <c r="D28" i="8"/>
  <c r="L25" i="8"/>
  <c r="L29" i="8" s="1"/>
  <c r="H29" i="3"/>
  <c r="P25" i="8"/>
  <c r="P29" i="8" s="1"/>
  <c r="J29" i="3"/>
  <c r="J17" i="12"/>
  <c r="C25" i="12"/>
  <c r="C27" i="12" s="1"/>
  <c r="F29" i="9" s="1"/>
  <c r="D25" i="8"/>
  <c r="D29" i="8" s="1"/>
  <c r="H25" i="8"/>
  <c r="H29" i="8" s="1"/>
  <c r="G29" i="3"/>
  <c r="AC6" i="12"/>
  <c r="AC8" i="12" s="1"/>
  <c r="AG8" i="12" s="1"/>
  <c r="H26" i="8"/>
  <c r="P26" i="8"/>
  <c r="W23" i="12"/>
  <c r="J23" i="12"/>
  <c r="J24" i="12"/>
  <c r="L32" i="3" l="1"/>
  <c r="L33" i="3" s="1"/>
  <c r="S40" i="8" s="1"/>
  <c r="S30" i="8"/>
  <c r="S31" i="8" s="1"/>
  <c r="S26" i="8"/>
  <c r="AN15" i="8"/>
  <c r="AO15" i="8" s="1"/>
  <c r="AN2" i="8"/>
  <c r="AO2" i="8" s="1"/>
  <c r="AN16" i="8"/>
  <c r="AO16" i="8" s="1"/>
  <c r="AE17" i="8" s="1"/>
  <c r="AI17" i="8" s="1"/>
  <c r="J25" i="12"/>
  <c r="L29" i="9" s="1"/>
  <c r="L32" i="9" s="1"/>
  <c r="AG6" i="12"/>
  <c r="AB17" i="8"/>
  <c r="AF17" i="8" s="1"/>
  <c r="AD17" i="8"/>
  <c r="AH17" i="8" s="1"/>
  <c r="AC17" i="8"/>
  <c r="AG17" i="8" s="1"/>
  <c r="AK17" i="8"/>
  <c r="AM17" i="8"/>
  <c r="AL17" i="8"/>
  <c r="AJ17" i="8"/>
  <c r="T40" i="8" l="1"/>
  <c r="T41" i="8" s="1"/>
  <c r="S34" i="8" s="1"/>
  <c r="J60" i="3"/>
  <c r="G43" i="8"/>
  <c r="AE3" i="8"/>
  <c r="AI3" i="8" s="1"/>
  <c r="AC3" i="8"/>
  <c r="AG3" i="8" s="1"/>
  <c r="AB3" i="8"/>
  <c r="AF3" i="8" s="1"/>
  <c r="AD3" i="8"/>
  <c r="AH3" i="8" s="1"/>
  <c r="L33" i="9"/>
  <c r="W19" i="12" s="1"/>
  <c r="W20" i="12" s="1"/>
  <c r="W24" i="12" s="1"/>
  <c r="G73" i="9" s="1"/>
  <c r="AN17" i="8"/>
  <c r="AO17" i="8" s="1"/>
  <c r="AD18" i="8" s="1"/>
  <c r="AH18" i="8" s="1"/>
  <c r="S41" i="8"/>
  <c r="S33" i="8" s="1"/>
  <c r="T33" i="8"/>
  <c r="W21" i="12"/>
  <c r="G74" i="9" s="1"/>
  <c r="J27" i="12"/>
  <c r="G29" i="9" s="1"/>
  <c r="AM3" i="8"/>
  <c r="AK3" i="8"/>
  <c r="AJ3" i="8"/>
  <c r="AL18" i="8"/>
  <c r="AL3" i="8"/>
  <c r="AN3" i="8" l="1"/>
  <c r="AO3" i="8" s="1"/>
  <c r="AB18" i="8"/>
  <c r="AF18" i="8" s="1"/>
  <c r="AE18" i="8"/>
  <c r="AI18" i="8" s="1"/>
  <c r="AC18" i="8"/>
  <c r="AG18" i="8" s="1"/>
  <c r="J61" i="3"/>
  <c r="G44" i="8"/>
  <c r="F60" i="3" s="1"/>
  <c r="AJ18" i="8"/>
  <c r="AM18" i="8"/>
  <c r="AK18" i="8"/>
  <c r="AC4" i="8" l="1"/>
  <c r="AG4" i="8" s="1"/>
  <c r="AB4" i="8"/>
  <c r="AF4" i="8" s="1"/>
  <c r="AD4" i="8"/>
  <c r="AH4" i="8" s="1"/>
  <c r="AE4" i="8"/>
  <c r="AI4" i="8" s="1"/>
  <c r="AN18" i="8"/>
  <c r="AO18" i="8" s="1"/>
  <c r="AC19" i="8" s="1"/>
  <c r="AG19" i="8" s="1"/>
  <c r="AM4" i="8"/>
  <c r="AK4" i="8"/>
  <c r="AK19" i="8"/>
  <c r="AL4" i="8"/>
  <c r="AJ4" i="8"/>
  <c r="AN4" i="8" l="1"/>
  <c r="AO4" i="8" s="1"/>
  <c r="AD19" i="8"/>
  <c r="AH19" i="8" s="1"/>
  <c r="AE19" i="8"/>
  <c r="AI19" i="8" s="1"/>
  <c r="AB19" i="8"/>
  <c r="AF19" i="8" s="1"/>
  <c r="AL19" i="8"/>
  <c r="AM19" i="8"/>
  <c r="AJ19" i="8"/>
  <c r="AE5" i="8" l="1"/>
  <c r="AI5" i="8" s="1"/>
  <c r="AB5" i="8"/>
  <c r="AF5" i="8" s="1"/>
  <c r="AD5" i="8"/>
  <c r="AH5" i="8" s="1"/>
  <c r="AC5" i="8"/>
  <c r="AG5" i="8" s="1"/>
  <c r="AN19" i="8"/>
  <c r="AO19" i="8" s="1"/>
  <c r="AE20" i="8" s="1"/>
  <c r="AI20" i="8" s="1"/>
  <c r="AJ5" i="8"/>
  <c r="AL5" i="8"/>
  <c r="AK5" i="8"/>
  <c r="AM20" i="8"/>
  <c r="AM5" i="8"/>
  <c r="AN5" i="8" l="1"/>
  <c r="AO5" i="8" s="1"/>
  <c r="AD20" i="8"/>
  <c r="AH20" i="8" s="1"/>
  <c r="AC20" i="8"/>
  <c r="AG20" i="8" s="1"/>
  <c r="AB20" i="8"/>
  <c r="AF20" i="8" s="1"/>
  <c r="AK20" i="8"/>
  <c r="AJ20" i="8"/>
  <c r="AL20" i="8"/>
  <c r="AC6" i="8" l="1"/>
  <c r="AG6" i="8" s="1"/>
  <c r="AB6" i="8"/>
  <c r="AF6" i="8" s="1"/>
  <c r="AD6" i="8"/>
  <c r="AH6" i="8" s="1"/>
  <c r="AE6" i="8"/>
  <c r="AI6" i="8" s="1"/>
  <c r="AN20" i="8"/>
  <c r="AO20" i="8" s="1"/>
  <c r="AB21" i="8"/>
  <c r="AF21" i="8" s="1"/>
  <c r="AE21" i="8"/>
  <c r="AI21" i="8" s="1"/>
  <c r="AD21" i="8"/>
  <c r="AH21" i="8" s="1"/>
  <c r="AC21" i="8"/>
  <c r="AG21" i="8" s="1"/>
  <c r="AL6" i="8"/>
  <c r="AJ21" i="8"/>
  <c r="AL21" i="8"/>
  <c r="AM21" i="8"/>
  <c r="AK21" i="8"/>
  <c r="AK6" i="8"/>
  <c r="AJ6" i="8"/>
  <c r="AM6" i="8"/>
  <c r="AN6" i="8" l="1"/>
  <c r="AO6" i="8" s="1"/>
  <c r="AN21" i="8"/>
  <c r="AO21" i="8" s="1"/>
  <c r="AD7" i="8" l="1"/>
  <c r="AH7" i="8" s="1"/>
  <c r="AC7" i="8"/>
  <c r="AG7" i="8" s="1"/>
  <c r="AB7" i="8"/>
  <c r="AF7" i="8" s="1"/>
  <c r="AE7" i="8"/>
  <c r="AI7" i="8" s="1"/>
  <c r="AD22" i="8"/>
  <c r="AH22" i="8" s="1"/>
  <c r="AC22" i="8"/>
  <c r="AG22" i="8" s="1"/>
  <c r="AE22" i="8"/>
  <c r="AI22" i="8" s="1"/>
  <c r="AB22" i="8"/>
  <c r="AF22" i="8" s="1"/>
  <c r="AL22" i="8"/>
  <c r="AK22" i="8"/>
  <c r="AL7" i="8"/>
  <c r="AJ7" i="8"/>
  <c r="AJ22" i="8"/>
  <c r="AM22" i="8"/>
  <c r="AM7" i="8"/>
  <c r="AK7" i="8"/>
  <c r="AN7" i="8" l="1"/>
  <c r="AO7" i="8" s="1"/>
  <c r="AN22" i="8"/>
  <c r="AO22" i="8" s="1"/>
  <c r="AE8" i="8" l="1"/>
  <c r="AI8" i="8" s="1"/>
  <c r="AD8" i="8"/>
  <c r="AH8" i="8" s="1"/>
  <c r="AC8" i="8"/>
  <c r="AG8" i="8" s="1"/>
  <c r="AB8" i="8"/>
  <c r="AF8" i="8" s="1"/>
  <c r="AB23" i="8"/>
  <c r="AF23" i="8" s="1"/>
  <c r="AE23" i="8"/>
  <c r="AI23" i="8" s="1"/>
  <c r="AC23" i="8"/>
  <c r="AG23" i="8" s="1"/>
  <c r="AD23" i="8"/>
  <c r="AH23" i="8" s="1"/>
  <c r="AJ23" i="8"/>
  <c r="AM8" i="8"/>
  <c r="AL23" i="8"/>
  <c r="AK8" i="8"/>
  <c r="AL8" i="8"/>
  <c r="AJ8" i="8"/>
  <c r="AK23" i="8"/>
  <c r="AM23" i="8"/>
  <c r="AN8" i="8" l="1"/>
  <c r="AO8" i="8" s="1"/>
  <c r="AN23" i="8"/>
  <c r="AO23" i="8" s="1"/>
  <c r="AD9" i="8" l="1"/>
  <c r="AH9" i="8" s="1"/>
  <c r="AE9" i="8"/>
  <c r="AI9" i="8" s="1"/>
  <c r="AB9" i="8"/>
  <c r="AF9" i="8" s="1"/>
  <c r="AC9" i="8"/>
  <c r="AG9" i="8" s="1"/>
  <c r="AD24" i="8"/>
  <c r="AH24" i="8" s="1"/>
  <c r="AB24" i="8"/>
  <c r="AF24" i="8" s="1"/>
  <c r="AE24" i="8"/>
  <c r="AI24" i="8" s="1"/>
  <c r="AC24" i="8"/>
  <c r="AG24" i="8" s="1"/>
  <c r="AL24" i="8"/>
  <c r="AK24" i="8"/>
  <c r="AJ9" i="8"/>
  <c r="AM9" i="8"/>
  <c r="AL9" i="8"/>
  <c r="AM24" i="8"/>
  <c r="AK9" i="8"/>
  <c r="AJ24" i="8"/>
  <c r="AN9" i="8" l="1"/>
  <c r="AO9" i="8" s="1"/>
  <c r="AN24" i="8"/>
  <c r="AO24" i="8" s="1"/>
  <c r="AB10" i="8" l="1"/>
  <c r="AF10" i="8" s="1"/>
  <c r="AC10" i="8"/>
  <c r="AG10" i="8" s="1"/>
  <c r="AE10" i="8"/>
  <c r="AI10" i="8" s="1"/>
  <c r="AD10" i="8"/>
  <c r="AH10" i="8" s="1"/>
  <c r="AC25" i="8"/>
  <c r="AG25" i="8" s="1"/>
  <c r="AE25" i="8"/>
  <c r="AI25" i="8" s="1"/>
  <c r="AD25" i="8"/>
  <c r="AH25" i="8" s="1"/>
  <c r="AB25" i="8"/>
  <c r="AF25" i="8" s="1"/>
  <c r="AK25" i="8"/>
  <c r="AJ25" i="8"/>
  <c r="AL10" i="8"/>
  <c r="AM25" i="8"/>
  <c r="AJ10" i="8"/>
  <c r="AL25" i="8"/>
  <c r="AK10" i="8"/>
  <c r="AM10" i="8"/>
  <c r="AN10" i="8" l="1"/>
  <c r="AO10" i="8" s="1"/>
  <c r="AN25" i="8"/>
  <c r="AO25" i="8" s="1"/>
  <c r="T37" i="8" s="1"/>
  <c r="AE11" i="8" l="1"/>
  <c r="AI11" i="8" s="1"/>
  <c r="AC11" i="8"/>
  <c r="AG11" i="8" s="1"/>
  <c r="AB11" i="8"/>
  <c r="AF11" i="8" s="1"/>
  <c r="AD11" i="8"/>
  <c r="AH11" i="8" s="1"/>
  <c r="G67" i="3"/>
  <c r="T36" i="8"/>
  <c r="L67" i="3" s="1"/>
  <c r="AJ11" i="8"/>
  <c r="AL11" i="8"/>
  <c r="AM11" i="8"/>
  <c r="AK11" i="8"/>
  <c r="AN11" i="8" l="1"/>
  <c r="AO11" i="8" s="1"/>
  <c r="AB12" i="8" l="1"/>
  <c r="AF12" i="8" s="1"/>
  <c r="AC12" i="8"/>
  <c r="AG12" i="8" s="1"/>
  <c r="AE12" i="8"/>
  <c r="AI12" i="8" s="1"/>
  <c r="AD12" i="8"/>
  <c r="AH12" i="8" s="1"/>
  <c r="AK12" i="8"/>
  <c r="AL12" i="8"/>
  <c r="AJ12" i="8"/>
  <c r="AM12" i="8"/>
  <c r="AN12" i="8" l="1"/>
  <c r="AO12" i="8" s="1"/>
  <c r="S37" i="8" s="1"/>
  <c r="S36" i="8" s="1"/>
  <c r="V19" i="12"/>
  <c r="V20" i="12" s="1"/>
  <c r="V24" i="12" s="1"/>
  <c r="G59" i="9" s="1"/>
  <c r="C43" i="11" a="1"/>
  <c r="C43" i="11" s="1"/>
  <c r="C44" i="11" s="1"/>
  <c r="V21" i="12" l="1"/>
  <c r="G60" i="9" s="1"/>
  <c r="L66" i="3"/>
  <c r="G66" i="3"/>
  <c r="F19" i="12"/>
  <c r="F20" i="12" s="1"/>
  <c r="F21" i="12"/>
  <c r="F22" i="12"/>
  <c r="F24" i="12"/>
  <c r="F23" i="12"/>
  <c r="F25" i="12" l="1"/>
  <c r="F27" i="12" l="1"/>
  <c r="H29" i="9" s="1"/>
  <c r="K29" i="9"/>
  <c r="K32" i="9" s="1"/>
  <c r="K33" i="9" s="1"/>
</calcChain>
</file>

<file path=xl/comments1.xml><?xml version="1.0" encoding="utf-8"?>
<comments xmlns="http://schemas.openxmlformats.org/spreadsheetml/2006/main">
  <authors>
    <author>Ramanji</author>
    <author>Bensley, Philip</author>
    <author>Philip Bensley</author>
    <author>pisuma</author>
  </authors>
  <commentList>
    <comment ref="A1" authorId="0" shapeId="0">
      <text>
        <r>
          <rPr>
            <b/>
            <sz val="8"/>
            <color indexed="81"/>
            <rFont val="Tahoma"/>
            <family val="2"/>
          </rPr>
          <t>Ramanji:</t>
        </r>
        <r>
          <rPr>
            <sz val="8"/>
            <color indexed="81"/>
            <rFont val="Tahoma"/>
            <family val="2"/>
          </rPr>
          <t xml:space="preserve">
rates as at 1 July 2019</t>
        </r>
      </text>
    </comment>
    <comment ref="Q1" authorId="1" shapeId="0">
      <text>
        <r>
          <rPr>
            <b/>
            <sz val="9"/>
            <color indexed="81"/>
            <rFont val="Tahoma"/>
            <family val="2"/>
          </rPr>
          <t>Bensley, Philip:</t>
        </r>
        <r>
          <rPr>
            <sz val="9"/>
            <color indexed="81"/>
            <rFont val="Tahoma"/>
            <family val="2"/>
          </rPr>
          <t xml:space="preserve">
Old HEM table up to R48.1</t>
        </r>
      </text>
    </comment>
    <comment ref="O2" authorId="2" shapeId="0">
      <text>
        <r>
          <rPr>
            <b/>
            <sz val="8"/>
            <color indexed="81"/>
            <rFont val="Tahoma"/>
            <family val="2"/>
          </rPr>
          <t>Philip Bensley:</t>
        </r>
        <r>
          <rPr>
            <sz val="8"/>
            <color indexed="81"/>
            <rFont val="Tahoma"/>
            <family val="2"/>
          </rPr>
          <t xml:space="preserve">
5% across the board from 21/11/2009</t>
        </r>
      </text>
    </comment>
    <comment ref="A10" authorId="0" shapeId="0">
      <text>
        <r>
          <rPr>
            <b/>
            <sz val="8"/>
            <color indexed="81"/>
            <rFont val="Tahoma"/>
            <family val="2"/>
          </rPr>
          <t>Philip:</t>
        </r>
        <r>
          <rPr>
            <sz val="8"/>
            <color indexed="81"/>
            <rFont val="Tahoma"/>
            <family val="2"/>
          </rPr>
          <t xml:space="preserve">
rates as at 1 July 2019</t>
        </r>
      </text>
    </comment>
    <comment ref="G10" authorId="2" shapeId="0">
      <text>
        <r>
          <rPr>
            <b/>
            <sz val="8"/>
            <color indexed="81"/>
            <rFont val="Tahoma"/>
            <family val="2"/>
          </rPr>
          <t>Philip Bensley:</t>
        </r>
        <r>
          <rPr>
            <sz val="8"/>
            <color indexed="81"/>
            <rFont val="Tahoma"/>
            <family val="2"/>
          </rPr>
          <t xml:space="preserve">
Replaced by table on far right</t>
        </r>
      </text>
    </comment>
    <comment ref="I10" authorId="1" shapeId="0">
      <text>
        <r>
          <rPr>
            <b/>
            <sz val="9"/>
            <color indexed="81"/>
            <rFont val="Tahoma"/>
            <family val="2"/>
          </rPr>
          <t>Bensley, Philip:</t>
        </r>
        <r>
          <rPr>
            <sz val="9"/>
            <color indexed="81"/>
            <rFont val="Tahoma"/>
            <family val="2"/>
          </rPr>
          <t xml:space="preserve">
Table updated from 17 Nov 17</t>
        </r>
      </text>
    </comment>
    <comment ref="M10" authorId="1" shapeId="0">
      <text>
        <r>
          <rPr>
            <b/>
            <sz val="9"/>
            <color indexed="81"/>
            <rFont val="Tahoma"/>
            <family val="2"/>
          </rPr>
          <t>Bensley, Philip:</t>
        </r>
        <r>
          <rPr>
            <sz val="9"/>
            <color indexed="81"/>
            <rFont val="Tahoma"/>
            <family val="2"/>
          </rPr>
          <t xml:space="preserve">
Table updated from 17 Nov 17</t>
        </r>
      </text>
    </comment>
    <comment ref="G16" authorId="1" shapeId="0">
      <text>
        <r>
          <rPr>
            <b/>
            <sz val="9"/>
            <color indexed="81"/>
            <rFont val="Tahoma"/>
            <family val="2"/>
          </rPr>
          <t>Bensley, Philip:</t>
        </r>
        <r>
          <rPr>
            <sz val="9"/>
            <color indexed="81"/>
            <rFont val="Tahoma"/>
            <family val="2"/>
          </rPr>
          <t xml:space="preserve">
Changed from 2.5% to 3% from 20 Oct 2017
[MS] Changed from 3% to  3.82% from 4 Jun 2019</t>
        </r>
      </text>
    </comment>
    <comment ref="C20" authorId="2" shapeId="0">
      <text>
        <r>
          <rPr>
            <b/>
            <sz val="8"/>
            <color indexed="81"/>
            <rFont val="Tahoma"/>
            <family val="2"/>
          </rPr>
          <t>Philip Bensley:</t>
        </r>
        <r>
          <rPr>
            <sz val="8"/>
            <color indexed="81"/>
            <rFont val="Tahoma"/>
            <family val="2"/>
          </rPr>
          <t xml:space="preserve">
Re-introduced from 21/11/2009
Changed to 80% from 26/06/15</t>
        </r>
      </text>
    </comment>
    <comment ref="Q21" authorId="3" shapeId="0">
      <text>
        <r>
          <rPr>
            <b/>
            <sz val="9"/>
            <color indexed="81"/>
            <rFont val="Tahoma"/>
            <family val="2"/>
          </rPr>
          <t xml:space="preserve">Bensley, Philip:
</t>
        </r>
        <r>
          <rPr>
            <sz val="9"/>
            <color indexed="81"/>
            <rFont val="Tahoma"/>
            <family val="2"/>
          </rPr>
          <t>HEM table from R48.1 onwards</t>
        </r>
      </text>
    </comment>
  </commentList>
</comments>
</file>

<file path=xl/comments2.xml><?xml version="1.0" encoding="utf-8"?>
<comments xmlns="http://schemas.openxmlformats.org/spreadsheetml/2006/main">
  <authors>
    <author>Philip Bensley</author>
  </authors>
  <commentList>
    <comment ref="G43" authorId="0" shapeId="0">
      <text>
        <r>
          <rPr>
            <b/>
            <sz val="8"/>
            <color indexed="81"/>
            <rFont val="Tahoma"/>
            <family val="2"/>
          </rPr>
          <t>Philip Bensley:</t>
        </r>
        <r>
          <rPr>
            <sz val="8"/>
            <color indexed="81"/>
            <rFont val="Tahoma"/>
            <family val="2"/>
          </rPr>
          <t xml:space="preserve">
From 13/3/09 this is no longer used</t>
        </r>
      </text>
    </comment>
  </commentList>
</comments>
</file>

<file path=xl/sharedStrings.xml><?xml version="1.0" encoding="utf-8"?>
<sst xmlns="http://schemas.openxmlformats.org/spreadsheetml/2006/main" count="1143" uniqueCount="563">
  <si>
    <t>Home Loan, Investment Home Loan and Line of Credit Calculator</t>
  </si>
  <si>
    <t>Credit Calculator User Guide</t>
  </si>
  <si>
    <t>* Input fields are distinguishable by a blue border.</t>
  </si>
  <si>
    <t>* Boxes with a black border contain calculations and should not be changed.</t>
  </si>
  <si>
    <t>* Boxes with yellow shading are mandatory and must be completed before a result can be displayed.</t>
  </si>
  <si>
    <t xml:space="preserve">* You may move to the next input box by using the TAB key or the arrow keys. </t>
  </si>
  <si>
    <t>* Click on the grey pushbuttons to perform the action stated on them.</t>
  </si>
  <si>
    <t>* If you type in an invalid number into a cell, a validation error message will appear.</t>
  </si>
  <si>
    <t>* Fill in the boxes in top to bottom order.</t>
  </si>
  <si>
    <t>* The calculator may be printed by selecting "Print" from the "File" menu.</t>
  </si>
  <si>
    <t>* When the "Print" button is pushed data will be printed from all sheets with input entered.</t>
  </si>
  <si>
    <t>Annual Income Details</t>
  </si>
  <si>
    <t>* To input self employed income details click on the calculator icon.  The user will be taken to the "Self Employed" worksheet.</t>
  </si>
  <si>
    <t>* For self employed income, Personal Wages / Salary is not included as add backs, but is included as taxable income.</t>
  </si>
  <si>
    <t>* The "Product" field is a drop down list of all valid product types.</t>
  </si>
  <si>
    <t>* Some products don't require all fields to be filled in.</t>
  </si>
  <si>
    <t>* To include negative gearing click on the "Negative Gearing" pushbutton and fill in the desired percentages.  The default percentages are set to zero.</t>
  </si>
  <si>
    <t>* The first row is a copy of the first loan input in "Proposed Loan Details".</t>
  </si>
  <si>
    <t>* The second row may accommodate any variables the user wishes to use.  All calculations are based on details input above.</t>
  </si>
  <si>
    <t>* Maximum borrowing power is based term chosen for this application.</t>
  </si>
  <si>
    <t>Which cells are optional and which are mandatory?</t>
  </si>
  <si>
    <t>Field Name</t>
  </si>
  <si>
    <t>Type</t>
  </si>
  <si>
    <t>Description</t>
  </si>
  <si>
    <t>Applicant(s) name</t>
  </si>
  <si>
    <t>Optional</t>
  </si>
  <si>
    <t>The name(s) of the applicants</t>
  </si>
  <si>
    <t>Number of properties occupied by the applicants</t>
  </si>
  <si>
    <t>Mandatory</t>
  </si>
  <si>
    <t>Number of principal residences plus number of non-income producing properties owned by applicants</t>
  </si>
  <si>
    <t>Number of adults (18 or older) residing in each household</t>
  </si>
  <si>
    <t>Enter the number of adults for each household.</t>
  </si>
  <si>
    <t>Number of dependent children residing in each household</t>
  </si>
  <si>
    <t>Enter the number of dependent children for each household.</t>
  </si>
  <si>
    <t>Existing Rental Income</t>
  </si>
  <si>
    <t>Proposed Rental Income</t>
  </si>
  <si>
    <t xml:space="preserve">Investment Income </t>
  </si>
  <si>
    <t>Pensions</t>
  </si>
  <si>
    <t>Enter pension income</t>
  </si>
  <si>
    <t>Other Income</t>
  </si>
  <si>
    <t>Enter any other income</t>
  </si>
  <si>
    <t>Self Employed Income</t>
  </si>
  <si>
    <t>Derived</t>
  </si>
  <si>
    <t>Shows the self employed income entered on the Self Employed page.</t>
  </si>
  <si>
    <t>Gross Annual Income</t>
  </si>
  <si>
    <t>Adds up all taxable income</t>
  </si>
  <si>
    <t>Income Tax</t>
  </si>
  <si>
    <t>Calculates the income tax on taxable income</t>
  </si>
  <si>
    <t>Medicare Levy</t>
  </si>
  <si>
    <t>Calculates the Medicare Levy on taxable income</t>
  </si>
  <si>
    <t>Negative Gearing Tax Effect</t>
  </si>
  <si>
    <t>Shows the negative gearing tax benefit if applicable.</t>
  </si>
  <si>
    <t>Tax Free Income</t>
  </si>
  <si>
    <t>Enter any tax free income such as family allowance</t>
  </si>
  <si>
    <t>Self Employed Add Backs</t>
  </si>
  <si>
    <t>Shows the self employed add backs entered on the Self Employed page.</t>
  </si>
  <si>
    <t>Product</t>
  </si>
  <si>
    <t>Select a product from the drop down list.</t>
  </si>
  <si>
    <t>Is this tax deductable?</t>
  </si>
  <si>
    <t>Will this be repaid by proposed loan?</t>
  </si>
  <si>
    <t>Balance / limit</t>
  </si>
  <si>
    <t>Interest Rate</t>
  </si>
  <si>
    <t>Monthly Repayment</t>
  </si>
  <si>
    <t>Monthly Charges</t>
  </si>
  <si>
    <t>Enter in any monthly charges</t>
  </si>
  <si>
    <t>Total Repayments</t>
  </si>
  <si>
    <t>Calculates the monthly repayments on the product selected</t>
  </si>
  <si>
    <t>Assessment Rate</t>
  </si>
  <si>
    <t>Loan Term</t>
  </si>
  <si>
    <t>Enter the loan term</t>
  </si>
  <si>
    <t>Enter any interest only period or Line of Credit Affordability</t>
  </si>
  <si>
    <t>Repayments</t>
  </si>
  <si>
    <t>Proposed Loan Result</t>
  </si>
  <si>
    <t>Shows the applicant(s) whether the proposed loan was successful or not.</t>
  </si>
  <si>
    <t>Commitment Ratio</t>
  </si>
  <si>
    <t>Shows the commitment ratio</t>
  </si>
  <si>
    <t>Balance / Limit</t>
  </si>
  <si>
    <t>Enter the limit or balance on the product</t>
  </si>
  <si>
    <t>Home Loan, Investment Home Loan and Line of Credit Servicing Calculator</t>
  </si>
  <si>
    <t xml:space="preserve">Name of applicant 1: </t>
  </si>
  <si>
    <t xml:space="preserve">Name of applicant 2: </t>
  </si>
  <si>
    <t xml:space="preserve">Name of applicant 3: </t>
  </si>
  <si>
    <t xml:space="preserve">Name of applicant 4: </t>
  </si>
  <si>
    <t>Household 1</t>
  </si>
  <si>
    <t>Annual Income Details:</t>
  </si>
  <si>
    <t>Applicant 1</t>
  </si>
  <si>
    <t>Applicant 2</t>
  </si>
  <si>
    <t>Applicant 3</t>
  </si>
  <si>
    <t>Applicant 4</t>
  </si>
  <si>
    <t>Eligible Income</t>
  </si>
  <si>
    <t>Max Term</t>
  </si>
  <si>
    <t>annual</t>
  </si>
  <si>
    <t>Line of Credit</t>
  </si>
  <si>
    <t>Credit Card</t>
  </si>
  <si>
    <t>Personal Loan</t>
  </si>
  <si>
    <t>Lease</t>
  </si>
  <si>
    <t>Hire Purchase</t>
  </si>
  <si>
    <t>Tax Free Income (e.g. Family Allowance)</t>
  </si>
  <si>
    <t>Net Annual Income</t>
  </si>
  <si>
    <t>Net Monthly Income</t>
  </si>
  <si>
    <t>Ongoing Annual Rental Payments</t>
  </si>
  <si>
    <t>Applicant(s) - Total Continuing Commitments:</t>
  </si>
  <si>
    <t>Total Existing Commitments (monthly)</t>
  </si>
  <si>
    <t>Proposed Loan Details:</t>
  </si>
  <si>
    <t xml:space="preserve">Proposed loan result: </t>
  </si>
  <si>
    <t xml:space="preserve">Debt Servicing Ratio: </t>
  </si>
  <si>
    <t>Product of the Commonwealth Bank of Australia  ABN 48 123 123 124</t>
  </si>
  <si>
    <t>Self-Employed Applicant/s Income Details</t>
  </si>
  <si>
    <t>Self-Employed Applicant 1's Income Details:</t>
  </si>
  <si>
    <t>Year 1</t>
  </si>
  <si>
    <t>Year 2</t>
  </si>
  <si>
    <t xml:space="preserve">Year Ended  </t>
  </si>
  <si>
    <t xml:space="preserve">Number of Months  </t>
  </si>
  <si>
    <t>Comments</t>
  </si>
  <si>
    <t>Net Profit (Loss) Before Tax</t>
  </si>
  <si>
    <r>
      <t>Add Backs</t>
    </r>
    <r>
      <rPr>
        <sz val="10"/>
        <rFont val="Arial"/>
        <family val="2"/>
      </rPr>
      <t>:</t>
    </r>
  </si>
  <si>
    <t>Interest</t>
  </si>
  <si>
    <t>Depreciation/Amortisation</t>
  </si>
  <si>
    <t>Personal Wages/Salary (before tax)</t>
  </si>
  <si>
    <t>Non-Cash Personal Benefits</t>
  </si>
  <si>
    <t>Other Non-Cash/Non-Recurring Expenses</t>
  </si>
  <si>
    <t>Other</t>
  </si>
  <si>
    <t>Sub-Total of Add Backs</t>
  </si>
  <si>
    <t>Total Available</t>
  </si>
  <si>
    <t>Total Available - Monthly Average</t>
  </si>
  <si>
    <t>Total Available - Annual Average</t>
  </si>
  <si>
    <t>Self-Employed Applicant 2's Income Details:</t>
  </si>
  <si>
    <t>Self-Employed Applicant 3's Income Details:</t>
  </si>
  <si>
    <t>Self-Employed Applicant 4's Income Details:</t>
  </si>
  <si>
    <t>Product of the Commonwealth Bank of Australia   ABN 48 123 123 124</t>
  </si>
  <si>
    <t>Negatively Geared Investment Home Loans</t>
  </si>
  <si>
    <t>Existing Loans:</t>
  </si>
  <si>
    <t>Loan Balance</t>
  </si>
  <si>
    <t>Proposed Loans:</t>
  </si>
  <si>
    <t>Existing</t>
  </si>
  <si>
    <t>Proposed</t>
  </si>
  <si>
    <t>Total</t>
  </si>
  <si>
    <t>Sliding Scale Commitment Level</t>
  </si>
  <si>
    <t>Upper Limit</t>
  </si>
  <si>
    <t>Rate</t>
  </si>
  <si>
    <t>Carry</t>
  </si>
  <si>
    <t>Income</t>
  </si>
  <si>
    <t>C.L.</t>
  </si>
  <si>
    <t>Monthly Surplus buffer</t>
  </si>
  <si>
    <t>N/A</t>
  </si>
  <si>
    <t xml:space="preserve">Rental Income allowance </t>
  </si>
  <si>
    <t>Access Advantage Factor</t>
  </si>
  <si>
    <t>Rental Income Limit</t>
  </si>
  <si>
    <t>Commitment</t>
  </si>
  <si>
    <t>%</t>
  </si>
  <si>
    <t>Supp Rental Allowance</t>
  </si>
  <si>
    <t>Access Advantage</t>
  </si>
  <si>
    <t>Credit Card Minimum</t>
  </si>
  <si>
    <t>The blue represents the net model, the green represents the gross model and the yellow is shared.</t>
  </si>
  <si>
    <t>Income Complete</t>
  </si>
  <si>
    <t>Housing Complete</t>
  </si>
  <si>
    <t>Exising/Proposed Complete</t>
  </si>
  <si>
    <t>Everything Complete</t>
  </si>
  <si>
    <t>Blank</t>
  </si>
  <si>
    <t>Complete</t>
  </si>
  <si>
    <t>Neg Gear</t>
  </si>
  <si>
    <t>Exisiting 1</t>
  </si>
  <si>
    <t>Exisiting 2</t>
  </si>
  <si>
    <t>Exisiting 3</t>
  </si>
  <si>
    <t>Exisiting 4</t>
  </si>
  <si>
    <t>Exisiting 5</t>
  </si>
  <si>
    <t>Exisiting 6</t>
  </si>
  <si>
    <t>Total tax and levy (no n.g.)</t>
  </si>
  <si>
    <t>Exisiting 7</t>
  </si>
  <si>
    <t>Total Existing Commitments</t>
  </si>
  <si>
    <t>Negative Gearing</t>
  </si>
  <si>
    <t>Taxable Income (with n.g.)</t>
  </si>
  <si>
    <t>Loan 1</t>
  </si>
  <si>
    <t>Loan 2</t>
  </si>
  <si>
    <t>Loan 3</t>
  </si>
  <si>
    <t>Total tax and levy (n.g.)</t>
  </si>
  <si>
    <t>Loan 4</t>
  </si>
  <si>
    <t>Income Tax Adjustment</t>
  </si>
  <si>
    <t>Loan 5</t>
  </si>
  <si>
    <t>Medicare Levy Adjustment</t>
  </si>
  <si>
    <t>Loan 6</t>
  </si>
  <si>
    <t>Total Adjustments</t>
  </si>
  <si>
    <t>Total + Commitments</t>
  </si>
  <si>
    <t>Living Expense Calculation</t>
  </si>
  <si>
    <t>Household 2</t>
  </si>
  <si>
    <t>Household 3</t>
  </si>
  <si>
    <t>Household 4</t>
  </si>
  <si>
    <t>Adults</t>
  </si>
  <si>
    <t>Commitment Level</t>
  </si>
  <si>
    <t>Dependents (Children)</t>
  </si>
  <si>
    <t>Commitment Level Limit</t>
  </si>
  <si>
    <t>Residual</t>
  </si>
  <si>
    <t>Min Repayments</t>
  </si>
  <si>
    <t>Max Borrowable Amount</t>
  </si>
  <si>
    <t>Proposed Consumer Loans</t>
  </si>
  <si>
    <t>Requested P&amp;I Term</t>
  </si>
  <si>
    <t>Interest Only Period</t>
  </si>
  <si>
    <t xml:space="preserve">Servicing Term </t>
  </si>
  <si>
    <t>With buffer</t>
  </si>
  <si>
    <t>Without buffer</t>
  </si>
  <si>
    <t>Gross Model</t>
  </si>
  <si>
    <t>Net Monthly cash</t>
  </si>
  <si>
    <t>Net Model</t>
  </si>
  <si>
    <t>Net monthly cash (for residual)</t>
  </si>
  <si>
    <t>Existing Commitments Only</t>
  </si>
  <si>
    <t>Monthly surplus</t>
  </si>
  <si>
    <t>Basic Loan Repayment Calculator</t>
  </si>
  <si>
    <t>Scenario 1</t>
  </si>
  <si>
    <t>Scenario 3</t>
  </si>
  <si>
    <t>Loan Amount</t>
  </si>
  <si>
    <t>Term in Years</t>
  </si>
  <si>
    <t>Interest Rate (% pa)</t>
  </si>
  <si>
    <t>Minimum Monthly Repayment</t>
  </si>
  <si>
    <t>Monthly Repayment Table</t>
  </si>
  <si>
    <t xml:space="preserve">Interest Rate: </t>
  </si>
  <si>
    <t xml:space="preserve">Interest Only Period: </t>
  </si>
  <si>
    <t xml:space="preserve">Monthly Fees: </t>
  </si>
  <si>
    <t>Amount</t>
  </si>
  <si>
    <t>Custom</t>
  </si>
  <si>
    <t>Scenario 2</t>
  </si>
  <si>
    <t>Notes:</t>
  </si>
  <si>
    <t>Gross non-rental Income</t>
  </si>
  <si>
    <t>Gross rental Income</t>
  </si>
  <si>
    <t>Eligible rental Income</t>
  </si>
  <si>
    <t>Total Gross Income</t>
  </si>
  <si>
    <t>Last modified</t>
  </si>
  <si>
    <t>Maximum borrowing power based on income and existing commitments:</t>
  </si>
  <si>
    <t>CLT</t>
  </si>
  <si>
    <t>LSF</t>
  </si>
  <si>
    <t>Int Rate</t>
  </si>
  <si>
    <t>Asmt Rate</t>
  </si>
  <si>
    <t>Assessment Rate Buffer</t>
  </si>
  <si>
    <t>Deduction 1</t>
  </si>
  <si>
    <t>Deduction 2</t>
  </si>
  <si>
    <t>Deduction 3</t>
  </si>
  <si>
    <t>Deduction 4</t>
  </si>
  <si>
    <t>Taxable 1</t>
  </si>
  <si>
    <t>Taxable 2</t>
  </si>
  <si>
    <t>Taxable 3</t>
  </si>
  <si>
    <t>Taxable 4</t>
  </si>
  <si>
    <t>Tax &amp; ML 1</t>
  </si>
  <si>
    <t>Tax &amp; ML 2</t>
  </si>
  <si>
    <t>Tax &amp; ML 3</t>
  </si>
  <si>
    <t>Tax &amp; ML 4</t>
  </si>
  <si>
    <t>Monthly Pmt</t>
  </si>
  <si>
    <t>Max Amount</t>
  </si>
  <si>
    <t>Is this tax deductible?</t>
  </si>
  <si>
    <t>Applicants</t>
  </si>
  <si>
    <t xml:space="preserve">The purpose of this question is determine the number of households. If there are 4 applicants and they reside at 2 addresses, then the answer is 2.  If there are 2 applicants and they reside in the same address then the answer is 1.  If there are 3 applicants and they live in the same address but have 4 income earning investment properties and a holiday house, the answer is 1.  The answer relates to the number of properties the applicants reside in. </t>
  </si>
  <si>
    <t>The borrowing potential is automatically calculated based on data entered in the application section of the simulator for proposed loan 1.  However, a second line is available that will allow you to vary application conditions (eg term, assessment rate, product, etc) to compare variables.</t>
  </si>
  <si>
    <t>Version:</t>
  </si>
  <si>
    <t>Total monthly repayments including existing commitments</t>
  </si>
  <si>
    <t>Overdraft</t>
  </si>
  <si>
    <t>Important Information: This assessment is based solely on the information you have provided. It is not to be used or considered an approval for a loan.  The calculations are intended as a guide only and are an indication of only one element in the Bank's credit assessment criteria.  The figures and formulae, including interest rates, used within this calculation are subject to change.  Applications for finance are subject to the Bank's normal credit approval.  Full terms and conditions will be included in the Bank's Loan Offer.  Fees and charges are payable.</t>
  </si>
  <si>
    <t>Interest expenses applicable to:</t>
  </si>
  <si>
    <t xml:space="preserve">Applicant 1: </t>
  </si>
  <si>
    <t xml:space="preserve">Applicant 2: </t>
  </si>
  <si>
    <t xml:space="preserve">Applicant 3: </t>
  </si>
  <si>
    <t xml:space="preserve">Applicant 4: </t>
  </si>
  <si>
    <t xml:space="preserve">Total: </t>
  </si>
  <si>
    <t>Tax benefit % applicable to:</t>
  </si>
  <si>
    <t>Cash buffer</t>
  </si>
  <si>
    <t>Surplus * cash buffer</t>
  </si>
  <si>
    <t>Sliding Scale Cash Buffer</t>
  </si>
  <si>
    <t>C.B.</t>
  </si>
  <si>
    <t xml:space="preserve">Net Cash Position: </t>
  </si>
  <si>
    <t>Threshold</t>
  </si>
  <si>
    <t>Loan Type</t>
  </si>
  <si>
    <t>Owner Occupied</t>
  </si>
  <si>
    <t>Investment</t>
  </si>
  <si>
    <t>Gross Bonuses</t>
  </si>
  <si>
    <t>Interest Discount</t>
  </si>
  <si>
    <t>Interest Only</t>
  </si>
  <si>
    <t>Household Expenditure Measure</t>
  </si>
  <si>
    <t xml:space="preserve">Net Profit (Loss) Before Tax  </t>
  </si>
  <si>
    <t xml:space="preserve">    Interest</t>
  </si>
  <si>
    <t xml:space="preserve">    Depreciation/Amortisation</t>
  </si>
  <si>
    <t xml:space="preserve">    Personal Wages/Salary (before tax)</t>
  </si>
  <si>
    <t xml:space="preserve">    Non-Cash Personal Benefits</t>
  </si>
  <si>
    <t xml:space="preserve">    Other Non-Cash/Non-Recurring Expenses</t>
  </si>
  <si>
    <t xml:space="preserve">    Other</t>
  </si>
  <si>
    <t xml:space="preserve">    Sub-Total of Add Backs</t>
  </si>
  <si>
    <t>Negatively Geared Investment Loans</t>
  </si>
  <si>
    <t>Tax Benefit % applicable to:</t>
  </si>
  <si>
    <t>Interest Expenses</t>
  </si>
  <si>
    <t>Bridging</t>
  </si>
  <si>
    <t>Post Bridging</t>
  </si>
  <si>
    <t>Home Loan, Investment Home Loan and Line of Credit Bridging Calculator</t>
  </si>
  <si>
    <t>No of principal residences plus number of non-income producing properties owned by applicants</t>
  </si>
  <si>
    <t>Bridging Totals</t>
  </si>
  <si>
    <t>Other Regular Income</t>
  </si>
  <si>
    <t>Negative gearing tax effect</t>
  </si>
  <si>
    <t>Tax Free Income (eg. family allowance)</t>
  </si>
  <si>
    <t>Ongoing Annual Rent Expense</t>
  </si>
  <si>
    <t>Existing Consumer Commitments:</t>
  </si>
  <si>
    <t>Will this be repaid?</t>
  </si>
  <si>
    <t xml:space="preserve">Total existing consumer commitments (monthly) </t>
  </si>
  <si>
    <t xml:space="preserve">Valuation of the property to be sold </t>
  </si>
  <si>
    <t xml:space="preserve">Additional amount required to settle on new property </t>
  </si>
  <si>
    <t xml:space="preserve">Valuation of replacement property </t>
  </si>
  <si>
    <t xml:space="preserve">Projected Sale Proceeds </t>
  </si>
  <si>
    <t xml:space="preserve">Monthly Charges on bridging debt </t>
  </si>
  <si>
    <t xml:space="preserve">Sale proceeds to be used for CBA debt deduction </t>
  </si>
  <si>
    <t xml:space="preserve">Combined CBA bridging debt </t>
  </si>
  <si>
    <t xml:space="preserve">Interest Discount </t>
  </si>
  <si>
    <t xml:space="preserve">Bridging commitments </t>
  </si>
  <si>
    <t xml:space="preserve">Total Proposed Monthly Commitments during bridging period </t>
  </si>
  <si>
    <t xml:space="preserve">Proposed loan result (bridging): </t>
  </si>
  <si>
    <t xml:space="preserve">Debt Servicing Ratio (bridging): </t>
  </si>
  <si>
    <t>Interest only period</t>
  </si>
  <si>
    <t>Important Information: This assessment is based solely on the information you have provided.  It is not to be used or considered an approval for a loan.  The calculations are intended as a guide only and are an indication of only one element in the Bank's credit assessment criteria.  The figures and formulae, including interest rates, used within this calculation are subject to change.  Applications for finance are subject to the Bank's normal credit approval.  Full terms and conditions will be included in the Bank's Loan Offer.  Fees and charges are payable.</t>
  </si>
  <si>
    <t>Product of the Commonwealth Bank  ABN 48 123 123 124</t>
  </si>
  <si>
    <t>Bridging Period</t>
  </si>
  <si>
    <t>Post Bridging Period</t>
  </si>
  <si>
    <t>Existing Loans</t>
  </si>
  <si>
    <t>Neg Gearing</t>
  </si>
  <si>
    <t>Gross Annual Salary/Wages</t>
  </si>
  <si>
    <t>Investment Income</t>
  </si>
  <si>
    <t>General Info</t>
  </si>
  <si>
    <t>Loans</t>
  </si>
  <si>
    <t>Proposed Loans</t>
  </si>
  <si>
    <t>All</t>
  </si>
  <si>
    <t>Total tax &amp; levy (no n.g.)</t>
  </si>
  <si>
    <t>Negative Gearing Deduction</t>
  </si>
  <si>
    <t>Surplus * Cash Buffer</t>
  </si>
  <si>
    <t>Net monthly surplus (shortfall)</t>
  </si>
  <si>
    <t>Total tax &amp; levy (with n.g.)</t>
  </si>
  <si>
    <t>Gross</t>
  </si>
  <si>
    <t>Total Adjustment</t>
  </si>
  <si>
    <t>Net</t>
  </si>
  <si>
    <t>Cash Buffer</t>
  </si>
  <si>
    <t>Yes</t>
  </si>
  <si>
    <t>No</t>
  </si>
  <si>
    <t>Max IO</t>
  </si>
  <si>
    <t>Expected Sales Proceeds</t>
  </si>
  <si>
    <t>Valuation of the property to be sold</t>
  </si>
  <si>
    <t>Enter the assessment rate.  Do not include any discounts.</t>
  </si>
  <si>
    <t>Any non-standard discount must have the appropriate authorisation/approval imaged to the loan file</t>
  </si>
  <si>
    <t>Enter the valuation of the property to be sold</t>
  </si>
  <si>
    <t>Enter the valuation of the replacement property.</t>
  </si>
  <si>
    <t>Calculated as a percentage of the valuation of the property being sold.</t>
  </si>
  <si>
    <t>Enter the amount that is needed to settle on the new property.</t>
  </si>
  <si>
    <t>Any non-standard discount must have the appropriate authorisation/approval imaged to the loan file.</t>
  </si>
  <si>
    <t>Net Cash Position</t>
  </si>
  <si>
    <t>Shows the surplus funds remaining (or deficit) as a result of the proposed loan.</t>
  </si>
  <si>
    <t>Sum of all existing debts classified as "Add to Bridging" plus the additional amount required to settle on the new property.</t>
  </si>
  <si>
    <t>Sum of all existing debts classified as "Add to Bridging" or "After Bridging", plus the additional amount required to settle on the new property, less the value of sale proceeds.</t>
  </si>
  <si>
    <t>Total Continuing Commitments / Existing Consumer Commitments</t>
  </si>
  <si>
    <t>* Record the details of the bridging finance.</t>
  </si>
  <si>
    <t>Where a Home Loan, Investment Home Loan or Line of Credit product has been selected, select either Owner Occupied or Investment.</t>
  </si>
  <si>
    <t>Where a commitment needs to be recorded, the fields listed below are mandatory or optional as listed.</t>
  </si>
  <si>
    <t>Optional*</t>
  </si>
  <si>
    <t>Enter in any monthly charges.  Required for all products except Overdraft and Credit Card; or where the commitment will be payed out.</t>
  </si>
  <si>
    <t>Maximum borrowing power based on existing income (not applicable to Bridging calculator)</t>
  </si>
  <si>
    <t>Maximum borrowing power based on existing income and commitments (not applicable to Bridging calculator)</t>
  </si>
  <si>
    <t>Customer Declared Expenses</t>
  </si>
  <si>
    <t>HEM Calculated Expenses</t>
  </si>
  <si>
    <t>HEM calculated living expenses</t>
  </si>
  <si>
    <t>Customer declared living expenses</t>
  </si>
  <si>
    <t>Monthly customer declared living expenses of each household</t>
  </si>
  <si>
    <t xml:space="preserve">Enter the limit or balance on the product.  Where the customer has a Line of Credit limit of $100,000 and a balance of $25,000, you must enter $100,000.
</t>
  </si>
  <si>
    <t>* Monthly Living Expenses - is the amount of money needed to maintain a reasonable standard of living, including expenses such as food, transportation, clothing, utilities, education &amp; health care.</t>
  </si>
  <si>
    <t>Monthly Living Expenses</t>
  </si>
  <si>
    <t>Enter any ‘ongoing’ annual Rental payments</t>
  </si>
  <si>
    <t>MLE Warning Percentage</t>
  </si>
  <si>
    <t>Existing Commitments Buffer</t>
  </si>
  <si>
    <t>Overtime Allowance</t>
  </si>
  <si>
    <t>Bonus Allowance</t>
  </si>
  <si>
    <t>Investment Income Allowance</t>
  </si>
  <si>
    <t>Gross Overtime</t>
  </si>
  <si>
    <t>Gross Salary or Wages</t>
  </si>
  <si>
    <t>Gross Annual Salary or Wages</t>
  </si>
  <si>
    <t>Enter in the gross salary or wages.</t>
  </si>
  <si>
    <t>Lower</t>
  </si>
  <si>
    <t>Upper</t>
  </si>
  <si>
    <t>Unlimited</t>
  </si>
  <si>
    <t>Total Gross Annual Elig Inc</t>
  </si>
  <si>
    <t>Total Gross Annual Elig Inc Brid</t>
  </si>
  <si>
    <t>Total Gross Annual Elig Inc Post</t>
  </si>
  <si>
    <t>* If the loan result says 'Input Incomplete' make sure that you have entered all mandatory data correctly.</t>
  </si>
  <si>
    <t>Is the existing commitment to be paid by the proposed loan?</t>
  </si>
  <si>
    <t>Single, 0 dep</t>
  </si>
  <si>
    <t>Single, 1 dep</t>
  </si>
  <si>
    <t>Single, 2 dep</t>
  </si>
  <si>
    <t>Single, 3 dep</t>
  </si>
  <si>
    <t>Single, add dep</t>
  </si>
  <si>
    <t>Couple, 0 dep</t>
  </si>
  <si>
    <t>Couple, 1 dep</t>
  </si>
  <si>
    <t>Couple, 2 dep</t>
  </si>
  <si>
    <t>Couple, 3 dep</t>
  </si>
  <si>
    <t>Couple, add dep</t>
  </si>
  <si>
    <t>Couple, add adult</t>
  </si>
  <si>
    <t>Single Adult</t>
  </si>
  <si>
    <t>Additional Adult</t>
  </si>
  <si>
    <t>1 Dependent</t>
  </si>
  <si>
    <t>2 Dependents</t>
  </si>
  <si>
    <t>3 Dependents</t>
  </si>
  <si>
    <t>Additional Dependent</t>
  </si>
  <si>
    <t>Property Details:</t>
  </si>
  <si>
    <t>Address</t>
  </si>
  <si>
    <t>Suburb</t>
  </si>
  <si>
    <t>Postcode</t>
  </si>
  <si>
    <t>OEV</t>
  </si>
  <si>
    <t>Declared Weekly Rental Income</t>
  </si>
  <si>
    <t>Existing or Proposed</t>
  </si>
  <si>
    <t>Declared Rental Yield</t>
  </si>
  <si>
    <t>Monthly Rental Income capped to 6%</t>
  </si>
  <si>
    <t>Annual Rental Income capped to 6%</t>
  </si>
  <si>
    <t>Share of Rental Income:</t>
  </si>
  <si>
    <t>Summary:</t>
  </si>
  <si>
    <t xml:space="preserve">Total Eligible Existing Rental Income </t>
  </si>
  <si>
    <t xml:space="preserve">Total Eligible Proposed Rental Income </t>
  </si>
  <si>
    <t>Rental Yield</t>
  </si>
  <si>
    <t>Bridging Summary:</t>
  </si>
  <si>
    <t>Enter the gross overtime received per applicant. The simulator will automatically apply 80% of the full amount as per current policy.</t>
  </si>
  <si>
    <t>Enter the gross bonuses received per applicant. The simulator will automatically apply 80% of the full amount as per current policy.</t>
  </si>
  <si>
    <t>Enter the investment income received per applicant. The simulator will automatically apply 80% of the full amount as per current policy.</t>
  </si>
  <si>
    <t>Please refer to the Postcode Lookup Tool for geographic negative gearing eligibility.</t>
  </si>
  <si>
    <t>Please refer to the Postcode Lookup Tool for specific geographic credit policy rules. To enter rental income details click on the calculator icon next to the ‘Rental Income’ field. The icon will take you to the 'Rental Details' page where you can calculate the eligible amount. When completed, click on 'Return to Calculator' &amp; the eligible amount will be updated within the customer's 'Annual Income' details.</t>
  </si>
  <si>
    <t>Rental Details for Individuals</t>
  </si>
  <si>
    <t xml:space="preserve">Refer to the Postcode Lookup Tool for geographic negative gearing eligibility. 
Note: Negative Gearing calculates the interest and monthly charges to be paid on an investment home loan each year and uses this figure as a tax deduction.  Therefore the applicant(s) taxable income will be less, which means that the tax paid by the applicant(s) will be less.
Negative gearing is not applicable in the servicing of IHL applications with a Base LVR greater than 90% or for customers receiving the First Home Buyers' grant.
</t>
  </si>
  <si>
    <t>CBA Variable Rate Home Loan</t>
  </si>
  <si>
    <t>CBA Fixed Rate Home Loan</t>
  </si>
  <si>
    <t>CBA Line of Credit</t>
  </si>
  <si>
    <t>OFI Line of Credit (Other financial institution)</t>
  </si>
  <si>
    <t>OFI Home Loan (Other financial institution)</t>
  </si>
  <si>
    <t>Remaining Term</t>
  </si>
  <si>
    <t>Existing Rental Income / Proposed Rental Income</t>
  </si>
  <si>
    <t>Eligible Percentage</t>
  </si>
  <si>
    <t>Year To Date Income Calculator</t>
  </si>
  <si>
    <t>Gross YTD Income</t>
  </si>
  <si>
    <t>Payment Date From</t>
  </si>
  <si>
    <t>Payment Date To</t>
  </si>
  <si>
    <t>Monthly Gross Salary</t>
  </si>
  <si>
    <t>Annual Gross Salary</t>
  </si>
  <si>
    <t>The $ amount needed to maintain a reasonable standard of living, e.g Housing/Property Expenses, Food, Clothing, Personal Care, Medical, Health, Fitness, Insurance, Transport/Auto, Travel, Entertainment, Children, Pets, Education, Communication, and Other.
This will exclude any expenses included elsewhere in the application such as Ongoing Annual Rental Payments</t>
  </si>
  <si>
    <t>Enter the remaining term in years.  Required where the product is either 'CBA Variable Rate Home Loan' or 'CBA Fixed Rate Home Loan' or 'OFI Line of Credit (Other financial institution)' or 'Personal Loan'</t>
  </si>
  <si>
    <t>Net to Gross Calculator</t>
  </si>
  <si>
    <t>Name of Customer</t>
  </si>
  <si>
    <t>Bank Account Credited</t>
  </si>
  <si>
    <t>Income Period</t>
  </si>
  <si>
    <t>Period Start Date</t>
  </si>
  <si>
    <t>Period End Date</t>
  </si>
  <si>
    <t>Net Income</t>
  </si>
  <si>
    <t>Income From Statement</t>
  </si>
  <si>
    <t>Add Back Deduction from after tax salary</t>
  </si>
  <si>
    <t>Add back type 1</t>
  </si>
  <si>
    <t>Add back type 2</t>
  </si>
  <si>
    <t>Add back type 3</t>
  </si>
  <si>
    <t>Add back type 4</t>
  </si>
  <si>
    <t>Add back type 5</t>
  </si>
  <si>
    <t>Total Net Income</t>
  </si>
  <si>
    <t>Total Annual Net Income</t>
  </si>
  <si>
    <t>Total Annual Gross Income</t>
  </si>
  <si>
    <t>Workings</t>
  </si>
  <si>
    <t>Notes</t>
  </si>
  <si>
    <t>Net to Gross</t>
  </si>
  <si>
    <t>Multiplier</t>
  </si>
  <si>
    <t>Weekly</t>
  </si>
  <si>
    <t>Fortnightly</t>
  </si>
  <si>
    <t>Monthly</t>
  </si>
  <si>
    <t>Quarterly</t>
  </si>
  <si>
    <t>Half Yearly</t>
  </si>
  <si>
    <t>Yearly</t>
  </si>
  <si>
    <t>Tax Rate</t>
  </si>
  <si>
    <t>Tax Carry</t>
  </si>
  <si>
    <t>Medicare Rate</t>
  </si>
  <si>
    <t>Household Eligible Income</t>
  </si>
  <si>
    <t>Household</t>
  </si>
  <si>
    <t xml:space="preserve">Tax Free </t>
  </si>
  <si>
    <t>Business Overdraft</t>
  </si>
  <si>
    <t>CONFIDENTIAL: Except authorised or otherwise agreed the Commonwealth Bank RBS Net Servicing (‘Tool’) is for the express purpose of undertaking a Home Loan assessment.  The ‘Tool’ remains confidential and is not to be published, disclosed or to be used for any purpose other than as intended</t>
  </si>
  <si>
    <t>Housing and Property Expenses</t>
  </si>
  <si>
    <t>MLE Categories</t>
  </si>
  <si>
    <t>Guidance Text</t>
  </si>
  <si>
    <t>Water, Electricity, gas, council rates, strata fees, land tax, agent fees, ongoing maintenance, repairs,gardening, pool services, cleaning services, investment property expenses</t>
  </si>
  <si>
    <t>Communication</t>
  </si>
  <si>
    <t>Clothing and Personal Care</t>
  </si>
  <si>
    <t>Insurance</t>
  </si>
  <si>
    <t>Recreation, Travel and Entertainment</t>
  </si>
  <si>
    <t>Medical, Health &amp; Fitness</t>
  </si>
  <si>
    <t>Transport and Auto</t>
  </si>
  <si>
    <t>Education</t>
  </si>
  <si>
    <t>Children and Pets</t>
  </si>
  <si>
    <t>Other Expenses and Purchases</t>
  </si>
  <si>
    <t>Internet, Pay TV, Phone, Media streaming subscriptions</t>
  </si>
  <si>
    <t>Clothing, shoes, hair and beauty treatments, beauty and hygiene products</t>
  </si>
  <si>
    <t>Car, Home and Contents, Life, Income Protection, Landlord, Private Health</t>
  </si>
  <si>
    <t>Sport, boat, holidays, dining out, movies, electronic games, electronics, tobasso, alcohol, gambling</t>
  </si>
  <si>
    <t>Bus, train, ferry, car registration, pertol, tolls, repairs and maintenance</t>
  </si>
  <si>
    <t>School/uni fees, books, materials, courses, higher education</t>
  </si>
  <si>
    <t>Day care, childcare, sports, music, tuition, nanny, pet expenses</t>
  </si>
  <si>
    <t>Monthly Living Expenses (MLE)</t>
  </si>
  <si>
    <t>Expenses incurred for other adults within the household and expenses not covered elsewhere</t>
  </si>
  <si>
    <t>Doctor, dentist, physiotherapy, medicines, eye care, glasses, gym membership</t>
  </si>
  <si>
    <t>Limit</t>
  </si>
  <si>
    <t>Balance</t>
  </si>
  <si>
    <t>Balance/Limit</t>
  </si>
  <si>
    <t xml:space="preserve">Enter the balance on the product.
</t>
  </si>
  <si>
    <t>Enter the Limit on the product</t>
  </si>
  <si>
    <t xml:space="preserve">Debt to Income (DTI): </t>
  </si>
  <si>
    <t>Bal/Lim</t>
  </si>
  <si>
    <t>Combined Debt</t>
  </si>
  <si>
    <t>Combined Income</t>
  </si>
  <si>
    <t>Debt to Income Ratio</t>
  </si>
  <si>
    <t>Debt to Income Calcs</t>
  </si>
  <si>
    <t>Debt to Income Calcs - Bridging</t>
  </si>
  <si>
    <t>Debt to Income Calcs - Post Bridging</t>
  </si>
  <si>
    <t>Margin Loan</t>
  </si>
  <si>
    <t>HECS</t>
  </si>
  <si>
    <t>Commercial Bill</t>
  </si>
  <si>
    <t>Enter the current interest rate on the product.</t>
  </si>
  <si>
    <t>Bridging repayment</t>
  </si>
  <si>
    <t>IO</t>
  </si>
  <si>
    <t>Ongoing repayment 2</t>
  </si>
  <si>
    <t>Ongoing repayment 4</t>
  </si>
  <si>
    <t>Ongoing repayment 5</t>
  </si>
  <si>
    <t>PI</t>
  </si>
  <si>
    <t>Ongoing repyament 3</t>
  </si>
  <si>
    <t>Ongoing repyament 6</t>
  </si>
  <si>
    <t xml:space="preserve">Ongoing IO  </t>
  </si>
  <si>
    <t xml:space="preserve">Ongoing PI  </t>
  </si>
  <si>
    <t xml:space="preserve">Bridging IO     </t>
  </si>
  <si>
    <t xml:space="preserve">Bridging PI     </t>
  </si>
  <si>
    <t>Ongoing</t>
  </si>
  <si>
    <t>Ongoing Totals</t>
  </si>
  <si>
    <t>Bridging Period:</t>
  </si>
  <si>
    <t xml:space="preserve">Bridging Assessment Rate </t>
  </si>
  <si>
    <t xml:space="preserve">Projected Ongoing Debt </t>
  </si>
  <si>
    <t>Ongoing Period:</t>
  </si>
  <si>
    <t xml:space="preserve">Total Proposed Monthly Commitments Ongoing </t>
  </si>
  <si>
    <t xml:space="preserve">Debt Servicing Ratio (Ongoing): </t>
  </si>
  <si>
    <t xml:space="preserve">Proposed loan result (Ongoing): </t>
  </si>
  <si>
    <t xml:space="preserve">Refer to the Postcode Lookup Tool for geographic negative gearing eligibility. 
Note: Negative Gearing calculates the interest and monthly charges to be paid on an investment home loan each year and uses this figure as a tax deduction.  Therefore the applicant(s) taxable income will be less, which means that the tax paid by the applicant(s) will be less.
Negative gearing is not applicable in the servicing of IHL applications with a Base LVR greater than 90% or for customers receiving the First Home Buyers' grant. Please add in the Ongoing Loan splits (if applicable for Negative Gearing) under 'Bridging Period' tab, to accomodate for the Negative Gearing eligibility during the Bridging Period
</t>
  </si>
  <si>
    <t>Bridging or Ongoing</t>
  </si>
  <si>
    <t>Ongoing Summary:</t>
  </si>
  <si>
    <t>Bridging Period (only applicable to Bridging calculator)</t>
  </si>
  <si>
    <t>* To include negative gearing for the Ongoing loan during Bridging period, click on the "Negative Gearing" pushbutton and fill in the desired percentages. The default percentages are set to zero.</t>
  </si>
  <si>
    <t>Proposed Loan Details / Ongoing Period</t>
  </si>
  <si>
    <t>Monthly repayments will be automatically calculated except for Lease, Hire purchase,Other and HECS products. It is not required where the commitment will be payed out.</t>
  </si>
  <si>
    <t>Enter the assessment rate for the Bridging loan.  Do not include any discounts.</t>
  </si>
  <si>
    <t>Enter the amount of the sales proceeds being used to payoff the Bridging loan and any commitments thereof.</t>
  </si>
  <si>
    <t>Bridging Period (Applicable to Bridging calculator only)</t>
  </si>
  <si>
    <r>
      <t xml:space="preserve">Enter the repayment for the Bridging loan. It could be a value between IO (Interest Only) and PI (Principal &amp; Interest). The value selected here would influence the repayment amount under </t>
    </r>
    <r>
      <rPr>
        <b/>
        <sz val="10"/>
        <rFont val="Arial"/>
        <family val="2"/>
      </rPr>
      <t>Bridging Commitments.</t>
    </r>
  </si>
  <si>
    <t>Ongoing repayment 1</t>
  </si>
  <si>
    <r>
      <t xml:space="preserve">Enter the repayment for the 1st Ongoing loan split. It could be a value between IO (Interest Only) and PI (Principal &amp; Interest). The value selected here would influence the repayment amount under </t>
    </r>
    <r>
      <rPr>
        <b/>
        <sz val="10"/>
        <rFont val="Arial"/>
        <family val="2"/>
      </rPr>
      <t>Bridging Commitments.</t>
    </r>
  </si>
  <si>
    <t>Conditional Mandatory</t>
  </si>
  <si>
    <r>
      <t xml:space="preserve">Enter the repayment for the 2nd Ongoing loan split (if there is one). It could be a value between IO (Interest Only) and PI (Principal &amp; Interest). The value selected here would influence the repayment amount under </t>
    </r>
    <r>
      <rPr>
        <b/>
        <sz val="10"/>
        <rFont val="Arial"/>
        <family val="2"/>
      </rPr>
      <t>Bridging Commitments.</t>
    </r>
  </si>
  <si>
    <t>Ongoing repayment 3</t>
  </si>
  <si>
    <r>
      <t xml:space="preserve">Enter the repayment for the 3rd Ongoing loan split (if there is one). It could be a value between IO (Interest Only) and PI (Principal &amp; Interest). The value selected here would influence the repayment amount under </t>
    </r>
    <r>
      <rPr>
        <b/>
        <sz val="10"/>
        <rFont val="Arial"/>
        <family val="2"/>
      </rPr>
      <t>Bridging Commitments.</t>
    </r>
  </si>
  <si>
    <r>
      <t xml:space="preserve">Enter the repayment for the 4th Ongoing loan split (if there is one). It could be a value between IO (Interest Only) and PI (Principal &amp; Interest). The value selected here would influence the repayment amount under </t>
    </r>
    <r>
      <rPr>
        <b/>
        <sz val="10"/>
        <rFont val="Arial"/>
        <family val="2"/>
      </rPr>
      <t>Bridging Commitments.</t>
    </r>
  </si>
  <si>
    <r>
      <t xml:space="preserve">Enter the repayment for the 5th Ongoing loan split (if there is one). It could be a value between IO (Interest Only) and PI (Principal &amp; Interest). The value selected here would influence the repayment amount under </t>
    </r>
    <r>
      <rPr>
        <b/>
        <sz val="10"/>
        <rFont val="Arial"/>
        <family val="2"/>
      </rPr>
      <t>Bridging Commitments.</t>
    </r>
  </si>
  <si>
    <t>Ongoing repayment 6</t>
  </si>
  <si>
    <r>
      <t xml:space="preserve">Enter the repayment for the 6th Ongoing loan split (if there is one). It could be a value between IO (Interest Only) and PI (Principal &amp; Interest). The value selected here would influence the repayment amount under </t>
    </r>
    <r>
      <rPr>
        <b/>
        <sz val="10"/>
        <rFont val="Arial"/>
        <family val="2"/>
      </rPr>
      <t>Bridging Commitments.</t>
    </r>
  </si>
  <si>
    <r>
      <t xml:space="preserve">Important information:
</t>
    </r>
    <r>
      <rPr>
        <sz val="10"/>
        <rFont val="Calibri"/>
        <family val="2"/>
      </rPr>
      <t>●</t>
    </r>
    <r>
      <rPr>
        <sz val="10"/>
        <rFont val="Arial"/>
        <family val="2"/>
      </rPr>
      <t xml:space="preserve"> Where the YTD period on the payslip is &lt; 3 months, you must also obtain a PAYG payment summary/Income Statement or tax return. Use the lower of the annualised YTD amount and PAYG payment summary/Income Statement or tax return.
● Where the YTD amount on the payslip contains bonus/commission payments and these are detailed on the payslip, deduct those amounts from the Gross YTD amount prior to inputting into the calculator.
● </t>
    </r>
    <r>
      <rPr>
        <b/>
        <sz val="10"/>
        <rFont val="Arial"/>
        <family val="2"/>
      </rPr>
      <t>This Calculator is to be used in conjunction with the requirements outlined in CommBroker. Noting the above may vary for different income types.</t>
    </r>
  </si>
  <si>
    <t>LITO</t>
  </si>
  <si>
    <t>Taxable_income</t>
  </si>
  <si>
    <t>Offset_tax</t>
  </si>
  <si>
    <t>cent</t>
  </si>
  <si>
    <t>LMITO</t>
  </si>
  <si>
    <t>Taxoffset Adjustment</t>
  </si>
  <si>
    <t>Income Tax(Including Offsets)</t>
  </si>
  <si>
    <r>
      <t xml:space="preserve">●This Calculator </t>
    </r>
    <r>
      <rPr>
        <b/>
        <u/>
        <sz val="10"/>
        <rFont val="Arial"/>
        <family val="2"/>
      </rPr>
      <t>is not to be used</t>
    </r>
    <r>
      <rPr>
        <sz val="10"/>
        <rFont val="Arial"/>
        <family val="2"/>
      </rPr>
      <t xml:space="preserve"> to calculate total annual gross income if the customer/s have completed a withholding declaration to claim tax offsets.
●You don't need to complete anything in your tax return in order for us to work out your low or low and middle income tax offset.We work out the amount of this tax offset for you once you lodge your tax return.
●Income must be credited over a minimum 3 month period. Where there is a difference in amounts, an averaged figure must be used (care must be taken with large variances).
● Deductions included in the add back deductions fields must be verified from a payslip retained on file.
● </t>
    </r>
    <r>
      <rPr>
        <b/>
        <sz val="10"/>
        <rFont val="Arial"/>
        <family val="2"/>
      </rPr>
      <t>This Calculator is to be used in conjuction with the requirements outlined in CommBroker. Noting the above may vary for different income types.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</si>
</sst>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3">
    <numFmt numFmtId="5" formatCode="&quot;$&quot;#,##0;\-&quot;$&quot;#,##0"/>
    <numFmt numFmtId="6" formatCode="&quot;$&quot;#,##0;[Red]\-&quot;$&quot;#,##0"/>
    <numFmt numFmtId="8" formatCode="&quot;$&quot;#,##0.00;[Red]\-&quot;$&quot;#,##0.00"/>
    <numFmt numFmtId="44" formatCode="_-&quot;$&quot;* #,##0.00_-;\-&quot;$&quot;* #,##0.00_-;_-&quot;$&quot;* &quot;-&quot;??_-;_-@_-"/>
    <numFmt numFmtId="43" formatCode="_-* #,##0.00_-;\-* #,##0.00_-;_-* &quot;-&quot;??_-;_-@_-"/>
    <numFmt numFmtId="164" formatCode="&quot;$&quot;#,##0;&quot;$&quot;\-#,##0"/>
    <numFmt numFmtId="165" formatCode="&quot;$&quot;#,##0;[Red]&quot;$&quot;\-#,##0"/>
    <numFmt numFmtId="166" formatCode="&quot;$&quot;#,##0.00;&quot;$&quot;\-#,##0.00"/>
    <numFmt numFmtId="167" formatCode="&quot;$&quot;#,##0.00;[Red]&quot;$&quot;\-#,##0.00"/>
    <numFmt numFmtId="168" formatCode="_ &quot;$&quot;* #,##0_ ;_ &quot;$&quot;* \-#,##0_ ;_ &quot;$&quot;* &quot;-&quot;_ ;_ @_ "/>
    <numFmt numFmtId="169" formatCode="_ &quot;$&quot;* #,##0.00_ ;_ &quot;$&quot;* \-#,##0.00_ ;_ &quot;$&quot;* &quot;-&quot;??_ ;_ @_ "/>
    <numFmt numFmtId="170" formatCode="0.000%"/>
    <numFmt numFmtId="171" formatCode="&quot;$&quot;#,##0"/>
    <numFmt numFmtId="172" formatCode="_(&quot;$&quot;* #,##0_);_(&quot;$&quot;* \(#,##0\);_(&quot;$&quot;* &quot;-&quot;??_);_(@_)"/>
    <numFmt numFmtId="173" formatCode="d\ mmm\ yy"/>
    <numFmt numFmtId="174" formatCode="_ &quot;$&quot;* #,##0_ ;_ &quot;$&quot;* \-#,##0_ ;_ &quot;$&quot;* &quot;-&quot;??_ ;_ @_ "/>
    <numFmt numFmtId="175" formatCode="_-&quot;$&quot;* #,##0_-;\-&quot;$&quot;* #,##0_-;_-&quot;$&quot;* &quot;-&quot;??_-;_-@_-"/>
    <numFmt numFmtId="176" formatCode="#,##0_ ;\-#,##0\ "/>
    <numFmt numFmtId="177" formatCode="_-&quot;$&quot;* #,##0.00_-;_-&quot;$&quot;* \-#,##0.00_-;_-&quot;$&quot;* &quot;-&quot;??_-;_-@_-"/>
    <numFmt numFmtId="178" formatCode="&quot;$&quot;#,##0.00"/>
    <numFmt numFmtId="179" formatCode="0.0%"/>
    <numFmt numFmtId="180" formatCode="_-&quot;$&quot;* #,##0.0_-;\-&quot;$&quot;* #,##0.0_-;_-&quot;$&quot;* &quot;-&quot;??_-;_-@_-"/>
    <numFmt numFmtId="181" formatCode="_-* #,##0_-;\-* #,##0_-;_-* &quot;-&quot;??_-;_-@_-"/>
  </numFmts>
  <fonts count="49" x14ac:knownFonts="1">
    <font>
      <sz val="10"/>
      <name val="Arial"/>
    </font>
    <font>
      <sz val="10"/>
      <name val="Arial"/>
      <family val="2"/>
    </font>
    <font>
      <b/>
      <sz val="14"/>
      <name val="Arial"/>
      <family val="2"/>
    </font>
    <font>
      <sz val="8"/>
      <name val="Arial"/>
      <family val="2"/>
    </font>
    <font>
      <b/>
      <sz val="12"/>
      <name val="Arial"/>
      <family val="2"/>
    </font>
    <font>
      <b/>
      <sz val="10"/>
      <name val="Verdana"/>
      <family val="2"/>
    </font>
    <font>
      <b/>
      <sz val="10"/>
      <name val="Arial"/>
      <family val="2"/>
    </font>
    <font>
      <i/>
      <sz val="10"/>
      <name val="Arial"/>
      <family val="2"/>
    </font>
    <font>
      <sz val="10"/>
      <name val="Arial"/>
      <family val="2"/>
    </font>
    <font>
      <b/>
      <sz val="14"/>
      <color indexed="8"/>
      <name val="Arial Narrow"/>
      <family val="2"/>
    </font>
    <font>
      <b/>
      <sz val="13"/>
      <color indexed="8"/>
      <name val="Arial Narrow"/>
      <family val="2"/>
    </font>
    <font>
      <sz val="10"/>
      <color indexed="12"/>
      <name val="Arial"/>
      <family val="2"/>
    </font>
    <font>
      <b/>
      <sz val="10"/>
      <color indexed="12"/>
      <name val="Arial"/>
      <family val="2"/>
    </font>
    <font>
      <sz val="10"/>
      <color indexed="24"/>
      <name val="Arial"/>
      <family val="2"/>
    </font>
    <font>
      <sz val="10"/>
      <color indexed="10"/>
      <name val="Arial"/>
      <family val="2"/>
    </font>
    <font>
      <sz val="10"/>
      <color indexed="16"/>
      <name val="Arial"/>
      <family val="2"/>
    </font>
    <font>
      <sz val="12"/>
      <name val="Tahoma"/>
      <family val="2"/>
    </font>
    <font>
      <b/>
      <sz val="10"/>
      <color indexed="8"/>
      <name val="Arial"/>
      <family val="2"/>
    </font>
    <font>
      <sz val="11"/>
      <name val="Arial"/>
      <family val="2"/>
    </font>
    <font>
      <b/>
      <sz val="12"/>
      <color indexed="8"/>
      <name val="Arial"/>
      <family val="2"/>
    </font>
    <font>
      <b/>
      <u/>
      <sz val="12"/>
      <color indexed="8"/>
      <name val="Arial"/>
      <family val="2"/>
    </font>
    <font>
      <sz val="12"/>
      <name val="Arial"/>
      <family val="2"/>
    </font>
    <font>
      <b/>
      <i/>
      <sz val="10"/>
      <name val="Arial"/>
      <family val="2"/>
    </font>
    <font>
      <sz val="14"/>
      <name val="Arial"/>
      <family val="2"/>
    </font>
    <font>
      <sz val="14"/>
      <color indexed="10"/>
      <name val="Arial"/>
      <family val="2"/>
    </font>
    <font>
      <b/>
      <sz val="10"/>
      <color indexed="18"/>
      <name val="Arial"/>
      <family val="2"/>
    </font>
    <font>
      <b/>
      <sz val="10"/>
      <color indexed="13"/>
      <name val="Arial"/>
      <family val="2"/>
    </font>
    <font>
      <sz val="8"/>
      <name val="Arial"/>
      <family val="2"/>
    </font>
    <font>
      <sz val="10"/>
      <color indexed="10"/>
      <name val="Arial"/>
      <family val="2"/>
    </font>
    <font>
      <sz val="10"/>
      <color indexed="9"/>
      <name val="Arial"/>
      <family val="2"/>
    </font>
    <font>
      <sz val="8"/>
      <color indexed="81"/>
      <name val="Tahoma"/>
      <family val="2"/>
    </font>
    <font>
      <b/>
      <sz val="8"/>
      <color indexed="81"/>
      <name val="Tahoma"/>
      <family val="2"/>
    </font>
    <font>
      <b/>
      <sz val="8"/>
      <name val="Arial"/>
      <family val="2"/>
    </font>
    <font>
      <b/>
      <sz val="14"/>
      <name val="Arial Narrow"/>
      <family val="2"/>
    </font>
    <font>
      <sz val="10"/>
      <name val="Arial"/>
      <family val="2"/>
    </font>
    <font>
      <b/>
      <sz val="9"/>
      <color indexed="81"/>
      <name val="Tahoma"/>
      <family val="2"/>
    </font>
    <font>
      <sz val="9"/>
      <color indexed="81"/>
      <name val="Tahoma"/>
      <family val="2"/>
    </font>
    <font>
      <sz val="10"/>
      <name val="Arial"/>
      <family val="2"/>
    </font>
    <font>
      <sz val="10"/>
      <color theme="0"/>
      <name val="Arial"/>
      <family val="2"/>
    </font>
    <font>
      <sz val="10"/>
      <color rgb="FFC00000"/>
      <name val="Arial"/>
      <family val="2"/>
    </font>
    <font>
      <sz val="10"/>
      <color rgb="FF000000"/>
      <name val="Arial"/>
      <family val="2"/>
    </font>
    <font>
      <b/>
      <sz val="14"/>
      <color rgb="FF000000"/>
      <name val="Arial"/>
      <family val="2"/>
    </font>
    <font>
      <b/>
      <sz val="10"/>
      <color rgb="FF000000"/>
      <name val="Arial"/>
      <family val="2"/>
    </font>
    <font>
      <sz val="10"/>
      <color rgb="FFFF0000"/>
      <name val="Arial"/>
      <family val="2"/>
    </font>
    <font>
      <b/>
      <sz val="10"/>
      <color theme="0"/>
      <name val="Arial"/>
      <family val="2"/>
    </font>
    <font>
      <sz val="10"/>
      <name val="Calibri"/>
      <family val="2"/>
    </font>
    <font>
      <sz val="10"/>
      <color theme="9"/>
      <name val="Arial"/>
      <family val="2"/>
    </font>
    <font>
      <sz val="10"/>
      <name val="Arial"/>
      <family val="2"/>
    </font>
    <font>
      <b/>
      <u/>
      <sz val="10"/>
      <name val="Arial"/>
      <family val="2"/>
    </font>
  </fonts>
  <fills count="17">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9"/>
        <bgColor indexed="64"/>
      </patternFill>
    </fill>
    <fill>
      <patternFill patternType="solid">
        <fgColor indexed="42"/>
        <bgColor indexed="64"/>
      </patternFill>
    </fill>
    <fill>
      <patternFill patternType="solid">
        <fgColor indexed="13"/>
        <bgColor indexed="64"/>
      </patternFill>
    </fill>
    <fill>
      <patternFill patternType="solid">
        <fgColor indexed="41"/>
        <bgColor indexed="64"/>
      </patternFill>
    </fill>
    <fill>
      <patternFill patternType="solid">
        <fgColor indexed="44"/>
        <bgColor indexed="64"/>
      </patternFill>
    </fill>
    <fill>
      <patternFill patternType="solid">
        <fgColor indexed="17"/>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FFCC99"/>
        <bgColor indexed="64"/>
      </patternFill>
    </fill>
    <fill>
      <patternFill patternType="solid">
        <fgColor theme="0"/>
        <bgColor indexed="64"/>
      </patternFill>
    </fill>
    <fill>
      <patternFill patternType="solid">
        <fgColor rgb="FF66FFFF"/>
        <bgColor indexed="64"/>
      </patternFill>
    </fill>
  </fills>
  <borders count="14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12"/>
      </left>
      <right style="thin">
        <color indexed="12"/>
      </right>
      <top style="thin">
        <color indexed="12"/>
      </top>
      <bottom style="thin">
        <color indexed="12"/>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53"/>
      </left>
      <right/>
      <top style="medium">
        <color indexed="53"/>
      </top>
      <bottom style="medium">
        <color indexed="53"/>
      </bottom>
      <diagonal/>
    </border>
    <border>
      <left/>
      <right/>
      <top style="medium">
        <color indexed="53"/>
      </top>
      <bottom style="medium">
        <color indexed="53"/>
      </bottom>
      <diagonal/>
    </border>
    <border>
      <left style="medium">
        <color indexed="53"/>
      </left>
      <right/>
      <top/>
      <bottom/>
      <diagonal/>
    </border>
    <border>
      <left style="thin">
        <color indexed="64"/>
      </left>
      <right style="thin">
        <color indexed="64"/>
      </right>
      <top style="thin">
        <color indexed="12"/>
      </top>
      <bottom style="thin">
        <color indexed="12"/>
      </bottom>
      <diagonal/>
    </border>
    <border>
      <left style="thin">
        <color indexed="53"/>
      </left>
      <right/>
      <top style="thin">
        <color indexed="53"/>
      </top>
      <bottom style="thin">
        <color indexed="53"/>
      </bottom>
      <diagonal/>
    </border>
    <border>
      <left/>
      <right/>
      <top style="thin">
        <color indexed="53"/>
      </top>
      <bottom style="thin">
        <color indexed="53"/>
      </bottom>
      <diagonal/>
    </border>
    <border>
      <left/>
      <right style="thin">
        <color indexed="53"/>
      </right>
      <top style="thin">
        <color indexed="53"/>
      </top>
      <bottom style="thin">
        <color indexed="53"/>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thin">
        <color indexed="64"/>
      </left>
      <right style="thin">
        <color indexed="64"/>
      </right>
      <top style="thin">
        <color indexed="12"/>
      </top>
      <bottom style="thin">
        <color indexed="64"/>
      </bottom>
      <diagonal/>
    </border>
    <border>
      <left style="thin">
        <color indexed="64"/>
      </left>
      <right style="thin">
        <color indexed="64"/>
      </right>
      <top style="thin">
        <color indexed="64"/>
      </top>
      <bottom style="thin">
        <color indexed="12"/>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medium">
        <color indexed="53"/>
      </right>
      <top style="medium">
        <color indexed="53"/>
      </top>
      <bottom style="medium">
        <color indexed="53"/>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12"/>
      </left>
      <right style="medium">
        <color indexed="12"/>
      </right>
      <top style="thin">
        <color indexed="12"/>
      </top>
      <bottom style="medium">
        <color indexed="12"/>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12"/>
      </left>
      <right style="thin">
        <color indexed="12"/>
      </right>
      <top style="thin">
        <color indexed="12"/>
      </top>
      <bottom/>
      <diagonal/>
    </border>
    <border>
      <left style="thin">
        <color indexed="8"/>
      </left>
      <right style="thin">
        <color indexed="8"/>
      </right>
      <top style="thin">
        <color indexed="8"/>
      </top>
      <bottom style="thin">
        <color indexed="8"/>
      </bottom>
      <diagonal/>
    </border>
    <border>
      <left style="thin">
        <color indexed="12"/>
      </left>
      <right style="thin">
        <color indexed="12"/>
      </right>
      <top style="thin">
        <color indexed="12"/>
      </top>
      <bottom style="thin">
        <color indexed="64"/>
      </bottom>
      <diagonal/>
    </border>
    <border>
      <left style="thin">
        <color indexed="12"/>
      </left>
      <right style="thin">
        <color indexed="12"/>
      </right>
      <top style="thin">
        <color indexed="64"/>
      </top>
      <bottom/>
      <diagonal/>
    </border>
    <border>
      <left style="thin">
        <color indexed="12"/>
      </left>
      <right style="thin">
        <color indexed="12"/>
      </right>
      <top/>
      <bottom style="thin">
        <color indexed="64"/>
      </bottom>
      <diagonal/>
    </border>
    <border>
      <left style="thin">
        <color indexed="12"/>
      </left>
      <right style="thin">
        <color indexed="12"/>
      </right>
      <top style="thin">
        <color indexed="64"/>
      </top>
      <bottom style="thin">
        <color indexed="64"/>
      </bottom>
      <diagonal/>
    </border>
    <border>
      <left style="thin">
        <color indexed="12"/>
      </left>
      <right style="thin">
        <color indexed="64"/>
      </right>
      <top style="thin">
        <color indexed="64"/>
      </top>
      <bottom style="thin">
        <color indexed="64"/>
      </bottom>
      <diagonal/>
    </border>
    <border>
      <left style="thin">
        <color indexed="12"/>
      </left>
      <right style="thin">
        <color indexed="64"/>
      </right>
      <top style="thin">
        <color indexed="64"/>
      </top>
      <bottom/>
      <diagonal/>
    </border>
    <border>
      <left/>
      <right/>
      <top style="medium">
        <color indexed="64"/>
      </top>
      <bottom/>
      <diagonal/>
    </border>
    <border>
      <left/>
      <right/>
      <top style="thin">
        <color indexed="12"/>
      </top>
      <bottom/>
      <diagonal/>
    </border>
    <border>
      <left style="thin">
        <color indexed="12"/>
      </left>
      <right/>
      <top style="thin">
        <color indexed="12"/>
      </top>
      <bottom style="thin">
        <color indexed="12"/>
      </bottom>
      <diagonal/>
    </border>
    <border>
      <left style="thin">
        <color indexed="64"/>
      </left>
      <right/>
      <top style="thin">
        <color indexed="64"/>
      </top>
      <bottom style="thin">
        <color indexed="12"/>
      </bottom>
      <diagonal/>
    </border>
    <border>
      <left/>
      <right style="thin">
        <color indexed="12"/>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rgb="FF0000FF"/>
      </right>
      <top style="thin">
        <color indexed="64"/>
      </top>
      <bottom style="thin">
        <color indexed="12"/>
      </bottom>
      <diagonal/>
    </border>
    <border>
      <left style="thin">
        <color rgb="FF0000FF"/>
      </left>
      <right style="thin">
        <color rgb="FF0000FF"/>
      </right>
      <top style="thin">
        <color rgb="FF0000FF"/>
      </top>
      <bottom style="thin">
        <color rgb="FF0000FF"/>
      </bottom>
      <diagonal/>
    </border>
    <border>
      <left style="thin">
        <color theme="1"/>
      </left>
      <right style="thin">
        <color theme="1"/>
      </right>
      <top style="thin">
        <color theme="1"/>
      </top>
      <bottom style="thin">
        <color rgb="FF0000FF"/>
      </bottom>
      <diagonal/>
    </border>
    <border>
      <left/>
      <right/>
      <top style="thin">
        <color auto="1"/>
      </top>
      <bottom style="thin">
        <color auto="1"/>
      </bottom>
      <diagonal/>
    </border>
    <border>
      <left style="thin">
        <color theme="1"/>
      </left>
      <right/>
      <top/>
      <bottom/>
      <diagonal/>
    </border>
    <border>
      <left style="thin">
        <color rgb="FF0000FF"/>
      </left>
      <right/>
      <top/>
      <bottom/>
      <diagonal/>
    </border>
    <border>
      <left style="thin">
        <color indexed="64"/>
      </left>
      <right/>
      <top style="thin">
        <color indexed="64"/>
      </top>
      <bottom style="thin">
        <color theme="1"/>
      </bottom>
      <diagonal/>
    </border>
    <border>
      <left/>
      <right/>
      <top style="thin">
        <color indexed="64"/>
      </top>
      <bottom style="thin">
        <color theme="1"/>
      </bottom>
      <diagonal/>
    </border>
    <border>
      <left/>
      <right style="thin">
        <color indexed="64"/>
      </right>
      <top style="thin">
        <color indexed="64"/>
      </top>
      <bottom style="thin">
        <color theme="1"/>
      </bottom>
      <diagonal/>
    </border>
    <border>
      <left style="medium">
        <color rgb="FFFF6600"/>
      </left>
      <right/>
      <top style="medium">
        <color rgb="FFFF6600"/>
      </top>
      <bottom style="medium">
        <color rgb="FFFF6600"/>
      </bottom>
      <diagonal/>
    </border>
    <border>
      <left style="medium">
        <color rgb="FF008000"/>
      </left>
      <right/>
      <top style="medium">
        <color rgb="FFFF6600"/>
      </top>
      <bottom style="medium">
        <color rgb="FFFF6600"/>
      </bottom>
      <diagonal/>
    </border>
    <border>
      <left/>
      <right/>
      <top style="medium">
        <color rgb="FFFF6600"/>
      </top>
      <bottom style="medium">
        <color rgb="FFFF6600"/>
      </bottom>
      <diagonal/>
    </border>
    <border>
      <left/>
      <right style="medium">
        <color rgb="FFFF6600"/>
      </right>
      <top style="medium">
        <color rgb="FFFF6600"/>
      </top>
      <bottom style="medium">
        <color rgb="FFFF6600"/>
      </bottom>
      <diagonal/>
    </border>
    <border>
      <left style="thin">
        <color rgb="FFFF6600"/>
      </left>
      <right/>
      <top style="thin">
        <color rgb="FFFF6600"/>
      </top>
      <bottom style="thin">
        <color rgb="FFFF6600"/>
      </bottom>
      <diagonal/>
    </border>
    <border>
      <left style="thin">
        <color rgb="FF0080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rgb="FF0000FF"/>
      </bottom>
      <diagonal/>
    </border>
    <border>
      <left/>
      <right/>
      <top style="thin">
        <color auto="1"/>
      </top>
      <bottom style="thin">
        <color auto="1"/>
      </bottom>
      <diagonal/>
    </border>
    <border>
      <left style="thin">
        <color theme="1"/>
      </left>
      <right style="thin">
        <color theme="1"/>
      </right>
      <top style="thin">
        <color indexed="12"/>
      </top>
      <bottom style="thin">
        <color theme="1"/>
      </bottom>
      <diagonal/>
    </border>
    <border>
      <left style="thin">
        <color theme="1"/>
      </left>
      <right style="thin">
        <color theme="1"/>
      </right>
      <top style="thin">
        <color theme="1"/>
      </top>
      <bottom style="thin">
        <color indexed="12"/>
      </bottom>
      <diagonal/>
    </border>
    <border>
      <left style="thin">
        <color theme="1"/>
      </left>
      <right style="thin">
        <color indexed="64"/>
      </right>
      <top style="thin">
        <color indexed="64"/>
      </top>
      <bottom style="thin">
        <color indexed="64"/>
      </bottom>
      <diagonal/>
    </border>
    <border>
      <left/>
      <right/>
      <top/>
      <bottom style="thin">
        <color indexed="53"/>
      </bottom>
      <diagonal/>
    </border>
    <border>
      <left style="thin">
        <color theme="1"/>
      </left>
      <right style="thin">
        <color theme="1"/>
      </right>
      <top style="thin">
        <color theme="1"/>
      </top>
      <bottom style="thin">
        <color theme="1"/>
      </bottom>
      <diagonal/>
    </border>
    <border>
      <left style="thin">
        <color indexed="12"/>
      </left>
      <right style="thin">
        <color indexed="12"/>
      </right>
      <top style="thin">
        <color indexed="64"/>
      </top>
      <bottom/>
      <diagonal/>
    </border>
    <border>
      <left style="thin">
        <color rgb="FF0000FF"/>
      </left>
      <right style="thin">
        <color auto="1"/>
      </right>
      <top style="thin">
        <color indexed="64"/>
      </top>
      <bottom style="thin">
        <color auto="1"/>
      </bottom>
      <diagonal/>
    </border>
    <border>
      <left style="thin">
        <color rgb="FF0000FF"/>
      </left>
      <right style="thin">
        <color rgb="FF0000FF"/>
      </right>
      <top style="thin">
        <color auto="1"/>
      </top>
      <bottom style="thin">
        <color auto="1"/>
      </bottom>
      <diagonal/>
    </border>
    <border>
      <left style="thin">
        <color indexed="64"/>
      </left>
      <right style="thin">
        <color rgb="FF0000FF"/>
      </right>
      <top style="thin">
        <color indexed="64"/>
      </top>
      <bottom style="thin">
        <color indexed="64"/>
      </bottom>
      <diagonal/>
    </border>
    <border>
      <left style="thin">
        <color rgb="FF0000FF"/>
      </left>
      <right style="thin">
        <color theme="1"/>
      </right>
      <top style="thin">
        <color indexed="64"/>
      </top>
      <bottom style="thin">
        <color theme="1"/>
      </bottom>
      <diagonal/>
    </border>
    <border>
      <left style="thin">
        <color theme="1"/>
      </left>
      <right style="thin">
        <color theme="1"/>
      </right>
      <top style="thin">
        <color indexed="64"/>
      </top>
      <bottom style="thin">
        <color theme="1"/>
      </bottom>
      <diagonal/>
    </border>
    <border>
      <left style="thin">
        <color rgb="FF0000FF"/>
      </left>
      <right style="thin">
        <color theme="1"/>
      </right>
      <top style="thin">
        <color theme="1"/>
      </top>
      <bottom style="thin">
        <color theme="1"/>
      </bottom>
      <diagonal/>
    </border>
    <border>
      <left style="thin">
        <color indexed="12"/>
      </left>
      <right style="thin">
        <color indexed="12"/>
      </right>
      <top style="thin">
        <color indexed="12"/>
      </top>
      <bottom style="thin">
        <color indexed="1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rgb="FF0000FF"/>
      </left>
      <right style="thin">
        <color indexed="64"/>
      </right>
      <top style="thin">
        <color rgb="FF0000FF"/>
      </top>
      <bottom style="thin">
        <color rgb="FF0000FF"/>
      </bottom>
      <diagonal/>
    </border>
    <border>
      <left style="thin">
        <color indexed="64"/>
      </left>
      <right style="thin">
        <color indexed="64"/>
      </right>
      <top style="thin">
        <color rgb="FF0000FF"/>
      </top>
      <bottom style="thin">
        <color rgb="FF0000FF"/>
      </bottom>
      <diagonal/>
    </border>
    <border>
      <left style="thin">
        <color indexed="64"/>
      </left>
      <right style="thin">
        <color rgb="FF0000FF"/>
      </right>
      <top style="thin">
        <color rgb="FF0000FF"/>
      </top>
      <bottom style="thin">
        <color rgb="FF0000FF"/>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thin">
        <color indexed="12"/>
      </left>
      <right/>
      <top style="thin">
        <color auto="1"/>
      </top>
      <bottom style="thin">
        <color indexed="64"/>
      </bottom>
      <diagonal/>
    </border>
    <border>
      <left style="thin">
        <color indexed="12"/>
      </left>
      <right style="thin">
        <color auto="1"/>
      </right>
      <top style="thin">
        <color auto="1"/>
      </top>
      <bottom style="thin">
        <color indexed="64"/>
      </bottom>
      <diagonal/>
    </border>
    <border>
      <left/>
      <right/>
      <top style="thin">
        <color indexed="53"/>
      </top>
      <bottom style="thin">
        <color indexed="53"/>
      </bottom>
      <diagonal/>
    </border>
    <border>
      <left style="thin">
        <color indexed="12"/>
      </left>
      <right/>
      <top style="thin">
        <color indexed="12"/>
      </top>
      <bottom style="thin">
        <color indexed="12"/>
      </bottom>
      <diagonal/>
    </border>
    <border>
      <left/>
      <right/>
      <top style="thin">
        <color indexed="12"/>
      </top>
      <bottom/>
      <diagonal/>
    </border>
    <border>
      <left style="thin">
        <color indexed="12"/>
      </left>
      <right style="thin">
        <color indexed="12"/>
      </right>
      <top style="thin">
        <color rgb="FF0000FF"/>
      </top>
      <bottom style="thin">
        <color indexed="12"/>
      </bottom>
      <diagonal/>
    </border>
    <border>
      <left style="thin">
        <color indexed="64"/>
      </left>
      <right/>
      <top style="thin">
        <color indexed="64"/>
      </top>
      <bottom style="thin">
        <color indexed="12"/>
      </bottom>
      <diagonal/>
    </border>
    <border>
      <left/>
      <right style="thin">
        <color indexed="64"/>
      </right>
      <top style="thin">
        <color indexed="64"/>
      </top>
      <bottom style="thin">
        <color indexed="12"/>
      </bottom>
      <diagonal/>
    </border>
    <border>
      <left style="thin">
        <color indexed="12"/>
      </left>
      <right/>
      <top/>
      <bottom/>
      <diagonal/>
    </border>
    <border>
      <left/>
      <right/>
      <top style="thin">
        <color indexed="64"/>
      </top>
      <bottom style="thin">
        <color indexed="12"/>
      </bottom>
      <diagonal/>
    </border>
    <border>
      <left style="thin">
        <color indexed="64"/>
      </left>
      <right/>
      <top/>
      <bottom style="thin">
        <color rgb="FF0000FF"/>
      </bottom>
      <diagonal/>
    </border>
    <border>
      <left/>
      <right/>
      <top/>
      <bottom style="thin">
        <color rgb="FF0000FF"/>
      </bottom>
      <diagonal/>
    </border>
    <border>
      <left/>
      <right style="thin">
        <color indexed="64"/>
      </right>
      <top/>
      <bottom style="thin">
        <color rgb="FF0000FF"/>
      </bottom>
      <diagonal/>
    </border>
    <border>
      <left/>
      <right style="thin">
        <color indexed="12"/>
      </right>
      <top style="thin">
        <color rgb="FF0000FF"/>
      </top>
      <bottom style="thin">
        <color indexed="12"/>
      </bottom>
      <diagonal/>
    </border>
    <border>
      <left style="thin">
        <color indexed="12"/>
      </left>
      <right/>
      <top style="thin">
        <color rgb="FF0000FF"/>
      </top>
      <bottom style="thin">
        <color indexed="12"/>
      </bottom>
      <diagonal/>
    </border>
    <border>
      <left/>
      <right/>
      <top style="thin">
        <color rgb="FF0000FF"/>
      </top>
      <bottom style="thin">
        <color indexed="12"/>
      </bottom>
      <diagonal/>
    </border>
    <border>
      <left style="thin">
        <color indexed="12"/>
      </left>
      <right style="thin">
        <color indexed="12"/>
      </right>
      <top/>
      <bottom style="thin">
        <color indexed="12"/>
      </bottom>
      <diagonal/>
    </border>
    <border>
      <left style="thin">
        <color indexed="12"/>
      </left>
      <right style="thin">
        <color auto="1"/>
      </right>
      <top style="thin">
        <color indexed="64"/>
      </top>
      <bottom style="thin">
        <color theme="1"/>
      </bottom>
      <diagonal/>
    </border>
    <border>
      <left/>
      <right style="thin">
        <color indexed="12"/>
      </right>
      <top style="thin">
        <color indexed="64"/>
      </top>
      <bottom style="thin">
        <color indexed="64"/>
      </bottom>
      <diagonal/>
    </border>
    <border>
      <left style="thin">
        <color indexed="12"/>
      </left>
      <right style="thin">
        <color auto="1"/>
      </right>
      <top style="thin">
        <color theme="1"/>
      </top>
      <bottom style="thin">
        <color theme="1"/>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12"/>
      </left>
      <right style="thin">
        <color indexed="12"/>
      </right>
      <top style="thin">
        <color auto="1"/>
      </top>
      <bottom style="thin">
        <color auto="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rgb="FFFF6600"/>
      </right>
      <top style="thin">
        <color indexed="53"/>
      </top>
      <bottom style="thin">
        <color indexed="53"/>
      </bottom>
      <diagonal/>
    </border>
    <border>
      <left/>
      <right style="thin">
        <color theme="1"/>
      </right>
      <top/>
      <bottom/>
      <diagonal/>
    </border>
    <border>
      <left/>
      <right style="thin">
        <color theme="1"/>
      </right>
      <top/>
      <bottom style="thin">
        <color theme="1"/>
      </bottom>
      <diagonal/>
    </border>
    <border>
      <left/>
      <right/>
      <top/>
      <bottom style="thin">
        <color theme="1"/>
      </bottom>
      <diagonal/>
    </border>
    <border>
      <left style="thin">
        <color indexed="12"/>
      </left>
      <right style="thin">
        <color indexed="12"/>
      </right>
      <top style="thin">
        <color indexed="12"/>
      </top>
      <bottom/>
      <diagonal/>
    </border>
  </borders>
  <cellStyleXfs count="4">
    <xf numFmtId="0" fontId="0" fillId="0" borderId="0"/>
    <xf numFmtId="169" fontId="1" fillId="0" borderId="0" applyFont="0" applyFill="0" applyBorder="0" applyAlignment="0" applyProtection="0"/>
    <xf numFmtId="9" fontId="1" fillId="0" borderId="0" applyFont="0" applyFill="0" applyBorder="0" applyAlignment="0" applyProtection="0"/>
    <xf numFmtId="43" fontId="47" fillId="0" borderId="0" applyFont="0" applyFill="0" applyBorder="0" applyAlignment="0" applyProtection="0"/>
  </cellStyleXfs>
  <cellXfs count="1059">
    <xf numFmtId="0" fontId="0" fillId="0" borderId="0" xfId="0"/>
    <xf numFmtId="0" fontId="0" fillId="0" borderId="0" xfId="0" applyFill="1"/>
    <xf numFmtId="0" fontId="3" fillId="0" borderId="0" xfId="0" applyFont="1" applyFill="1" applyAlignment="1">
      <alignment horizontal="right"/>
    </xf>
    <xf numFmtId="0" fontId="0" fillId="0" borderId="0" xfId="0" applyFill="1" applyAlignment="1">
      <alignment horizontal="right"/>
    </xf>
    <xf numFmtId="0" fontId="3" fillId="0" borderId="0" xfId="0" applyFont="1" applyFill="1" applyAlignment="1">
      <alignment horizontal="center"/>
    </xf>
    <xf numFmtId="0" fontId="0" fillId="0" borderId="1" xfId="0" applyFill="1" applyBorder="1"/>
    <xf numFmtId="0" fontId="0" fillId="0" borderId="2" xfId="0" applyFill="1" applyBorder="1"/>
    <xf numFmtId="0" fontId="0" fillId="0" borderId="3" xfId="0" applyFill="1" applyBorder="1"/>
    <xf numFmtId="0" fontId="0" fillId="0" borderId="4" xfId="0" applyFill="1" applyBorder="1"/>
    <xf numFmtId="0" fontId="0" fillId="0" borderId="0" xfId="0" applyFill="1" applyBorder="1"/>
    <xf numFmtId="0" fontId="0" fillId="0" borderId="5" xfId="0" applyFill="1" applyBorder="1"/>
    <xf numFmtId="0" fontId="4" fillId="0" borderId="0" xfId="0" applyFont="1" applyFill="1" applyBorder="1"/>
    <xf numFmtId="0" fontId="0" fillId="0" borderId="0" xfId="0" applyFill="1" applyBorder="1" applyAlignment="1"/>
    <xf numFmtId="0" fontId="0" fillId="0" borderId="6" xfId="0" applyFill="1" applyBorder="1" applyAlignment="1"/>
    <xf numFmtId="0" fontId="0" fillId="0" borderId="4" xfId="0" applyFill="1" applyBorder="1" applyAlignment="1"/>
    <xf numFmtId="0" fontId="0" fillId="0" borderId="5" xfId="0" applyFill="1" applyBorder="1" applyAlignment="1"/>
    <xf numFmtId="0" fontId="0" fillId="0" borderId="0" xfId="0" applyAlignment="1"/>
    <xf numFmtId="0" fontId="0" fillId="2" borderId="6" xfId="0" applyFill="1" applyBorder="1" applyAlignment="1"/>
    <xf numFmtId="0" fontId="0" fillId="0" borderId="0" xfId="0" applyFill="1" applyBorder="1" applyAlignment="1">
      <alignment wrapText="1"/>
    </xf>
    <xf numFmtId="0" fontId="5" fillId="0" borderId="7" xfId="0" applyFont="1" applyFill="1" applyBorder="1" applyAlignment="1">
      <alignment horizontal="center"/>
    </xf>
    <xf numFmtId="0" fontId="0" fillId="0" borderId="7" xfId="0" applyFill="1" applyBorder="1" applyAlignment="1">
      <alignment horizontal="center" vertical="center" wrapText="1"/>
    </xf>
    <xf numFmtId="0" fontId="0" fillId="0" borderId="9" xfId="0" applyFill="1" applyBorder="1"/>
    <xf numFmtId="0" fontId="0" fillId="0" borderId="10" xfId="0" applyFill="1" applyBorder="1"/>
    <xf numFmtId="0" fontId="9" fillId="3" borderId="11" xfId="0" applyFont="1" applyFill="1" applyBorder="1" applyAlignment="1" applyProtection="1">
      <alignment vertical="center"/>
      <protection hidden="1"/>
    </xf>
    <xf numFmtId="0" fontId="10" fillId="3" borderId="12" xfId="0" applyFont="1" applyFill="1" applyBorder="1" applyAlignment="1" applyProtection="1">
      <alignment vertical="center"/>
      <protection hidden="1"/>
    </xf>
    <xf numFmtId="0" fontId="0" fillId="0" borderId="13" xfId="0" applyFill="1" applyBorder="1"/>
    <xf numFmtId="0" fontId="0" fillId="0" borderId="5" xfId="0" applyFill="1" applyBorder="1" applyAlignment="1" applyProtection="1">
      <alignment vertical="top"/>
      <protection hidden="1"/>
    </xf>
    <xf numFmtId="0" fontId="11" fillId="0" borderId="0" xfId="0" applyFont="1" applyFill="1" applyBorder="1" applyAlignment="1" applyProtection="1">
      <alignment vertical="top"/>
      <protection hidden="1"/>
    </xf>
    <xf numFmtId="0" fontId="0" fillId="0" borderId="0" xfId="0" applyFill="1" applyBorder="1" applyAlignment="1" applyProtection="1">
      <alignment vertical="top"/>
      <protection hidden="1"/>
    </xf>
    <xf numFmtId="0" fontId="0" fillId="0" borderId="0" xfId="0" applyFill="1" applyAlignment="1">
      <alignment horizontal="center"/>
    </xf>
    <xf numFmtId="0" fontId="0" fillId="0" borderId="0" xfId="0" applyFill="1" applyBorder="1" applyAlignment="1" applyProtection="1">
      <alignment horizontal="right" vertical="top"/>
      <protection hidden="1"/>
    </xf>
    <xf numFmtId="0" fontId="0" fillId="0" borderId="0" xfId="0" applyFill="1" applyBorder="1" applyAlignment="1">
      <alignment horizontal="right"/>
    </xf>
    <xf numFmtId="0" fontId="13" fillId="0" borderId="0" xfId="0" applyFont="1" applyFill="1" applyBorder="1" applyAlignment="1" applyProtection="1">
      <alignment vertical="top"/>
      <protection hidden="1"/>
    </xf>
    <xf numFmtId="0" fontId="6" fillId="0" borderId="6" xfId="0" applyFont="1" applyFill="1" applyBorder="1" applyAlignment="1" applyProtection="1">
      <alignment horizontal="center" vertical="top"/>
      <protection locked="0"/>
    </xf>
    <xf numFmtId="0" fontId="6" fillId="0" borderId="6" xfId="0" applyFont="1" applyFill="1" applyBorder="1" applyAlignment="1" applyProtection="1">
      <alignment horizontal="center" vertical="center"/>
      <protection locked="0"/>
    </xf>
    <xf numFmtId="0" fontId="6" fillId="0" borderId="14" xfId="0" applyFont="1" applyFill="1" applyBorder="1" applyAlignment="1" applyProtection="1">
      <alignment horizontal="center" vertical="top"/>
      <protection hidden="1"/>
    </xf>
    <xf numFmtId="0" fontId="2" fillId="3" borderId="15" xfId="0" applyFont="1" applyFill="1" applyBorder="1" applyAlignment="1" applyProtection="1">
      <alignment vertical="center"/>
      <protection hidden="1"/>
    </xf>
    <xf numFmtId="0" fontId="2" fillId="3" borderId="16" xfId="0" applyFont="1" applyFill="1" applyBorder="1" applyAlignment="1" applyProtection="1">
      <alignment vertical="center"/>
      <protection hidden="1"/>
    </xf>
    <xf numFmtId="0" fontId="4" fillId="3" borderId="16" xfId="0" applyFont="1" applyFill="1" applyBorder="1" applyAlignment="1" applyProtection="1">
      <alignment horizontal="center" vertical="center"/>
      <protection hidden="1"/>
    </xf>
    <xf numFmtId="0" fontId="4" fillId="3" borderId="16" xfId="0" applyFont="1" applyFill="1" applyBorder="1" applyAlignment="1" applyProtection="1">
      <alignment horizontal="center" vertical="center" wrapText="1"/>
      <protection hidden="1"/>
    </xf>
    <xf numFmtId="0" fontId="16" fillId="3" borderId="17" xfId="0" applyFont="1" applyFill="1" applyBorder="1" applyAlignment="1" applyProtection="1">
      <alignment horizontal="center" vertical="center" wrapText="1"/>
      <protection hidden="1"/>
    </xf>
    <xf numFmtId="0" fontId="8" fillId="0" borderId="0" xfId="0" applyFont="1" applyFill="1" applyBorder="1" applyAlignment="1" applyProtection="1">
      <alignment vertical="top"/>
      <protection hidden="1"/>
    </xf>
    <xf numFmtId="168" fontId="0" fillId="0" borderId="6" xfId="0" applyNumberFormat="1" applyFill="1" applyBorder="1" applyProtection="1">
      <protection locked="0"/>
    </xf>
    <xf numFmtId="168" fontId="0" fillId="0" borderId="18" xfId="1" applyNumberFormat="1" applyFont="1" applyFill="1" applyBorder="1" applyProtection="1">
      <protection locked="0"/>
    </xf>
    <xf numFmtId="168" fontId="0" fillId="0" borderId="19" xfId="0" applyNumberFormat="1" applyFill="1" applyBorder="1" applyProtection="1">
      <protection locked="0"/>
    </xf>
    <xf numFmtId="0" fontId="7" fillId="0" borderId="0" xfId="0" applyFont="1" applyFill="1" applyBorder="1"/>
    <xf numFmtId="168" fontId="0" fillId="0" borderId="18" xfId="0" applyNumberFormat="1" applyFill="1" applyBorder="1" applyProtection="1">
      <protection locked="0"/>
    </xf>
    <xf numFmtId="168" fontId="0" fillId="0" borderId="20" xfId="0" applyNumberFormat="1" applyFill="1" applyBorder="1" applyProtection="1">
      <protection hidden="1"/>
    </xf>
    <xf numFmtId="0" fontId="6" fillId="0" borderId="0" xfId="0" applyFont="1" applyFill="1" applyBorder="1" applyAlignment="1" applyProtection="1">
      <alignment vertical="top"/>
      <protection hidden="1"/>
    </xf>
    <xf numFmtId="168" fontId="6" fillId="0" borderId="7" xfId="0" applyNumberFormat="1" applyFont="1" applyFill="1" applyBorder="1" applyProtection="1">
      <protection hidden="1"/>
    </xf>
    <xf numFmtId="168" fontId="0" fillId="0" borderId="7" xfId="0" applyNumberFormat="1" applyFill="1" applyBorder="1" applyProtection="1">
      <protection hidden="1"/>
    </xf>
    <xf numFmtId="168" fontId="0" fillId="0" borderId="21" xfId="0" applyNumberFormat="1" applyFill="1" applyBorder="1" applyProtection="1">
      <protection hidden="1"/>
    </xf>
    <xf numFmtId="168" fontId="0" fillId="0" borderId="20" xfId="0" applyNumberFormat="1" applyFill="1" applyBorder="1" applyAlignment="1" applyProtection="1">
      <alignment vertical="top"/>
      <protection hidden="1"/>
    </xf>
    <xf numFmtId="168" fontId="0" fillId="0" borderId="20" xfId="0" applyNumberFormat="1" applyFill="1" applyBorder="1" applyAlignment="1" applyProtection="1">
      <protection hidden="1"/>
    </xf>
    <xf numFmtId="0" fontId="6" fillId="0" borderId="0" xfId="0" applyFont="1" applyFill="1" applyBorder="1" applyAlignment="1" applyProtection="1">
      <alignment horizontal="right" vertical="top"/>
      <protection hidden="1"/>
    </xf>
    <xf numFmtId="9" fontId="8" fillId="0" borderId="5" xfId="0" applyNumberFormat="1" applyFont="1" applyFill="1" applyBorder="1" applyAlignment="1" applyProtection="1">
      <alignment vertical="top"/>
      <protection hidden="1"/>
    </xf>
    <xf numFmtId="0" fontId="8" fillId="0" borderId="0" xfId="0" applyFont="1"/>
    <xf numFmtId="0" fontId="2" fillId="3" borderId="17" xfId="0" applyFont="1" applyFill="1" applyBorder="1" applyAlignment="1" applyProtection="1">
      <alignment vertical="center"/>
      <protection hidden="1"/>
    </xf>
    <xf numFmtId="0" fontId="0" fillId="0" borderId="22" xfId="0" applyFill="1" applyBorder="1" applyAlignment="1">
      <alignment horizontal="center" vertical="center" wrapText="1"/>
    </xf>
    <xf numFmtId="0" fontId="8" fillId="0" borderId="6" xfId="0" applyFont="1" applyFill="1" applyBorder="1" applyProtection="1">
      <protection locked="0"/>
    </xf>
    <xf numFmtId="0" fontId="8" fillId="0" borderId="6" xfId="0" applyFont="1" applyFill="1" applyBorder="1" applyAlignment="1" applyProtection="1">
      <alignment horizontal="center"/>
      <protection locked="0"/>
    </xf>
    <xf numFmtId="168" fontId="0" fillId="0" borderId="6" xfId="1" applyNumberFormat="1" applyFont="1" applyFill="1" applyBorder="1" applyProtection="1">
      <protection locked="0"/>
    </xf>
    <xf numFmtId="0" fontId="6" fillId="0" borderId="0" xfId="0" applyFont="1" applyFill="1" applyBorder="1" applyAlignment="1">
      <alignment horizontal="right"/>
    </xf>
    <xf numFmtId="0" fontId="0" fillId="3" borderId="16" xfId="0" applyFill="1" applyBorder="1" applyAlignment="1" applyProtection="1">
      <alignment vertical="center"/>
      <protection hidden="1"/>
    </xf>
    <xf numFmtId="0" fontId="19" fillId="3" borderId="16" xfId="0" applyFont="1" applyFill="1" applyBorder="1" applyAlignment="1" applyProtection="1">
      <alignment horizontal="center" vertical="center"/>
      <protection hidden="1"/>
    </xf>
    <xf numFmtId="0" fontId="20" fillId="3" borderId="16" xfId="0" applyFont="1" applyFill="1" applyBorder="1" applyAlignment="1" applyProtection="1">
      <alignment vertical="center"/>
      <protection hidden="1"/>
    </xf>
    <xf numFmtId="0" fontId="0" fillId="3" borderId="17" xfId="0" applyFill="1" applyBorder="1" applyAlignment="1" applyProtection="1">
      <alignment vertical="center"/>
      <protection hidden="1"/>
    </xf>
    <xf numFmtId="0" fontId="8" fillId="0" borderId="5" xfId="0" applyFont="1" applyFill="1" applyBorder="1" applyAlignment="1" applyProtection="1">
      <alignment vertical="top"/>
      <protection hidden="1"/>
    </xf>
    <xf numFmtId="0" fontId="0" fillId="0" borderId="6" xfId="1" applyNumberFormat="1" applyFont="1" applyFill="1" applyBorder="1" applyAlignment="1" applyProtection="1">
      <alignment horizontal="center"/>
      <protection locked="0"/>
    </xf>
    <xf numFmtId="0" fontId="6" fillId="0" borderId="0" xfId="0" applyFont="1" applyFill="1" applyBorder="1" applyAlignment="1" applyProtection="1">
      <alignment horizontal="right" vertical="center"/>
      <protection hidden="1"/>
    </xf>
    <xf numFmtId="0" fontId="0" fillId="0" borderId="0" xfId="0" applyFill="1" applyBorder="1" applyAlignment="1" applyProtection="1">
      <alignment vertical="center"/>
      <protection hidden="1"/>
    </xf>
    <xf numFmtId="10" fontId="4" fillId="0" borderId="23" xfId="2" applyNumberFormat="1" applyFont="1" applyFill="1" applyBorder="1" applyAlignment="1" applyProtection="1">
      <alignment horizontal="center" vertical="center"/>
      <protection hidden="1"/>
    </xf>
    <xf numFmtId="0" fontId="0" fillId="0" borderId="5" xfId="0" applyFill="1" applyBorder="1" applyAlignment="1" applyProtection="1">
      <alignment vertical="center"/>
      <protection hidden="1"/>
    </xf>
    <xf numFmtId="0" fontId="0" fillId="0" borderId="0" xfId="0" applyFill="1" applyAlignment="1">
      <alignment vertical="center"/>
    </xf>
    <xf numFmtId="0" fontId="0" fillId="0" borderId="0" xfId="0" applyAlignment="1">
      <alignment vertical="center"/>
    </xf>
    <xf numFmtId="0" fontId="8" fillId="0" borderId="0" xfId="0" applyFont="1" applyAlignment="1">
      <alignment vertical="top"/>
    </xf>
    <xf numFmtId="0" fontId="0" fillId="3" borderId="16" xfId="0" applyFill="1" applyBorder="1" applyAlignment="1" applyProtection="1">
      <alignment vertical="top"/>
      <protection hidden="1"/>
    </xf>
    <xf numFmtId="0" fontId="0" fillId="3" borderId="17" xfId="0" applyFill="1" applyBorder="1" applyAlignment="1" applyProtection="1">
      <alignment vertical="top"/>
      <protection hidden="1"/>
    </xf>
    <xf numFmtId="0" fontId="0" fillId="0" borderId="21" xfId="1" applyNumberFormat="1" applyFont="1" applyFill="1" applyBorder="1" applyAlignment="1" applyProtection="1">
      <alignment horizontal="center"/>
      <protection hidden="1"/>
    </xf>
    <xf numFmtId="0" fontId="18" fillId="0" borderId="5" xfId="0" applyFont="1" applyFill="1" applyBorder="1"/>
    <xf numFmtId="0" fontId="18" fillId="0" borderId="0" xfId="0" applyFont="1"/>
    <xf numFmtId="0" fontId="0" fillId="0" borderId="1" xfId="0" applyFill="1" applyBorder="1" applyProtection="1">
      <protection hidden="1"/>
    </xf>
    <xf numFmtId="0" fontId="0" fillId="0" borderId="2" xfId="0" applyFill="1" applyBorder="1" applyProtection="1">
      <protection hidden="1"/>
    </xf>
    <xf numFmtId="0" fontId="0" fillId="0" borderId="3" xfId="0" applyFill="1" applyBorder="1" applyProtection="1">
      <protection hidden="1"/>
    </xf>
    <xf numFmtId="0" fontId="0" fillId="0" borderId="4" xfId="0" applyFill="1" applyBorder="1" applyProtection="1">
      <protection hidden="1"/>
    </xf>
    <xf numFmtId="0" fontId="0" fillId="0" borderId="0" xfId="0" applyFill="1" applyBorder="1" applyProtection="1">
      <protection hidden="1"/>
    </xf>
    <xf numFmtId="0" fontId="0" fillId="0" borderId="5" xfId="0" applyFill="1" applyBorder="1" applyProtection="1">
      <protection hidden="1"/>
    </xf>
    <xf numFmtId="0" fontId="0" fillId="0" borderId="4" xfId="0" applyFill="1" applyBorder="1" applyAlignment="1" applyProtection="1">
      <alignment vertical="center"/>
      <protection hidden="1"/>
    </xf>
    <xf numFmtId="0" fontId="2" fillId="3" borderId="11" xfId="0" applyFont="1" applyFill="1" applyBorder="1" applyAlignment="1" applyProtection="1">
      <alignment vertical="center"/>
      <protection hidden="1"/>
    </xf>
    <xf numFmtId="0" fontId="0" fillId="3" borderId="12" xfId="0" applyFill="1" applyBorder="1" applyAlignment="1" applyProtection="1">
      <alignment vertical="center"/>
      <protection hidden="1"/>
    </xf>
    <xf numFmtId="0" fontId="0" fillId="0" borderId="13" xfId="0" applyFill="1" applyBorder="1" applyAlignment="1" applyProtection="1">
      <alignment vertical="center"/>
      <protection hidden="1"/>
    </xf>
    <xf numFmtId="0" fontId="21" fillId="3" borderId="16" xfId="0" applyFont="1" applyFill="1" applyBorder="1" applyAlignment="1" applyProtection="1">
      <alignment vertical="center"/>
      <protection hidden="1"/>
    </xf>
    <xf numFmtId="0" fontId="6" fillId="0" borderId="0" xfId="0" applyFont="1" applyFill="1" applyBorder="1" applyAlignment="1" applyProtection="1">
      <alignment horizontal="center"/>
      <protection hidden="1"/>
    </xf>
    <xf numFmtId="0" fontId="8" fillId="0" borderId="0" xfId="0" applyFont="1" applyFill="1" applyBorder="1" applyAlignment="1" applyProtection="1">
      <alignment horizontal="right"/>
      <protection hidden="1"/>
    </xf>
    <xf numFmtId="173" fontId="8" fillId="0" borderId="6" xfId="0" applyNumberFormat="1" applyFont="1" applyFill="1" applyBorder="1" applyAlignment="1" applyProtection="1">
      <alignment horizontal="center"/>
      <protection locked="0"/>
    </xf>
    <xf numFmtId="0" fontId="8" fillId="0" borderId="0" xfId="0" applyFont="1" applyFill="1" applyBorder="1" applyAlignment="1" applyProtection="1">
      <alignment horizontal="center"/>
      <protection hidden="1"/>
    </xf>
    <xf numFmtId="0" fontId="0" fillId="0" borderId="0" xfId="0" applyFill="1" applyProtection="1">
      <protection hidden="1"/>
    </xf>
    <xf numFmtId="0" fontId="0" fillId="0" borderId="0" xfId="0" applyProtection="1">
      <protection hidden="1"/>
    </xf>
    <xf numFmtId="0" fontId="0" fillId="0" borderId="4" xfId="0" applyNumberFormat="1" applyFill="1" applyBorder="1" applyProtection="1">
      <protection hidden="1"/>
    </xf>
    <xf numFmtId="0" fontId="0" fillId="0" borderId="0" xfId="0" applyNumberFormat="1" applyFill="1" applyBorder="1" applyProtection="1">
      <protection hidden="1"/>
    </xf>
    <xf numFmtId="0" fontId="8" fillId="0" borderId="0" xfId="0" applyNumberFormat="1" applyFont="1" applyFill="1" applyBorder="1" applyAlignment="1" applyProtection="1">
      <alignment horizontal="right"/>
      <protection hidden="1"/>
    </xf>
    <xf numFmtId="0" fontId="8" fillId="0" borderId="6" xfId="0" applyNumberFormat="1" applyFont="1" applyFill="1" applyBorder="1" applyAlignment="1" applyProtection="1">
      <alignment horizontal="center"/>
      <protection locked="0"/>
    </xf>
    <xf numFmtId="0" fontId="6" fillId="0" borderId="0" xfId="0" applyNumberFormat="1" applyFont="1" applyFill="1" applyBorder="1" applyAlignment="1" applyProtection="1">
      <alignment horizontal="center"/>
      <protection hidden="1"/>
    </xf>
    <xf numFmtId="12" fontId="6" fillId="0" borderId="0" xfId="0" applyNumberFormat="1" applyFont="1" applyFill="1" applyBorder="1" applyAlignment="1" applyProtection="1">
      <alignment horizontal="center"/>
      <protection hidden="1"/>
    </xf>
    <xf numFmtId="0" fontId="0" fillId="0" borderId="5" xfId="0" applyNumberFormat="1" applyFill="1" applyBorder="1" applyProtection="1">
      <protection hidden="1"/>
    </xf>
    <xf numFmtId="0" fontId="6" fillId="0" borderId="0" xfId="0" applyFont="1" applyFill="1" applyBorder="1" applyProtection="1">
      <protection hidden="1"/>
    </xf>
    <xf numFmtId="172" fontId="6" fillId="0" borderId="0" xfId="1" applyNumberFormat="1" applyFont="1" applyFill="1" applyBorder="1" applyProtection="1">
      <protection hidden="1"/>
    </xf>
    <xf numFmtId="0" fontId="8" fillId="0" borderId="6" xfId="0" applyNumberFormat="1" applyFont="1" applyFill="1" applyBorder="1" applyAlignment="1" applyProtection="1">
      <alignment horizontal="left" vertical="top" wrapText="1"/>
      <protection locked="0"/>
    </xf>
    <xf numFmtId="0" fontId="8" fillId="0" borderId="0" xfId="0" applyFont="1" applyFill="1" applyBorder="1" applyProtection="1">
      <protection hidden="1"/>
    </xf>
    <xf numFmtId="169" fontId="0" fillId="0" borderId="7" xfId="1" applyNumberFormat="1" applyFont="1" applyFill="1" applyBorder="1" applyProtection="1">
      <protection hidden="1"/>
    </xf>
    <xf numFmtId="172" fontId="0" fillId="0" borderId="0" xfId="1" applyNumberFormat="1" applyFont="1" applyFill="1" applyBorder="1" applyProtection="1">
      <protection hidden="1"/>
    </xf>
    <xf numFmtId="0" fontId="7" fillId="0" borderId="0" xfId="0" applyFont="1" applyFill="1" applyBorder="1" applyProtection="1">
      <protection hidden="1"/>
    </xf>
    <xf numFmtId="169" fontId="6" fillId="0" borderId="24" xfId="1" applyNumberFormat="1" applyFont="1" applyFill="1" applyBorder="1" applyProtection="1">
      <protection hidden="1"/>
    </xf>
    <xf numFmtId="172" fontId="22" fillId="0" borderId="0" xfId="1" applyNumberFormat="1" applyFont="1" applyFill="1" applyBorder="1" applyProtection="1">
      <protection hidden="1"/>
    </xf>
    <xf numFmtId="169" fontId="6" fillId="0" borderId="23" xfId="1" applyNumberFormat="1" applyFont="1" applyFill="1" applyBorder="1" applyProtection="1">
      <protection hidden="1"/>
    </xf>
    <xf numFmtId="0" fontId="11" fillId="0" borderId="0" xfId="0" applyNumberFormat="1" applyFont="1" applyFill="1" applyBorder="1" applyAlignment="1" applyProtection="1">
      <alignment horizontal="left" vertical="top" wrapText="1"/>
    </xf>
    <xf numFmtId="0" fontId="8" fillId="0" borderId="4" xfId="0" applyFont="1" applyFill="1" applyBorder="1" applyProtection="1">
      <protection hidden="1"/>
    </xf>
    <xf numFmtId="0" fontId="8" fillId="0" borderId="5" xfId="0" applyFont="1" applyFill="1" applyBorder="1" applyProtection="1">
      <protection hidden="1"/>
    </xf>
    <xf numFmtId="0" fontId="0" fillId="4" borderId="4" xfId="0" applyFill="1" applyBorder="1" applyAlignment="1" applyProtection="1">
      <alignment vertical="center"/>
      <protection hidden="1"/>
    </xf>
    <xf numFmtId="0" fontId="8" fillId="0" borderId="0" xfId="0" applyFont="1" applyFill="1" applyBorder="1" applyAlignment="1" applyProtection="1">
      <protection hidden="1"/>
    </xf>
    <xf numFmtId="0" fontId="6" fillId="0" borderId="0" xfId="0" applyFont="1" applyFill="1" applyBorder="1" applyAlignment="1" applyProtection="1">
      <alignment horizontal="center" vertical="center"/>
      <protection hidden="1"/>
    </xf>
    <xf numFmtId="0" fontId="8" fillId="0" borderId="0" xfId="0" quotePrefix="1" applyFont="1" applyFill="1" applyBorder="1" applyAlignment="1" applyProtection="1">
      <alignment horizontal="right"/>
      <protection hidden="1"/>
    </xf>
    <xf numFmtId="0" fontId="8" fillId="0" borderId="8" xfId="0" applyFont="1" applyFill="1" applyBorder="1" applyProtection="1">
      <protection hidden="1"/>
    </xf>
    <xf numFmtId="0" fontId="8" fillId="0" borderId="9" xfId="0" applyFont="1" applyFill="1" applyBorder="1" applyProtection="1">
      <protection hidden="1"/>
    </xf>
    <xf numFmtId="0" fontId="8" fillId="0" borderId="10" xfId="0" applyFont="1" applyFill="1" applyBorder="1" applyProtection="1">
      <protection hidden="1"/>
    </xf>
    <xf numFmtId="0" fontId="2" fillId="0" borderId="4" xfId="0" applyFont="1" applyFill="1" applyBorder="1" applyAlignment="1" applyProtection="1">
      <alignment horizontal="left" vertical="center"/>
    </xf>
    <xf numFmtId="0" fontId="2" fillId="3" borderId="11" xfId="0" applyFont="1" applyFill="1" applyBorder="1" applyAlignment="1" applyProtection="1">
      <alignment horizontal="left" vertical="center"/>
    </xf>
    <xf numFmtId="0" fontId="2" fillId="3" borderId="12" xfId="0" applyFont="1" applyFill="1" applyBorder="1" applyAlignment="1" applyProtection="1">
      <alignment horizontal="left" vertical="center"/>
    </xf>
    <xf numFmtId="0" fontId="23" fillId="3" borderId="12" xfId="0" applyFont="1" applyFill="1" applyBorder="1" applyAlignment="1" applyProtection="1">
      <alignment vertical="center"/>
    </xf>
    <xf numFmtId="0" fontId="24" fillId="0" borderId="0" xfId="0" applyFont="1" applyFill="1" applyBorder="1" applyAlignment="1" applyProtection="1">
      <alignment vertical="center"/>
    </xf>
    <xf numFmtId="0" fontId="23" fillId="0" borderId="5" xfId="0" applyFont="1" applyFill="1" applyBorder="1" applyAlignment="1" applyProtection="1">
      <alignment vertical="center"/>
    </xf>
    <xf numFmtId="0" fontId="23" fillId="0" borderId="0" xfId="0" applyFont="1" applyAlignment="1">
      <alignment vertical="center"/>
    </xf>
    <xf numFmtId="0" fontId="12" fillId="0" borderId="4" xfId="0" applyFont="1" applyFill="1" applyBorder="1" applyProtection="1"/>
    <xf numFmtId="0" fontId="8" fillId="0" borderId="0" xfId="0" applyFont="1" applyFill="1" applyBorder="1" applyAlignment="1" applyProtection="1"/>
    <xf numFmtId="0" fontId="8" fillId="0" borderId="0" xfId="0" applyFont="1" applyFill="1" applyBorder="1" applyProtection="1"/>
    <xf numFmtId="0" fontId="8" fillId="0" borderId="5" xfId="0" applyFont="1" applyFill="1" applyBorder="1" applyProtection="1"/>
    <xf numFmtId="0" fontId="12" fillId="0" borderId="4" xfId="0" applyFont="1" applyFill="1" applyBorder="1" applyAlignment="1" applyProtection="1">
      <alignment vertical="center"/>
    </xf>
    <xf numFmtId="0" fontId="2" fillId="3" borderId="15" xfId="0" applyFont="1" applyFill="1" applyBorder="1" applyAlignment="1" applyProtection="1">
      <alignment vertical="center"/>
    </xf>
    <xf numFmtId="0" fontId="8" fillId="3" borderId="16" xfId="0" applyFont="1" applyFill="1" applyBorder="1" applyAlignment="1" applyProtection="1">
      <alignment vertical="center"/>
    </xf>
    <xf numFmtId="0" fontId="6" fillId="3" borderId="16" xfId="0" applyFont="1" applyFill="1" applyBorder="1" applyAlignment="1" applyProtection="1">
      <alignment vertical="center"/>
    </xf>
    <xf numFmtId="0" fontId="8" fillId="3" borderId="17" xfId="0" applyFont="1" applyFill="1" applyBorder="1" applyAlignment="1" applyProtection="1">
      <alignment vertical="center"/>
    </xf>
    <xf numFmtId="0" fontId="8" fillId="0" borderId="5" xfId="0" applyFont="1" applyFill="1" applyBorder="1" applyAlignment="1" applyProtection="1">
      <alignment vertical="center"/>
    </xf>
    <xf numFmtId="0" fontId="8" fillId="0" borderId="0" xfId="0" applyFont="1" applyAlignment="1">
      <alignment vertical="center"/>
    </xf>
    <xf numFmtId="0" fontId="6" fillId="0" borderId="4" xfId="0" applyFont="1" applyFill="1" applyBorder="1" applyProtection="1"/>
    <xf numFmtId="0" fontId="6" fillId="0" borderId="4" xfId="0" applyFont="1" applyFill="1" applyBorder="1" applyAlignment="1" applyProtection="1">
      <alignment horizontal="center" wrapText="1"/>
    </xf>
    <xf numFmtId="0" fontId="8" fillId="0" borderId="7" xfId="0" applyFont="1" applyFill="1" applyBorder="1" applyAlignment="1" applyProtection="1">
      <alignment horizontal="center" vertical="center"/>
    </xf>
    <xf numFmtId="0" fontId="6" fillId="0" borderId="5" xfId="0" applyFont="1" applyFill="1" applyBorder="1" applyAlignment="1" applyProtection="1">
      <alignment horizontal="center" wrapText="1"/>
    </xf>
    <xf numFmtId="0" fontId="8" fillId="0" borderId="4" xfId="0" applyFont="1" applyFill="1" applyBorder="1" applyAlignment="1" applyProtection="1">
      <alignment horizontal="center"/>
    </xf>
    <xf numFmtId="5" fontId="8" fillId="0" borderId="25" xfId="1" applyNumberFormat="1" applyFont="1" applyFill="1" applyBorder="1" applyAlignment="1" applyProtection="1">
      <protection hidden="1"/>
    </xf>
    <xf numFmtId="10" fontId="8" fillId="0" borderId="6" xfId="2" applyNumberFormat="1" applyFont="1" applyFill="1" applyBorder="1" applyProtection="1">
      <protection locked="0"/>
    </xf>
    <xf numFmtId="0" fontId="14" fillId="0" borderId="5" xfId="0" applyFont="1" applyFill="1" applyBorder="1" applyProtection="1"/>
    <xf numFmtId="0" fontId="8" fillId="0" borderId="4" xfId="0" applyFont="1" applyFill="1" applyBorder="1" applyProtection="1"/>
    <xf numFmtId="0" fontId="21" fillId="0" borderId="4" xfId="0" applyFont="1" applyFill="1" applyBorder="1" applyAlignment="1" applyProtection="1">
      <alignment vertical="center"/>
    </xf>
    <xf numFmtId="0" fontId="21" fillId="3" borderId="16" xfId="0" applyFont="1" applyFill="1" applyBorder="1" applyAlignment="1" applyProtection="1">
      <alignment vertical="center"/>
    </xf>
    <xf numFmtId="0" fontId="21" fillId="3" borderId="17" xfId="0" applyFont="1" applyFill="1" applyBorder="1" applyAlignment="1" applyProtection="1">
      <alignment vertical="center"/>
    </xf>
    <xf numFmtId="0" fontId="21" fillId="0" borderId="5" xfId="0" applyFont="1" applyFill="1" applyBorder="1" applyAlignment="1" applyProtection="1">
      <alignment vertical="center"/>
    </xf>
    <xf numFmtId="0" fontId="21" fillId="0" borderId="0" xfId="0" applyFont="1" applyAlignment="1">
      <alignment vertical="center"/>
    </xf>
    <xf numFmtId="0" fontId="8" fillId="0" borderId="22" xfId="0" applyFont="1" applyFill="1" applyBorder="1" applyAlignment="1" applyProtection="1">
      <alignment horizontal="center" vertical="center" wrapText="1"/>
    </xf>
    <xf numFmtId="171" fontId="8" fillId="0" borderId="25" xfId="1" applyNumberFormat="1" applyFont="1" applyFill="1" applyBorder="1" applyAlignment="1" applyProtection="1">
      <protection hidden="1"/>
    </xf>
    <xf numFmtId="171" fontId="8" fillId="0" borderId="0" xfId="0" applyNumberFormat="1" applyFont="1" applyFill="1" applyBorder="1" applyAlignment="1" applyProtection="1"/>
    <xf numFmtId="0" fontId="6" fillId="0" borderId="0" xfId="0" applyFont="1" applyFill="1" applyBorder="1" applyAlignment="1" applyProtection="1">
      <alignment horizontal="center"/>
    </xf>
    <xf numFmtId="0" fontId="6" fillId="0" borderId="0" xfId="0" applyFont="1" applyFill="1" applyBorder="1" applyAlignment="1" applyProtection="1">
      <alignment horizontal="right"/>
    </xf>
    <xf numFmtId="168" fontId="8" fillId="0" borderId="7" xfId="0" applyNumberFormat="1" applyFont="1" applyFill="1" applyBorder="1" applyAlignment="1" applyProtection="1">
      <alignment horizontal="right"/>
      <protection hidden="1"/>
    </xf>
    <xf numFmtId="168" fontId="8" fillId="0" borderId="7" xfId="1" applyNumberFormat="1" applyFont="1" applyFill="1" applyBorder="1" applyProtection="1">
      <protection hidden="1"/>
    </xf>
    <xf numFmtId="174" fontId="8" fillId="0" borderId="7" xfId="1" applyNumberFormat="1" applyFont="1" applyFill="1" applyBorder="1" applyAlignment="1" applyProtection="1">
      <protection hidden="1"/>
    </xf>
    <xf numFmtId="168" fontId="8" fillId="0" borderId="7" xfId="1" applyNumberFormat="1" applyFont="1" applyFill="1" applyBorder="1" applyAlignment="1" applyProtection="1">
      <protection hidden="1"/>
    </xf>
    <xf numFmtId="168" fontId="6" fillId="0" borderId="7" xfId="0" applyNumberFormat="1" applyFont="1" applyFill="1" applyBorder="1" applyAlignment="1" applyProtection="1">
      <alignment horizontal="right"/>
      <protection hidden="1"/>
    </xf>
    <xf numFmtId="174" fontId="6" fillId="0" borderId="7" xfId="1" applyNumberFormat="1" applyFont="1" applyFill="1" applyBorder="1" applyAlignment="1" applyProtection="1">
      <protection hidden="1"/>
    </xf>
    <xf numFmtId="0" fontId="8" fillId="0" borderId="8" xfId="0" applyFont="1" applyFill="1" applyBorder="1" applyProtection="1"/>
    <xf numFmtId="0" fontId="8" fillId="0" borderId="9" xfId="0" applyFont="1" applyFill="1" applyBorder="1" applyAlignment="1" applyProtection="1"/>
    <xf numFmtId="0" fontId="8" fillId="0" borderId="9" xfId="0" applyFont="1" applyFill="1" applyBorder="1" applyProtection="1"/>
    <xf numFmtId="0" fontId="8" fillId="0" borderId="10" xfId="0" applyFont="1" applyFill="1" applyBorder="1" applyProtection="1"/>
    <xf numFmtId="0" fontId="6" fillId="0" borderId="7" xfId="0" applyFont="1" applyBorder="1" applyAlignment="1">
      <alignment horizontal="center"/>
    </xf>
    <xf numFmtId="0" fontId="6" fillId="5" borderId="7" xfId="0" applyFont="1" applyFill="1" applyBorder="1" applyAlignment="1" applyProtection="1">
      <alignment horizontal="center" vertical="top"/>
      <protection hidden="1"/>
    </xf>
    <xf numFmtId="0" fontId="0" fillId="0" borderId="7" xfId="0" applyBorder="1" applyAlignment="1">
      <alignment horizontal="right"/>
    </xf>
    <xf numFmtId="0" fontId="0" fillId="0" borderId="7" xfId="0" applyBorder="1" applyAlignment="1">
      <alignment horizontal="center"/>
    </xf>
    <xf numFmtId="0" fontId="0" fillId="0" borderId="7" xfId="0" applyBorder="1"/>
    <xf numFmtId="175" fontId="0" fillId="0" borderId="7" xfId="1" applyNumberFormat="1" applyFont="1" applyFill="1" applyBorder="1" applyAlignment="1" applyProtection="1">
      <alignment vertical="top"/>
      <protection hidden="1"/>
    </xf>
    <xf numFmtId="9" fontId="0" fillId="0" borderId="7" xfId="2" applyFont="1" applyFill="1" applyBorder="1" applyAlignment="1" applyProtection="1">
      <alignment horizontal="center" vertical="top"/>
      <protection hidden="1"/>
    </xf>
    <xf numFmtId="0" fontId="0" fillId="0" borderId="7" xfId="0" applyFill="1" applyBorder="1" applyAlignment="1" applyProtection="1">
      <alignment vertical="top"/>
      <protection hidden="1"/>
    </xf>
    <xf numFmtId="0" fontId="0" fillId="0" borderId="25" xfId="0" applyFill="1" applyBorder="1"/>
    <xf numFmtId="9" fontId="0" fillId="0" borderId="7" xfId="0" applyNumberFormat="1" applyFill="1" applyBorder="1"/>
    <xf numFmtId="0" fontId="0" fillId="0" borderId="7" xfId="0" applyFill="1" applyBorder="1" applyAlignment="1">
      <alignment horizontal="center"/>
    </xf>
    <xf numFmtId="0" fontId="0" fillId="0" borderId="7" xfId="0" applyFill="1" applyBorder="1"/>
    <xf numFmtId="2" fontId="0" fillId="0" borderId="7" xfId="0" applyNumberFormat="1" applyFill="1" applyBorder="1"/>
    <xf numFmtId="9" fontId="0" fillId="0" borderId="7" xfId="2" applyFont="1" applyBorder="1" applyAlignment="1">
      <alignment horizontal="center"/>
    </xf>
    <xf numFmtId="0" fontId="6" fillId="6" borderId="7" xfId="0" applyFont="1" applyFill="1" applyBorder="1"/>
    <xf numFmtId="0" fontId="6" fillId="6" borderId="7" xfId="0" applyFont="1" applyFill="1" applyBorder="1" applyAlignment="1">
      <alignment horizontal="center"/>
    </xf>
    <xf numFmtId="10" fontId="0" fillId="0" borderId="7" xfId="0" applyNumberFormat="1" applyFill="1" applyBorder="1"/>
    <xf numFmtId="10" fontId="0" fillId="0" borderId="7" xfId="0" applyNumberFormat="1" applyFill="1" applyBorder="1" applyAlignment="1">
      <alignment horizontal="center"/>
    </xf>
    <xf numFmtId="0" fontId="14" fillId="0" borderId="0" xfId="0" applyFont="1" applyAlignment="1" applyProtection="1">
      <protection hidden="1"/>
    </xf>
    <xf numFmtId="0" fontId="0" fillId="0" borderId="0" xfId="0" applyAlignment="1">
      <alignment horizontal="right"/>
    </xf>
    <xf numFmtId="0" fontId="14" fillId="0" borderId="0" xfId="0" applyFont="1" applyFill="1" applyProtection="1">
      <protection hidden="1"/>
    </xf>
    <xf numFmtId="0" fontId="6" fillId="7" borderId="0" xfId="0" applyFont="1" applyFill="1" applyAlignment="1" applyProtection="1">
      <alignment horizontal="center"/>
      <protection hidden="1"/>
    </xf>
    <xf numFmtId="0" fontId="6" fillId="0" borderId="0" xfId="0" applyFont="1" applyFill="1" applyAlignment="1" applyProtection="1">
      <alignment horizontal="center"/>
      <protection hidden="1"/>
    </xf>
    <xf numFmtId="0" fontId="0" fillId="5" borderId="0" xfId="0" applyFill="1" applyProtection="1">
      <protection hidden="1"/>
    </xf>
    <xf numFmtId="169" fontId="0" fillId="5" borderId="0" xfId="1" applyFont="1" applyFill="1" applyProtection="1">
      <protection hidden="1"/>
    </xf>
    <xf numFmtId="169" fontId="0" fillId="0" borderId="0" xfId="0" applyNumberFormat="1" applyAlignment="1">
      <alignment horizontal="right"/>
    </xf>
    <xf numFmtId="0" fontId="0" fillId="2" borderId="0" xfId="0" applyFill="1"/>
    <xf numFmtId="169" fontId="0" fillId="7" borderId="0" xfId="1" applyFont="1" applyFill="1" applyProtection="1">
      <protection hidden="1"/>
    </xf>
    <xf numFmtId="169" fontId="0" fillId="0" borderId="0" xfId="1" applyFont="1" applyFill="1" applyProtection="1">
      <protection hidden="1"/>
    </xf>
    <xf numFmtId="0" fontId="6" fillId="0" borderId="0" xfId="0" applyFont="1" applyAlignment="1">
      <alignment horizontal="right"/>
    </xf>
    <xf numFmtId="0" fontId="6" fillId="2" borderId="0" xfId="0" applyFont="1" applyFill="1"/>
    <xf numFmtId="0" fontId="6" fillId="0" borderId="0" xfId="0" applyFont="1" applyAlignment="1" applyProtection="1">
      <alignment horizontal="center"/>
      <protection hidden="1"/>
    </xf>
    <xf numFmtId="0" fontId="6" fillId="0" borderId="0" xfId="0" applyFont="1" applyAlignment="1">
      <alignment horizontal="center"/>
    </xf>
    <xf numFmtId="0" fontId="6" fillId="0" borderId="0" xfId="0" applyFont="1"/>
    <xf numFmtId="0" fontId="0" fillId="2" borderId="0" xfId="0" applyFill="1" applyProtection="1">
      <protection hidden="1"/>
    </xf>
    <xf numFmtId="0" fontId="0" fillId="7" borderId="0" xfId="0" applyFill="1"/>
    <xf numFmtId="169" fontId="6" fillId="0" borderId="0" xfId="1" applyFont="1" applyFill="1" applyBorder="1" applyProtection="1">
      <protection hidden="1"/>
    </xf>
    <xf numFmtId="169" fontId="0" fillId="7" borderId="0" xfId="1" applyFont="1" applyFill="1" applyBorder="1" applyProtection="1">
      <protection hidden="1"/>
    </xf>
    <xf numFmtId="44" fontId="0" fillId="0" borderId="0" xfId="0" applyNumberFormat="1" applyFill="1" applyProtection="1">
      <protection hidden="1"/>
    </xf>
    <xf numFmtId="44" fontId="0" fillId="0" borderId="0" xfId="0" applyNumberFormat="1" applyFill="1" applyBorder="1" applyProtection="1">
      <protection hidden="1"/>
    </xf>
    <xf numFmtId="0" fontId="6" fillId="2" borderId="0" xfId="0" applyFont="1" applyFill="1" applyAlignment="1" applyProtection="1">
      <alignment horizontal="right"/>
      <protection hidden="1"/>
    </xf>
    <xf numFmtId="167" fontId="6" fillId="2" borderId="0" xfId="0" applyNumberFormat="1" applyFont="1" applyFill="1"/>
    <xf numFmtId="0" fontId="6" fillId="7" borderId="0" xfId="0" applyFont="1" applyFill="1"/>
    <xf numFmtId="44" fontId="0" fillId="7" borderId="0" xfId="1" applyNumberFormat="1" applyFont="1" applyFill="1" applyBorder="1" applyAlignment="1" applyProtection="1">
      <protection hidden="1"/>
    </xf>
    <xf numFmtId="0" fontId="6" fillId="0" borderId="0" xfId="0" applyFont="1" applyFill="1" applyAlignment="1" applyProtection="1">
      <alignment horizontal="right"/>
      <protection hidden="1"/>
    </xf>
    <xf numFmtId="167" fontId="0" fillId="0" borderId="0" xfId="0" applyNumberFormat="1" applyFill="1" applyProtection="1">
      <protection hidden="1"/>
    </xf>
    <xf numFmtId="44" fontId="6" fillId="0" borderId="0" xfId="0" applyNumberFormat="1" applyFont="1" applyFill="1" applyBorder="1" applyProtection="1">
      <protection hidden="1"/>
    </xf>
    <xf numFmtId="0" fontId="6" fillId="2" borderId="0" xfId="0" applyFont="1" applyFill="1" applyProtection="1">
      <protection hidden="1"/>
    </xf>
    <xf numFmtId="167" fontId="0" fillId="0" borderId="0" xfId="0" applyNumberFormat="1"/>
    <xf numFmtId="0" fontId="6" fillId="7" borderId="25" xfId="0" applyFont="1" applyFill="1" applyBorder="1" applyProtection="1">
      <protection hidden="1"/>
    </xf>
    <xf numFmtId="0" fontId="6" fillId="7" borderId="7" xfId="0" applyFont="1" applyFill="1" applyBorder="1" applyAlignment="1" applyProtection="1">
      <alignment horizontal="center"/>
      <protection hidden="1"/>
    </xf>
    <xf numFmtId="0" fontId="6" fillId="7" borderId="26" xfId="0" applyFont="1" applyFill="1" applyBorder="1" applyAlignment="1" applyProtection="1">
      <alignment horizontal="center"/>
      <protection hidden="1"/>
    </xf>
    <xf numFmtId="169" fontId="14" fillId="0" borderId="0" xfId="1" applyFont="1" applyFill="1" applyAlignment="1" applyProtection="1">
      <alignment horizontal="center"/>
      <protection hidden="1"/>
    </xf>
    <xf numFmtId="0" fontId="0" fillId="0" borderId="27" xfId="0" applyFill="1" applyBorder="1" applyAlignment="1" applyProtection="1">
      <alignment horizontal="center"/>
      <protection hidden="1"/>
    </xf>
    <xf numFmtId="169" fontId="0" fillId="0" borderId="0" xfId="1" applyFont="1" applyFill="1" applyAlignment="1" applyProtection="1">
      <alignment horizontal="center"/>
      <protection hidden="1"/>
    </xf>
    <xf numFmtId="0" fontId="8" fillId="5" borderId="0" xfId="0" applyFont="1" applyFill="1" applyAlignment="1" applyProtection="1">
      <protection hidden="1"/>
    </xf>
    <xf numFmtId="10" fontId="0" fillId="5" borderId="0" xfId="2" applyNumberFormat="1" applyFont="1" applyFill="1" applyAlignment="1" applyProtection="1">
      <alignment horizontal="center"/>
      <protection hidden="1"/>
    </xf>
    <xf numFmtId="9" fontId="0" fillId="5" borderId="0" xfId="2" applyFont="1" applyFill="1" applyAlignment="1" applyProtection="1">
      <alignment horizontal="center"/>
      <protection hidden="1"/>
    </xf>
    <xf numFmtId="0" fontId="0" fillId="0" borderId="0" xfId="0" applyFill="1" applyAlignment="1" applyProtection="1">
      <alignment horizontal="center"/>
      <protection hidden="1"/>
    </xf>
    <xf numFmtId="9" fontId="0" fillId="0" borderId="0" xfId="2" applyFont="1" applyFill="1" applyAlignment="1" applyProtection="1">
      <alignment horizontal="center"/>
      <protection hidden="1"/>
    </xf>
    <xf numFmtId="0" fontId="0" fillId="0" borderId="0" xfId="0" applyAlignment="1" applyProtection="1">
      <alignment horizontal="center"/>
      <protection hidden="1"/>
    </xf>
    <xf numFmtId="0" fontId="6" fillId="8" borderId="25" xfId="0" applyFont="1" applyFill="1" applyBorder="1" applyProtection="1">
      <protection hidden="1"/>
    </xf>
    <xf numFmtId="0" fontId="6" fillId="7" borderId="7" xfId="0" applyFont="1" applyFill="1" applyBorder="1" applyAlignment="1" applyProtection="1">
      <alignment wrapText="1"/>
      <protection hidden="1"/>
    </xf>
    <xf numFmtId="0" fontId="6" fillId="7" borderId="22" xfId="0" applyFont="1" applyFill="1" applyBorder="1" applyAlignment="1" applyProtection="1">
      <alignment horizontal="center" wrapText="1"/>
      <protection hidden="1"/>
    </xf>
    <xf numFmtId="0" fontId="8" fillId="0" borderId="22" xfId="0" applyFont="1" applyFill="1" applyBorder="1" applyAlignment="1" applyProtection="1">
      <alignment horizontal="left"/>
      <protection hidden="1"/>
    </xf>
    <xf numFmtId="0" fontId="0" fillId="0" borderId="22" xfId="0" applyNumberFormat="1" applyFill="1" applyBorder="1" applyAlignment="1" applyProtection="1">
      <alignment horizontal="center"/>
      <protection hidden="1"/>
    </xf>
    <xf numFmtId="176" fontId="8" fillId="0" borderId="22" xfId="1" applyNumberFormat="1" applyFont="1" applyFill="1" applyBorder="1" applyAlignment="1" applyProtection="1">
      <alignment horizontal="center"/>
      <protection hidden="1"/>
    </xf>
    <xf numFmtId="0" fontId="0" fillId="5" borderId="7" xfId="0" applyFill="1" applyBorder="1" applyProtection="1">
      <protection hidden="1"/>
    </xf>
    <xf numFmtId="0" fontId="0" fillId="5" borderId="7" xfId="0" applyFill="1" applyBorder="1" applyAlignment="1" applyProtection="1">
      <alignment horizontal="center"/>
      <protection hidden="1"/>
    </xf>
    <xf numFmtId="0" fontId="8" fillId="7" borderId="0" xfId="0" applyFont="1" applyFill="1" applyAlignment="1" applyProtection="1">
      <alignment horizontal="right"/>
      <protection hidden="1"/>
    </xf>
    <xf numFmtId="0" fontId="8" fillId="0" borderId="27" xfId="0" applyFont="1" applyFill="1" applyBorder="1" applyAlignment="1" applyProtection="1">
      <alignment horizontal="left"/>
      <protection hidden="1"/>
    </xf>
    <xf numFmtId="0" fontId="0" fillId="0" borderId="27" xfId="0" applyNumberFormat="1" applyFill="1" applyBorder="1" applyAlignment="1" applyProtection="1">
      <alignment horizontal="center"/>
      <protection hidden="1"/>
    </xf>
    <xf numFmtId="176" fontId="8" fillId="0" borderId="27" xfId="1" applyNumberFormat="1" applyFont="1" applyFill="1" applyBorder="1" applyAlignment="1" applyProtection="1">
      <alignment horizontal="center"/>
      <protection hidden="1"/>
    </xf>
    <xf numFmtId="0" fontId="0" fillId="7" borderId="7" xfId="0" applyFill="1" applyBorder="1" applyProtection="1">
      <protection hidden="1"/>
    </xf>
    <xf numFmtId="0" fontId="0" fillId="7" borderId="7" xfId="0" applyFill="1" applyBorder="1" applyAlignment="1" applyProtection="1">
      <alignment horizontal="center"/>
      <protection hidden="1"/>
    </xf>
    <xf numFmtId="0" fontId="0" fillId="7" borderId="0" xfId="0" applyFill="1" applyProtection="1">
      <protection hidden="1"/>
    </xf>
    <xf numFmtId="0" fontId="8" fillId="0" borderId="24" xfId="0" applyFont="1" applyFill="1" applyBorder="1" applyAlignment="1" applyProtection="1">
      <alignment horizontal="left"/>
      <protection hidden="1"/>
    </xf>
    <xf numFmtId="0" fontId="0" fillId="0" borderId="24" xfId="0" applyNumberFormat="1" applyFill="1" applyBorder="1" applyAlignment="1" applyProtection="1">
      <alignment horizontal="center"/>
      <protection hidden="1"/>
    </xf>
    <xf numFmtId="176" fontId="8" fillId="0" borderId="24" xfId="1" applyNumberFormat="1" applyFont="1" applyFill="1" applyBorder="1" applyAlignment="1" applyProtection="1">
      <alignment horizontal="center"/>
      <protection hidden="1"/>
    </xf>
    <xf numFmtId="169" fontId="14" fillId="0" borderId="0" xfId="1" applyFont="1" applyFill="1" applyAlignment="1" applyProtection="1">
      <protection hidden="1"/>
    </xf>
    <xf numFmtId="0" fontId="0" fillId="0" borderId="0" xfId="0" applyAlignment="1" applyProtection="1">
      <protection hidden="1"/>
    </xf>
    <xf numFmtId="169" fontId="0" fillId="7" borderId="0" xfId="1" applyFont="1" applyFill="1" applyAlignment="1" applyProtection="1">
      <alignment horizontal="center"/>
      <protection hidden="1"/>
    </xf>
    <xf numFmtId="169" fontId="0" fillId="0" borderId="0" xfId="0" applyNumberFormat="1" applyFill="1" applyProtection="1">
      <protection hidden="1"/>
    </xf>
    <xf numFmtId="0" fontId="0" fillId="0" borderId="1" xfId="0" applyBorder="1"/>
    <xf numFmtId="0" fontId="0" fillId="0" borderId="2" xfId="0" applyBorder="1"/>
    <xf numFmtId="0" fontId="0" fillId="0" borderId="3" xfId="0" applyBorder="1"/>
    <xf numFmtId="0" fontId="0" fillId="0" borderId="4" xfId="0" applyBorder="1" applyAlignment="1">
      <alignment vertical="center"/>
    </xf>
    <xf numFmtId="0" fontId="2" fillId="3" borderId="11" xfId="0" applyFont="1" applyFill="1" applyBorder="1" applyAlignment="1">
      <alignment vertical="center"/>
    </xf>
    <xf numFmtId="0" fontId="0" fillId="3" borderId="12" xfId="0" applyFill="1" applyBorder="1" applyAlignment="1">
      <alignment vertical="center"/>
    </xf>
    <xf numFmtId="0" fontId="0" fillId="3" borderId="28" xfId="0" applyFill="1" applyBorder="1" applyAlignment="1">
      <alignment vertical="center"/>
    </xf>
    <xf numFmtId="0" fontId="0" fillId="0" borderId="13" xfId="0" applyFill="1" applyBorder="1" applyAlignment="1">
      <alignment vertical="center"/>
    </xf>
    <xf numFmtId="0" fontId="0" fillId="0" borderId="0" xfId="0" applyBorder="1" applyAlignment="1">
      <alignment vertical="center"/>
    </xf>
    <xf numFmtId="0" fontId="0" fillId="0" borderId="5" xfId="0" applyBorder="1" applyAlignment="1">
      <alignment vertical="center"/>
    </xf>
    <xf numFmtId="0" fontId="0" fillId="0" borderId="4" xfId="0" applyBorder="1"/>
    <xf numFmtId="0" fontId="0" fillId="0" borderId="0" xfId="0" applyBorder="1"/>
    <xf numFmtId="0" fontId="0" fillId="0" borderId="5" xfId="0" applyBorder="1"/>
    <xf numFmtId="0" fontId="6" fillId="0" borderId="0" xfId="0" applyFont="1" applyBorder="1" applyAlignment="1">
      <alignment horizontal="center"/>
    </xf>
    <xf numFmtId="0" fontId="6" fillId="0" borderId="0" xfId="0" applyFont="1" applyBorder="1"/>
    <xf numFmtId="168" fontId="0" fillId="0" borderId="6" xfId="1" applyNumberFormat="1" applyFont="1" applyBorder="1" applyProtection="1">
      <protection locked="0"/>
    </xf>
    <xf numFmtId="0" fontId="0" fillId="0" borderId="6" xfId="0" applyBorder="1" applyAlignment="1" applyProtection="1">
      <alignment horizontal="center"/>
      <protection locked="0"/>
    </xf>
    <xf numFmtId="170" fontId="0" fillId="0" borderId="6" xfId="2" applyNumberFormat="1" applyFont="1" applyBorder="1" applyAlignment="1" applyProtection="1">
      <alignment horizontal="center"/>
      <protection locked="0"/>
    </xf>
    <xf numFmtId="171" fontId="0" fillId="0" borderId="6" xfId="1" applyNumberFormat="1" applyFont="1" applyBorder="1" applyProtection="1">
      <protection locked="0"/>
    </xf>
    <xf numFmtId="0" fontId="0" fillId="0" borderId="8" xfId="0" applyBorder="1"/>
    <xf numFmtId="0" fontId="0" fillId="0" borderId="9" xfId="0" applyBorder="1"/>
    <xf numFmtId="0" fontId="0" fillId="0" borderId="10" xfId="0" applyBorder="1"/>
    <xf numFmtId="0" fontId="4" fillId="0" borderId="0" xfId="0" applyFont="1" applyBorder="1"/>
    <xf numFmtId="0" fontId="8" fillId="0" borderId="0" xfId="0" applyFont="1" applyBorder="1" applyAlignment="1">
      <alignment horizontal="right"/>
    </xf>
    <xf numFmtId="0" fontId="0" fillId="0" borderId="0" xfId="0" applyBorder="1" applyAlignment="1">
      <alignment horizontal="right"/>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6" fillId="0" borderId="32" xfId="0" applyFont="1" applyFill="1" applyBorder="1" applyAlignment="1">
      <alignment horizontal="center"/>
    </xf>
    <xf numFmtId="0" fontId="0" fillId="0" borderId="33" xfId="0" applyFill="1" applyBorder="1" applyAlignment="1" applyProtection="1">
      <alignment horizontal="center"/>
      <protection locked="0"/>
    </xf>
    <xf numFmtId="168" fontId="6" fillId="0" borderId="34" xfId="0" applyNumberFormat="1" applyFont="1" applyFill="1" applyBorder="1"/>
    <xf numFmtId="164" fontId="0" fillId="0" borderId="10" xfId="1" applyNumberFormat="1" applyFont="1" applyFill="1" applyBorder="1" applyAlignment="1" applyProtection="1">
      <alignment horizontal="center"/>
      <protection hidden="1"/>
    </xf>
    <xf numFmtId="164" fontId="0" fillId="0" borderId="24" xfId="1" applyNumberFormat="1" applyFont="1" applyFill="1" applyBorder="1" applyAlignment="1" applyProtection="1">
      <alignment horizontal="center"/>
      <protection hidden="1"/>
    </xf>
    <xf numFmtId="164" fontId="0" fillId="0" borderId="35" xfId="1" applyNumberFormat="1" applyFont="1" applyFill="1" applyBorder="1" applyAlignment="1" applyProtection="1">
      <alignment horizontal="center"/>
      <protection hidden="1"/>
    </xf>
    <xf numFmtId="168" fontId="6" fillId="0" borderId="36" xfId="0" applyNumberFormat="1" applyFont="1" applyFill="1" applyBorder="1"/>
    <xf numFmtId="164" fontId="0" fillId="0" borderId="37" xfId="1" applyNumberFormat="1" applyFont="1" applyFill="1" applyBorder="1" applyAlignment="1" applyProtection="1">
      <alignment horizontal="center"/>
      <protection hidden="1"/>
    </xf>
    <xf numFmtId="164" fontId="0" fillId="0" borderId="7" xfId="1" applyNumberFormat="1" applyFont="1" applyFill="1" applyBorder="1" applyAlignment="1" applyProtection="1">
      <alignment horizontal="center"/>
      <protection hidden="1"/>
    </xf>
    <xf numFmtId="164" fontId="0" fillId="0" borderId="38" xfId="1" applyNumberFormat="1" applyFont="1" applyFill="1" applyBorder="1" applyAlignment="1" applyProtection="1">
      <alignment horizontal="center"/>
      <protection hidden="1"/>
    </xf>
    <xf numFmtId="168" fontId="6" fillId="0" borderId="39" xfId="0" applyNumberFormat="1" applyFont="1" applyFill="1" applyBorder="1"/>
    <xf numFmtId="164" fontId="0" fillId="0" borderId="40" xfId="1" applyNumberFormat="1" applyFont="1" applyFill="1" applyBorder="1" applyAlignment="1" applyProtection="1">
      <alignment horizontal="center"/>
      <protection hidden="1"/>
    </xf>
    <xf numFmtId="164" fontId="0" fillId="0" borderId="31" xfId="1" applyNumberFormat="1" applyFont="1" applyFill="1" applyBorder="1" applyAlignment="1" applyProtection="1">
      <alignment horizontal="center"/>
      <protection hidden="1"/>
    </xf>
    <xf numFmtId="164" fontId="0" fillId="0" borderId="41" xfId="1" applyNumberFormat="1" applyFont="1" applyFill="1" applyBorder="1" applyAlignment="1" applyProtection="1">
      <alignment horizontal="center"/>
      <protection hidden="1"/>
    </xf>
    <xf numFmtId="168" fontId="6" fillId="0" borderId="9" xfId="0" applyNumberFormat="1" applyFont="1" applyFill="1" applyBorder="1"/>
    <xf numFmtId="164" fontId="0" fillId="0" borderId="9" xfId="1" applyNumberFormat="1" applyFont="1" applyFill="1" applyBorder="1"/>
    <xf numFmtId="168" fontId="6" fillId="0" borderId="0" xfId="0" applyNumberFormat="1" applyFont="1" applyFill="1" applyBorder="1"/>
    <xf numFmtId="164" fontId="0" fillId="0" borderId="0" xfId="1" applyNumberFormat="1" applyFont="1" applyFill="1" applyBorder="1"/>
    <xf numFmtId="164" fontId="0" fillId="0" borderId="0" xfId="1" applyNumberFormat="1" applyFont="1" applyFill="1" applyBorder="1" applyAlignment="1">
      <alignment horizontal="right"/>
    </xf>
    <xf numFmtId="166" fontId="0" fillId="0" borderId="6" xfId="1" applyNumberFormat="1" applyFont="1" applyFill="1" applyBorder="1" applyProtection="1">
      <protection locked="0"/>
    </xf>
    <xf numFmtId="166" fontId="0" fillId="0" borderId="21" xfId="1" applyNumberFormat="1" applyFont="1" applyFill="1" applyBorder="1" applyProtection="1">
      <protection hidden="1"/>
    </xf>
    <xf numFmtId="10" fontId="0" fillId="0" borderId="0" xfId="2" applyNumberFormat="1" applyFont="1" applyProtection="1">
      <protection hidden="1"/>
    </xf>
    <xf numFmtId="168" fontId="0" fillId="0" borderId="0" xfId="0" applyNumberFormat="1" applyProtection="1">
      <protection hidden="1"/>
    </xf>
    <xf numFmtId="169" fontId="0" fillId="0" borderId="0" xfId="1" applyFont="1" applyProtection="1">
      <protection hidden="1"/>
    </xf>
    <xf numFmtId="10" fontId="0" fillId="0" borderId="0" xfId="2" applyNumberFormat="1" applyFont="1"/>
    <xf numFmtId="167" fontId="0" fillId="0" borderId="0" xfId="1" applyNumberFormat="1" applyFont="1"/>
    <xf numFmtId="0" fontId="0" fillId="0" borderId="0" xfId="0" applyFill="1" applyAlignment="1" applyProtection="1">
      <alignment wrapText="1"/>
      <protection hidden="1"/>
    </xf>
    <xf numFmtId="0" fontId="0" fillId="0" borderId="0" xfId="0" applyFill="1" applyAlignment="1" applyProtection="1">
      <alignment horizontal="center" vertical="center"/>
      <protection hidden="1"/>
    </xf>
    <xf numFmtId="169" fontId="8" fillId="5" borderId="0" xfId="0" applyNumberFormat="1" applyFont="1" applyFill="1" applyAlignment="1" applyProtection="1">
      <protection hidden="1"/>
    </xf>
    <xf numFmtId="14" fontId="0" fillId="0" borderId="0" xfId="0" applyNumberFormat="1"/>
    <xf numFmtId="0" fontId="15" fillId="0" borderId="0" xfId="0" applyFont="1" applyFill="1" applyBorder="1" applyAlignment="1" applyProtection="1">
      <alignment vertical="center"/>
      <protection hidden="1"/>
    </xf>
    <xf numFmtId="10" fontId="0" fillId="7" borderId="0" xfId="2" applyNumberFormat="1" applyFont="1" applyFill="1"/>
    <xf numFmtId="0" fontId="0" fillId="7" borderId="0" xfId="0" applyFill="1" applyAlignment="1">
      <alignment horizontal="center"/>
    </xf>
    <xf numFmtId="169" fontId="0" fillId="7" borderId="0" xfId="0" applyNumberFormat="1" applyFill="1"/>
    <xf numFmtId="169" fontId="0" fillId="7" borderId="0" xfId="1" applyFont="1" applyFill="1"/>
    <xf numFmtId="0" fontId="8" fillId="0" borderId="21" xfId="0" applyFont="1" applyFill="1" applyBorder="1" applyProtection="1">
      <protection hidden="1"/>
    </xf>
    <xf numFmtId="0" fontId="0" fillId="0" borderId="6" xfId="0" applyFill="1" applyBorder="1" applyProtection="1">
      <protection locked="0"/>
    </xf>
    <xf numFmtId="0" fontId="8" fillId="0" borderId="21" xfId="0" applyFont="1" applyFill="1" applyBorder="1" applyAlignment="1" applyProtection="1">
      <alignment horizontal="center"/>
      <protection hidden="1"/>
    </xf>
    <xf numFmtId="0" fontId="8" fillId="0" borderId="0" xfId="0" applyFont="1" applyFill="1" applyProtection="1">
      <protection hidden="1"/>
    </xf>
    <xf numFmtId="0" fontId="6" fillId="0" borderId="0" xfId="0" applyFont="1" applyFill="1" applyProtection="1">
      <protection hidden="1"/>
    </xf>
    <xf numFmtId="0" fontId="8" fillId="0" borderId="0" xfId="0" applyFont="1" applyProtection="1">
      <protection hidden="1"/>
    </xf>
    <xf numFmtId="0" fontId="6" fillId="0" borderId="0" xfId="0" applyFont="1" applyProtection="1">
      <protection hidden="1"/>
    </xf>
    <xf numFmtId="169" fontId="0" fillId="0" borderId="0" xfId="1" applyFont="1" applyFill="1" applyBorder="1" applyProtection="1">
      <protection hidden="1"/>
    </xf>
    <xf numFmtId="44" fontId="6" fillId="7" borderId="0" xfId="0" applyNumberFormat="1" applyFont="1" applyFill="1" applyBorder="1" applyProtection="1">
      <protection hidden="1"/>
    </xf>
    <xf numFmtId="169" fontId="6" fillId="7" borderId="0" xfId="1" applyFont="1" applyFill="1" applyBorder="1" applyProtection="1">
      <protection hidden="1"/>
    </xf>
    <xf numFmtId="0" fontId="0" fillId="0" borderId="0" xfId="0" applyBorder="1" applyProtection="1">
      <protection hidden="1"/>
    </xf>
    <xf numFmtId="44" fontId="0" fillId="7" borderId="0" xfId="1" applyNumberFormat="1" applyFont="1" applyFill="1" applyBorder="1" applyProtection="1">
      <protection hidden="1"/>
    </xf>
    <xf numFmtId="0" fontId="6" fillId="7" borderId="25" xfId="0" applyFont="1" applyFill="1" applyBorder="1" applyAlignment="1" applyProtection="1">
      <alignment horizontal="center"/>
      <protection hidden="1"/>
    </xf>
    <xf numFmtId="168" fontId="8" fillId="0" borderId="20" xfId="0" applyNumberFormat="1" applyFont="1" applyFill="1" applyBorder="1" applyAlignment="1" applyProtection="1">
      <alignment horizontal="right" vertical="top"/>
      <protection hidden="1"/>
    </xf>
    <xf numFmtId="0" fontId="0" fillId="0" borderId="25" xfId="0" applyFill="1" applyBorder="1" applyAlignment="1">
      <alignment vertical="center"/>
    </xf>
    <xf numFmtId="0" fontId="0" fillId="0" borderId="26" xfId="0" applyFill="1" applyBorder="1" applyAlignment="1">
      <alignment vertical="center"/>
    </xf>
    <xf numFmtId="0" fontId="0" fillId="0" borderId="37" xfId="0" applyFill="1" applyBorder="1" applyAlignment="1">
      <alignment vertical="center"/>
    </xf>
    <xf numFmtId="0" fontId="6" fillId="0" borderId="25" xfId="0" applyFont="1" applyFill="1" applyBorder="1" applyAlignment="1">
      <alignment vertical="center"/>
    </xf>
    <xf numFmtId="0" fontId="6" fillId="0" borderId="26" xfId="0" applyFont="1" applyFill="1" applyBorder="1" applyAlignment="1">
      <alignment vertical="center"/>
    </xf>
    <xf numFmtId="0" fontId="6" fillId="0" borderId="37" xfId="0" applyFont="1" applyFill="1" applyBorder="1" applyAlignment="1">
      <alignment vertical="center"/>
    </xf>
    <xf numFmtId="164" fontId="27" fillId="0" borderId="0" xfId="1" applyNumberFormat="1" applyFont="1" applyFill="1" applyBorder="1" applyAlignment="1">
      <alignment horizontal="right"/>
    </xf>
    <xf numFmtId="171" fontId="0" fillId="0" borderId="6" xfId="1" applyNumberFormat="1" applyFont="1" applyBorder="1" applyAlignment="1" applyProtection="1">
      <alignment horizontal="center"/>
      <protection locked="0"/>
    </xf>
    <xf numFmtId="174" fontId="6" fillId="0" borderId="23" xfId="1" applyNumberFormat="1" applyFont="1" applyBorder="1" applyProtection="1">
      <protection hidden="1"/>
    </xf>
    <xf numFmtId="0" fontId="3" fillId="0" borderId="0" xfId="0" applyFont="1" applyFill="1" applyBorder="1" applyAlignment="1" applyProtection="1">
      <alignment horizontal="right"/>
      <protection hidden="1"/>
    </xf>
    <xf numFmtId="0" fontId="23" fillId="3" borderId="16" xfId="0" applyFont="1" applyFill="1" applyBorder="1" applyAlignment="1" applyProtection="1">
      <alignment vertical="center"/>
      <protection hidden="1"/>
    </xf>
    <xf numFmtId="0" fontId="21" fillId="3" borderId="16" xfId="0" applyFont="1" applyFill="1" applyBorder="1" applyAlignment="1" applyProtection="1">
      <alignment vertical="center" wrapText="1"/>
      <protection hidden="1"/>
    </xf>
    <xf numFmtId="0" fontId="6" fillId="0" borderId="0" xfId="0" applyFont="1" applyFill="1" applyBorder="1" applyAlignment="1" applyProtection="1">
      <alignment horizontal="center"/>
      <protection locked="0"/>
    </xf>
    <xf numFmtId="0" fontId="27" fillId="0" borderId="0" xfId="0" applyFont="1" applyBorder="1" applyAlignment="1">
      <alignment horizontal="right"/>
    </xf>
    <xf numFmtId="169" fontId="6" fillId="0" borderId="6" xfId="1" applyNumberFormat="1" applyFont="1" applyFill="1" applyBorder="1" applyProtection="1">
      <protection locked="0"/>
    </xf>
    <xf numFmtId="169" fontId="8" fillId="0" borderId="6" xfId="1" applyNumberFormat="1" applyFont="1" applyFill="1" applyBorder="1" applyProtection="1">
      <protection locked="0"/>
    </xf>
    <xf numFmtId="169" fontId="8" fillId="0" borderId="42" xfId="1" applyNumberFormat="1" applyFont="1" applyFill="1" applyBorder="1" applyProtection="1">
      <protection locked="0"/>
    </xf>
    <xf numFmtId="169" fontId="17" fillId="0" borderId="43" xfId="1" applyNumberFormat="1" applyFont="1" applyFill="1" applyBorder="1" applyProtection="1">
      <protection hidden="1"/>
    </xf>
    <xf numFmtId="169" fontId="6" fillId="0" borderId="7" xfId="1" applyNumberFormat="1" applyFont="1" applyFill="1" applyBorder="1" applyProtection="1">
      <protection hidden="1"/>
    </xf>
    <xf numFmtId="177" fontId="17" fillId="0" borderId="7" xfId="1" applyNumberFormat="1" applyFont="1" applyFill="1" applyBorder="1" applyAlignment="1" applyProtection="1">
      <alignment vertical="top"/>
      <protection hidden="1"/>
    </xf>
    <xf numFmtId="177" fontId="17" fillId="0" borderId="22" xfId="1" applyNumberFormat="1" applyFont="1" applyFill="1" applyBorder="1" applyAlignment="1" applyProtection="1">
      <alignment vertical="top"/>
      <protection hidden="1"/>
    </xf>
    <xf numFmtId="177" fontId="17" fillId="0" borderId="23" xfId="1" applyNumberFormat="1" applyFont="1" applyFill="1" applyBorder="1" applyAlignment="1" applyProtection="1">
      <alignment vertical="top"/>
      <protection hidden="1"/>
    </xf>
    <xf numFmtId="177" fontId="17" fillId="0" borderId="6" xfId="1" applyNumberFormat="1" applyFont="1" applyFill="1" applyBorder="1" applyAlignment="1" applyProtection="1">
      <alignment vertical="top"/>
      <protection locked="0"/>
    </xf>
    <xf numFmtId="165" fontId="0" fillId="2" borderId="0" xfId="0" applyNumberFormat="1" applyFill="1" applyProtection="1">
      <protection hidden="1"/>
    </xf>
    <xf numFmtId="165" fontId="6" fillId="2" borderId="0" xfId="0" applyNumberFormat="1" applyFont="1" applyFill="1" applyProtection="1">
      <protection hidden="1"/>
    </xf>
    <xf numFmtId="171" fontId="0" fillId="0" borderId="10" xfId="0" applyNumberFormat="1" applyFill="1" applyBorder="1" applyProtection="1">
      <protection hidden="1"/>
    </xf>
    <xf numFmtId="171" fontId="6" fillId="0" borderId="23" xfId="1" applyNumberFormat="1" applyFont="1" applyFill="1" applyBorder="1" applyProtection="1">
      <protection hidden="1"/>
    </xf>
    <xf numFmtId="174" fontId="0" fillId="5" borderId="0" xfId="1" applyNumberFormat="1" applyFont="1" applyFill="1" applyProtection="1">
      <protection hidden="1"/>
    </xf>
    <xf numFmtId="174" fontId="0" fillId="7" borderId="0" xfId="0" applyNumberFormat="1" applyFill="1"/>
    <xf numFmtId="171" fontId="6" fillId="0" borderId="7" xfId="0" applyNumberFormat="1" applyFont="1" applyFill="1" applyBorder="1" applyProtection="1">
      <protection hidden="1"/>
    </xf>
    <xf numFmtId="171" fontId="6" fillId="0" borderId="37" xfId="0" applyNumberFormat="1" applyFont="1" applyFill="1" applyBorder="1" applyProtection="1">
      <protection hidden="1"/>
    </xf>
    <xf numFmtId="164" fontId="6" fillId="0" borderId="37" xfId="0" applyNumberFormat="1" applyFont="1" applyFill="1" applyBorder="1" applyProtection="1">
      <protection hidden="1"/>
    </xf>
    <xf numFmtId="164" fontId="6" fillId="0" borderId="26" xfId="0" applyNumberFormat="1" applyFont="1" applyFill="1" applyBorder="1" applyProtection="1">
      <protection hidden="1"/>
    </xf>
    <xf numFmtId="174" fontId="0" fillId="7" borderId="0" xfId="1" applyNumberFormat="1" applyFont="1" applyFill="1" applyProtection="1">
      <protection hidden="1"/>
    </xf>
    <xf numFmtId="164" fontId="0" fillId="0" borderId="6" xfId="1" applyNumberFormat="1" applyFont="1" applyFill="1" applyBorder="1" applyAlignment="1" applyProtection="1">
      <protection locked="0"/>
    </xf>
    <xf numFmtId="164" fontId="0" fillId="0" borderId="6" xfId="1" applyNumberFormat="1" applyFont="1" applyFill="1" applyBorder="1" applyProtection="1">
      <protection locked="0"/>
    </xf>
    <xf numFmtId="173" fontId="0" fillId="0" borderId="0" xfId="0" applyNumberFormat="1" applyFill="1"/>
    <xf numFmtId="0" fontId="24" fillId="3" borderId="28" xfId="0" applyFont="1" applyFill="1" applyBorder="1" applyAlignment="1" applyProtection="1">
      <alignment vertical="center"/>
    </xf>
    <xf numFmtId="0" fontId="8" fillId="0" borderId="3" xfId="0" applyFont="1" applyFill="1" applyBorder="1" applyAlignment="1" applyProtection="1">
      <alignment horizontal="center" vertical="center" wrapText="1"/>
    </xf>
    <xf numFmtId="5" fontId="8" fillId="0" borderId="26" xfId="1" applyNumberFormat="1" applyFont="1" applyFill="1" applyBorder="1" applyAlignment="1" applyProtection="1">
      <protection hidden="1"/>
    </xf>
    <xf numFmtId="164" fontId="0" fillId="7" borderId="0" xfId="0" applyNumberFormat="1" applyFill="1"/>
    <xf numFmtId="0" fontId="6" fillId="7" borderId="7" xfId="0" applyFont="1" applyFill="1" applyBorder="1" applyAlignment="1">
      <alignment horizontal="center"/>
    </xf>
    <xf numFmtId="9" fontId="0" fillId="7" borderId="0" xfId="2" applyFont="1" applyFill="1" applyAlignment="1" applyProtection="1">
      <alignment horizontal="center"/>
      <protection hidden="1"/>
    </xf>
    <xf numFmtId="0" fontId="8" fillId="7" borderId="0" xfId="0" applyFont="1" applyFill="1" applyProtection="1">
      <protection hidden="1"/>
    </xf>
    <xf numFmtId="168" fontId="1" fillId="0" borderId="6" xfId="0" applyNumberFormat="1" applyFont="1" applyFill="1" applyBorder="1" applyProtection="1">
      <protection locked="0"/>
    </xf>
    <xf numFmtId="178" fontId="4" fillId="0" borderId="23" xfId="1" applyNumberFormat="1" applyFont="1" applyFill="1" applyBorder="1" applyAlignment="1" applyProtection="1">
      <alignment vertical="top"/>
      <protection hidden="1"/>
    </xf>
    <xf numFmtId="165" fontId="0" fillId="7" borderId="0" xfId="0" applyNumberFormat="1" applyFill="1"/>
    <xf numFmtId="0" fontId="1" fillId="0" borderId="0" xfId="0" applyFont="1" applyFill="1" applyBorder="1" applyAlignment="1" applyProtection="1">
      <alignment vertical="top"/>
      <protection hidden="1"/>
    </xf>
    <xf numFmtId="0" fontId="1" fillId="0" borderId="6" xfId="0" applyFont="1" applyFill="1" applyBorder="1" applyProtection="1">
      <protection locked="0"/>
    </xf>
    <xf numFmtId="0" fontId="1" fillId="0" borderId="6" xfId="0" applyFont="1" applyFill="1" applyBorder="1" applyAlignment="1" applyProtection="1">
      <alignment horizontal="center"/>
      <protection locked="0"/>
    </xf>
    <xf numFmtId="0" fontId="1" fillId="0" borderId="7" xfId="0" applyFont="1" applyFill="1" applyBorder="1"/>
    <xf numFmtId="0" fontId="0" fillId="0" borderId="0" xfId="0" applyFill="1" applyBorder="1" applyAlignment="1">
      <alignment horizontal="center"/>
    </xf>
    <xf numFmtId="0" fontId="6" fillId="0" borderId="7" xfId="0" applyFont="1" applyFill="1" applyBorder="1" applyAlignment="1">
      <alignment horizontal="center"/>
    </xf>
    <xf numFmtId="9" fontId="0" fillId="0" borderId="7" xfId="0" applyNumberFormat="1" applyBorder="1"/>
    <xf numFmtId="10" fontId="0" fillId="0" borderId="7" xfId="0" applyNumberFormat="1" applyBorder="1"/>
    <xf numFmtId="0" fontId="1" fillId="0" borderId="0" xfId="0" applyFont="1"/>
    <xf numFmtId="0" fontId="6" fillId="10" borderId="7" xfId="0" applyFont="1" applyFill="1" applyBorder="1"/>
    <xf numFmtId="0" fontId="6" fillId="10" borderId="7" xfId="0" applyFont="1" applyFill="1" applyBorder="1" applyAlignment="1">
      <alignment horizontal="center"/>
    </xf>
    <xf numFmtId="0" fontId="1" fillId="0" borderId="0" xfId="0" applyFont="1" applyFill="1" applyBorder="1"/>
    <xf numFmtId="0" fontId="6" fillId="0" borderId="0" xfId="0" applyFont="1" applyFill="1" applyBorder="1"/>
    <xf numFmtId="0" fontId="9" fillId="3" borderId="12" xfId="0" applyFont="1" applyFill="1" applyBorder="1" applyAlignment="1" applyProtection="1">
      <alignment vertical="center"/>
      <protection hidden="1"/>
    </xf>
    <xf numFmtId="0" fontId="1" fillId="0" borderId="22" xfId="0" applyFont="1" applyFill="1" applyBorder="1" applyAlignment="1">
      <alignment horizontal="center" vertical="center" wrapText="1"/>
    </xf>
    <xf numFmtId="0" fontId="1" fillId="0" borderId="25" xfId="0" applyFont="1" applyFill="1" applyBorder="1" applyAlignment="1">
      <alignment horizontal="center" vertical="center" wrapText="1"/>
    </xf>
    <xf numFmtId="10" fontId="0" fillId="0" borderId="6" xfId="2" applyNumberFormat="1" applyFont="1" applyFill="1" applyBorder="1" applyAlignment="1" applyProtection="1">
      <alignment horizontal="center"/>
      <protection locked="0"/>
    </xf>
    <xf numFmtId="0" fontId="1" fillId="0" borderId="7" xfId="0" applyFont="1" applyBorder="1"/>
    <xf numFmtId="10" fontId="0" fillId="0" borderId="21" xfId="2" applyNumberFormat="1" applyFont="1" applyFill="1" applyBorder="1" applyAlignment="1" applyProtection="1">
      <alignment horizontal="center"/>
      <protection hidden="1"/>
    </xf>
    <xf numFmtId="0" fontId="6" fillId="10" borderId="0" xfId="0" applyFont="1" applyFill="1"/>
    <xf numFmtId="0" fontId="0" fillId="0" borderId="0" xfId="0" quotePrefix="1" applyFill="1" applyBorder="1"/>
    <xf numFmtId="0" fontId="6" fillId="8" borderId="27" xfId="1" applyNumberFormat="1" applyFont="1" applyFill="1" applyBorder="1" applyProtection="1">
      <protection hidden="1"/>
    </xf>
    <xf numFmtId="171" fontId="6" fillId="8" borderId="9" xfId="0" applyNumberFormat="1" applyFont="1" applyFill="1" applyBorder="1" applyProtection="1">
      <protection hidden="1"/>
    </xf>
    <xf numFmtId="0" fontId="6" fillId="0" borderId="0" xfId="0" applyFont="1" applyFill="1" applyBorder="1" applyAlignment="1">
      <alignment horizontal="center"/>
    </xf>
    <xf numFmtId="0" fontId="0" fillId="3" borderId="28" xfId="0" applyFill="1" applyBorder="1" applyAlignment="1" applyProtection="1">
      <alignment vertical="center"/>
      <protection hidden="1"/>
    </xf>
    <xf numFmtId="0" fontId="1" fillId="0" borderId="0" xfId="0" applyFont="1" applyFill="1" applyBorder="1" applyAlignment="1" applyProtection="1">
      <alignment horizontal="right"/>
      <protection hidden="1"/>
    </xf>
    <xf numFmtId="0" fontId="1" fillId="0" borderId="6" xfId="0" applyNumberFormat="1" applyFont="1" applyFill="1" applyBorder="1" applyAlignment="1" applyProtection="1">
      <alignment horizontal="center"/>
      <protection locked="0"/>
    </xf>
    <xf numFmtId="0" fontId="1" fillId="0" borderId="0" xfId="0" applyFont="1" applyFill="1" applyBorder="1" applyAlignment="1" applyProtection="1">
      <alignment horizontal="center"/>
      <protection hidden="1"/>
    </xf>
    <xf numFmtId="0" fontId="1" fillId="0" borderId="0" xfId="0" applyNumberFormat="1" applyFont="1" applyFill="1" applyBorder="1" applyAlignment="1" applyProtection="1">
      <alignment horizontal="right"/>
      <protection hidden="1"/>
    </xf>
    <xf numFmtId="0" fontId="6" fillId="0" borderId="0" xfId="0" applyFont="1" applyFill="1" applyBorder="1" applyAlignment="1" applyProtection="1">
      <alignment horizontal="right"/>
      <protection hidden="1"/>
    </xf>
    <xf numFmtId="44" fontId="6" fillId="0" borderId="6" xfId="1" applyNumberFormat="1" applyFont="1" applyFill="1" applyBorder="1" applyProtection="1">
      <protection locked="0"/>
    </xf>
    <xf numFmtId="44" fontId="6" fillId="0" borderId="7" xfId="1" applyNumberFormat="1" applyFont="1" applyFill="1" applyBorder="1" applyProtection="1">
      <protection hidden="1"/>
    </xf>
    <xf numFmtId="0" fontId="29" fillId="0" borderId="0" xfId="0" applyFont="1" applyFill="1" applyBorder="1" applyProtection="1">
      <protection hidden="1"/>
    </xf>
    <xf numFmtId="44" fontId="1" fillId="0" borderId="6" xfId="1" applyNumberFormat="1" applyFont="1" applyFill="1" applyBorder="1" applyProtection="1">
      <protection locked="0"/>
    </xf>
    <xf numFmtId="0" fontId="1" fillId="0" borderId="0" xfId="0" applyFont="1" applyFill="1" applyBorder="1" applyProtection="1">
      <protection hidden="1"/>
    </xf>
    <xf numFmtId="44" fontId="0" fillId="0" borderId="7" xfId="1" applyNumberFormat="1" applyFont="1" applyFill="1" applyBorder="1" applyProtection="1">
      <protection hidden="1"/>
    </xf>
    <xf numFmtId="44" fontId="0" fillId="0" borderId="6" xfId="1" applyNumberFormat="1" applyFont="1" applyFill="1" applyBorder="1" applyProtection="1">
      <protection locked="0"/>
    </xf>
    <xf numFmtId="44" fontId="1" fillId="0" borderId="42" xfId="1" applyNumberFormat="1" applyFont="1" applyFill="1" applyBorder="1" applyProtection="1">
      <protection locked="0"/>
    </xf>
    <xf numFmtId="44" fontId="17" fillId="0" borderId="43" xfId="1" applyNumberFormat="1" applyFont="1" applyFill="1" applyBorder="1" applyProtection="1">
      <protection hidden="1"/>
    </xf>
    <xf numFmtId="44" fontId="6" fillId="0" borderId="24" xfId="1" applyNumberFormat="1" applyFont="1" applyFill="1" applyBorder="1" applyProtection="1">
      <protection hidden="1"/>
    </xf>
    <xf numFmtId="44" fontId="6" fillId="0" borderId="23" xfId="0" applyNumberFormat="1" applyFont="1" applyFill="1" applyBorder="1" applyProtection="1">
      <protection hidden="1"/>
    </xf>
    <xf numFmtId="0" fontId="1" fillId="0" borderId="4" xfId="0" applyFont="1" applyFill="1" applyBorder="1" applyProtection="1">
      <protection hidden="1"/>
    </xf>
    <xf numFmtId="0" fontId="1" fillId="0" borderId="5" xfId="0" applyFont="1" applyFill="1" applyBorder="1" applyProtection="1">
      <protection hidden="1"/>
    </xf>
    <xf numFmtId="0" fontId="3" fillId="0" borderId="4" xfId="0" applyFont="1" applyFill="1" applyBorder="1" applyProtection="1">
      <protection hidden="1"/>
    </xf>
    <xf numFmtId="0" fontId="3" fillId="0" borderId="0" xfId="0" applyFont="1" applyFill="1" applyBorder="1" applyAlignment="1" applyProtection="1">
      <protection hidden="1"/>
    </xf>
    <xf numFmtId="0" fontId="32" fillId="0" borderId="0" xfId="0" applyFont="1" applyFill="1" applyBorder="1" applyAlignment="1" applyProtection="1">
      <alignment horizontal="center" vertical="center"/>
      <protection hidden="1"/>
    </xf>
    <xf numFmtId="0" fontId="3" fillId="0" borderId="5" xfId="0" applyFont="1" applyFill="1" applyBorder="1" applyProtection="1">
      <protection hidden="1"/>
    </xf>
    <xf numFmtId="0" fontId="3" fillId="0" borderId="0" xfId="0" applyFont="1" applyFill="1"/>
    <xf numFmtId="0" fontId="3" fillId="0" borderId="0" xfId="0" applyFont="1"/>
    <xf numFmtId="0" fontId="1" fillId="0" borderId="8" xfId="0" applyFont="1" applyFill="1" applyBorder="1" applyProtection="1">
      <protection hidden="1"/>
    </xf>
    <xf numFmtId="0" fontId="1" fillId="0" borderId="9" xfId="0" applyFont="1" applyFill="1" applyBorder="1" applyProtection="1">
      <protection hidden="1"/>
    </xf>
    <xf numFmtId="0" fontId="1" fillId="0" borderId="10" xfId="0" applyFont="1" applyFill="1" applyBorder="1" applyProtection="1">
      <protection hidden="1"/>
    </xf>
    <xf numFmtId="0" fontId="0" fillId="0" borderId="0" xfId="0" applyProtection="1"/>
    <xf numFmtId="0" fontId="3" fillId="3" borderId="12" xfId="0" applyFont="1" applyFill="1" applyBorder="1" applyAlignment="1" applyProtection="1">
      <alignment vertical="center"/>
    </xf>
    <xf numFmtId="0" fontId="3" fillId="3" borderId="28" xfId="0" applyFont="1" applyFill="1" applyBorder="1" applyAlignment="1" applyProtection="1">
      <alignment vertical="center"/>
    </xf>
    <xf numFmtId="0" fontId="3" fillId="0" borderId="0" xfId="0" applyFont="1" applyFill="1" applyBorder="1" applyAlignment="1" applyProtection="1">
      <alignment vertical="center"/>
    </xf>
    <xf numFmtId="0" fontId="3" fillId="3" borderId="16" xfId="0" applyFont="1" applyFill="1" applyBorder="1" applyAlignment="1" applyProtection="1">
      <alignment vertical="center"/>
    </xf>
    <xf numFmtId="0" fontId="32" fillId="3" borderId="16" xfId="0" applyFont="1" applyFill="1" applyBorder="1" applyAlignment="1" applyProtection="1">
      <alignment vertical="center"/>
    </xf>
    <xf numFmtId="0" fontId="3" fillId="3" borderId="17" xfId="0" applyFont="1" applyFill="1" applyBorder="1" applyAlignment="1" applyProtection="1">
      <alignment vertical="center"/>
    </xf>
    <xf numFmtId="0" fontId="29" fillId="0" borderId="0" xfId="0" applyFont="1" applyBorder="1" applyProtection="1">
      <protection hidden="1"/>
    </xf>
    <xf numFmtId="0" fontId="1" fillId="0" borderId="0" xfId="0" applyFont="1" applyProtection="1"/>
    <xf numFmtId="0" fontId="1" fillId="0" borderId="7" xfId="0" applyFont="1" applyFill="1" applyBorder="1" applyAlignment="1" applyProtection="1">
      <alignment horizontal="center" vertical="center"/>
    </xf>
    <xf numFmtId="0" fontId="1" fillId="0" borderId="22" xfId="0" applyFont="1" applyFill="1" applyBorder="1" applyAlignment="1" applyProtection="1">
      <alignment horizontal="center" vertical="center" wrapText="1"/>
    </xf>
    <xf numFmtId="10" fontId="1" fillId="0" borderId="6" xfId="2" applyNumberFormat="1" applyFont="1" applyFill="1" applyBorder="1" applyProtection="1">
      <protection locked="0"/>
    </xf>
    <xf numFmtId="0" fontId="1" fillId="0" borderId="0" xfId="0" applyFont="1" applyFill="1" applyBorder="1" applyAlignment="1" applyProtection="1"/>
    <xf numFmtId="0" fontId="1" fillId="0" borderId="0" xfId="0" applyFont="1" applyFill="1" applyBorder="1" applyProtection="1"/>
    <xf numFmtId="0" fontId="1" fillId="3" borderId="16" xfId="0" applyFont="1" applyFill="1" applyBorder="1" applyAlignment="1" applyProtection="1">
      <alignment vertical="center"/>
    </xf>
    <xf numFmtId="0" fontId="1" fillId="3" borderId="17" xfId="0" applyFont="1" applyFill="1" applyBorder="1" applyAlignment="1" applyProtection="1">
      <alignment vertical="center"/>
    </xf>
    <xf numFmtId="0" fontId="1" fillId="0" borderId="3" xfId="0" applyFont="1" applyFill="1" applyBorder="1" applyAlignment="1" applyProtection="1">
      <alignment horizontal="center" vertical="center" wrapText="1"/>
    </xf>
    <xf numFmtId="171" fontId="1" fillId="0" borderId="25" xfId="1" applyNumberFormat="1" applyFont="1" applyFill="1" applyBorder="1" applyAlignment="1" applyProtection="1">
      <protection hidden="1"/>
    </xf>
    <xf numFmtId="178" fontId="1" fillId="0" borderId="26" xfId="0" applyNumberFormat="1" applyFont="1" applyFill="1" applyBorder="1" applyAlignment="1" applyProtection="1">
      <protection hidden="1"/>
    </xf>
    <xf numFmtId="10" fontId="1" fillId="0" borderId="0" xfId="2" applyNumberFormat="1" applyFont="1" applyFill="1" applyBorder="1" applyProtection="1"/>
    <xf numFmtId="171" fontId="1" fillId="0" borderId="0" xfId="0" applyNumberFormat="1" applyFont="1" applyFill="1" applyBorder="1" applyAlignment="1" applyProtection="1"/>
    <xf numFmtId="0" fontId="6" fillId="3" borderId="16" xfId="0" applyFont="1" applyFill="1" applyBorder="1" applyAlignment="1" applyProtection="1">
      <alignment horizontal="center" vertical="center"/>
    </xf>
    <xf numFmtId="171" fontId="1" fillId="3" borderId="16" xfId="0" applyNumberFormat="1" applyFont="1" applyFill="1" applyBorder="1" applyAlignment="1" applyProtection="1">
      <alignment vertical="center"/>
    </xf>
    <xf numFmtId="0" fontId="6" fillId="3" borderId="17" xfId="0" applyFont="1" applyFill="1" applyBorder="1" applyAlignment="1" applyProtection="1">
      <alignment horizontal="center" vertical="center"/>
    </xf>
    <xf numFmtId="0" fontId="1" fillId="0" borderId="0" xfId="0" applyFont="1" applyAlignment="1" applyProtection="1">
      <alignment vertical="center"/>
    </xf>
    <xf numFmtId="3" fontId="6" fillId="0" borderId="9" xfId="0" applyNumberFormat="1" applyFont="1" applyFill="1" applyBorder="1" applyAlignment="1" applyProtection="1">
      <alignment horizontal="center"/>
    </xf>
    <xf numFmtId="44" fontId="1" fillId="0" borderId="7" xfId="1" applyNumberFormat="1" applyFont="1" applyFill="1" applyBorder="1" applyAlignment="1" applyProtection="1">
      <protection hidden="1"/>
    </xf>
    <xf numFmtId="44" fontId="6" fillId="0" borderId="7" xfId="0" applyNumberFormat="1" applyFont="1" applyFill="1" applyBorder="1" applyProtection="1">
      <protection hidden="1"/>
    </xf>
    <xf numFmtId="169" fontId="3" fillId="0" borderId="0" xfId="0" applyNumberFormat="1" applyFont="1" applyFill="1" applyBorder="1" applyAlignment="1" applyProtection="1">
      <alignment horizontal="right"/>
      <protection hidden="1"/>
    </xf>
    <xf numFmtId="0" fontId="3" fillId="0" borderId="0" xfId="0" applyFont="1" applyProtection="1"/>
    <xf numFmtId="0" fontId="3" fillId="0" borderId="9" xfId="0" applyFont="1" applyFill="1" applyBorder="1" applyAlignment="1" applyProtection="1"/>
    <xf numFmtId="0" fontId="3" fillId="0" borderId="9" xfId="0" applyFont="1" applyFill="1" applyBorder="1" applyProtection="1"/>
    <xf numFmtId="0" fontId="0" fillId="0" borderId="0" xfId="0" applyAlignment="1" applyProtection="1"/>
    <xf numFmtId="0" fontId="1" fillId="0" borderId="1" xfId="0" applyFont="1" applyBorder="1" applyAlignment="1" applyProtection="1"/>
    <xf numFmtId="0" fontId="1" fillId="0" borderId="2" xfId="0" applyFont="1" applyFill="1" applyBorder="1" applyAlignment="1" applyProtection="1">
      <alignment vertical="center"/>
    </xf>
    <xf numFmtId="0" fontId="1" fillId="0" borderId="0" xfId="0" applyFont="1" applyAlignment="1" applyProtection="1"/>
    <xf numFmtId="0" fontId="1" fillId="0" borderId="4" xfId="0" applyFont="1" applyBorder="1" applyAlignment="1" applyProtection="1"/>
    <xf numFmtId="0" fontId="33" fillId="3" borderId="11" xfId="0" applyFont="1" applyFill="1" applyBorder="1" applyAlignment="1" applyProtection="1">
      <alignment vertical="center"/>
    </xf>
    <xf numFmtId="0" fontId="33" fillId="3" borderId="12" xfId="0" applyFont="1" applyFill="1" applyBorder="1" applyAlignment="1" applyProtection="1">
      <alignment vertical="center"/>
    </xf>
    <xf numFmtId="0" fontId="6" fillId="3" borderId="12" xfId="0" applyFont="1" applyFill="1" applyBorder="1" applyAlignment="1" applyProtection="1">
      <alignment horizontal="center" vertical="center" wrapText="1"/>
    </xf>
    <xf numFmtId="0" fontId="6" fillId="3" borderId="28" xfId="0" applyFont="1" applyFill="1" applyBorder="1" applyAlignment="1" applyProtection="1">
      <alignment horizontal="center" vertical="center" wrapText="1"/>
    </xf>
    <xf numFmtId="0" fontId="6" fillId="0" borderId="0" xfId="0" applyFont="1" applyFill="1" applyBorder="1" applyAlignment="1" applyProtection="1">
      <alignment horizontal="center" vertical="center" wrapText="1"/>
    </xf>
    <xf numFmtId="0" fontId="1" fillId="0" borderId="0" xfId="0" applyFont="1" applyFill="1" applyBorder="1" applyAlignment="1" applyProtection="1">
      <alignment horizontal="right"/>
    </xf>
    <xf numFmtId="0" fontId="6" fillId="0" borderId="0" xfId="0" applyFont="1" applyFill="1" applyBorder="1" applyAlignment="1" applyProtection="1">
      <alignment vertical="center"/>
    </xf>
    <xf numFmtId="0" fontId="1" fillId="0" borderId="0" xfId="0" applyFont="1" applyFill="1" applyBorder="1" applyAlignment="1" applyProtection="1">
      <alignment vertical="center"/>
    </xf>
    <xf numFmtId="0" fontId="6" fillId="0" borderId="6" xfId="0" applyFont="1" applyFill="1" applyBorder="1" applyAlignment="1" applyProtection="1">
      <alignment horizontal="center"/>
      <protection locked="0"/>
    </xf>
    <xf numFmtId="0" fontId="6" fillId="0" borderId="44" xfId="0" applyFont="1" applyFill="1" applyBorder="1" applyAlignment="1" applyProtection="1">
      <alignment horizontal="center" vertical="center"/>
      <protection locked="0"/>
    </xf>
    <xf numFmtId="0" fontId="6" fillId="0" borderId="14" xfId="0" applyFont="1" applyFill="1" applyBorder="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protection locked="0"/>
    </xf>
    <xf numFmtId="0" fontId="1" fillId="0" borderId="4" xfId="0" applyFont="1" applyBorder="1" applyProtection="1"/>
    <xf numFmtId="0" fontId="2" fillId="3" borderId="16" xfId="0" applyFont="1" applyFill="1" applyBorder="1" applyAlignment="1" applyProtection="1">
      <alignment vertical="center"/>
    </xf>
    <xf numFmtId="171" fontId="4" fillId="3" borderId="16" xfId="0" applyNumberFormat="1" applyFont="1" applyFill="1" applyBorder="1" applyAlignment="1" applyProtection="1">
      <alignment horizontal="center" vertical="center"/>
    </xf>
    <xf numFmtId="171" fontId="6" fillId="3" borderId="16" xfId="0" applyNumberFormat="1" applyFont="1" applyFill="1" applyBorder="1" applyAlignment="1" applyProtection="1">
      <alignment horizontal="center" vertical="center" wrapText="1"/>
    </xf>
    <xf numFmtId="168" fontId="1" fillId="0" borderId="6" xfId="1" applyNumberFormat="1" applyFont="1" applyFill="1" applyBorder="1" applyAlignment="1" applyProtection="1">
      <alignment horizontal="left"/>
      <protection locked="0"/>
    </xf>
    <xf numFmtId="168" fontId="1" fillId="0" borderId="45" xfId="1" applyNumberFormat="1" applyFont="1" applyFill="1" applyBorder="1" applyAlignment="1" applyProtection="1">
      <alignment horizontal="left"/>
      <protection hidden="1"/>
    </xf>
    <xf numFmtId="0" fontId="7" fillId="0" borderId="0" xfId="0" applyFont="1" applyBorder="1"/>
    <xf numFmtId="169" fontId="1" fillId="0" borderId="7" xfId="0" applyNumberFormat="1" applyFont="1" applyFill="1" applyBorder="1" applyProtection="1">
      <protection hidden="1"/>
    </xf>
    <xf numFmtId="0" fontId="1" fillId="0" borderId="0" xfId="0" applyFont="1" applyFill="1" applyBorder="1" applyAlignment="1" applyProtection="1">
      <alignment horizontal="left"/>
    </xf>
    <xf numFmtId="168" fontId="1" fillId="0" borderId="46" xfId="1" applyNumberFormat="1" applyFont="1" applyFill="1" applyBorder="1" applyAlignment="1" applyProtection="1">
      <alignment horizontal="left"/>
      <protection hidden="1"/>
    </xf>
    <xf numFmtId="168" fontId="1" fillId="0" borderId="47" xfId="1" applyNumberFormat="1" applyFont="1" applyFill="1" applyBorder="1" applyAlignment="1" applyProtection="1">
      <alignment horizontal="left"/>
      <protection hidden="1"/>
    </xf>
    <xf numFmtId="168" fontId="1" fillId="0" borderId="48" xfId="1" applyNumberFormat="1" applyFont="1" applyFill="1" applyBorder="1" applyAlignment="1" applyProtection="1">
      <alignment horizontal="left"/>
      <protection hidden="1"/>
    </xf>
    <xf numFmtId="168" fontId="1" fillId="0" borderId="20" xfId="1" applyNumberFormat="1" applyFont="1" applyFill="1" applyBorder="1" applyAlignment="1" applyProtection="1">
      <alignment horizontal="left"/>
      <protection hidden="1"/>
    </xf>
    <xf numFmtId="168" fontId="1" fillId="0" borderId="7" xfId="1" applyNumberFormat="1" applyFont="1" applyFill="1" applyBorder="1" applyAlignment="1" applyProtection="1">
      <alignment horizontal="left"/>
      <protection hidden="1"/>
    </xf>
    <xf numFmtId="0" fontId="6" fillId="0" borderId="0" xfId="0" applyFont="1" applyFill="1" applyBorder="1" applyProtection="1"/>
    <xf numFmtId="168" fontId="6" fillId="0" borderId="24" xfId="1" applyNumberFormat="1" applyFont="1" applyFill="1" applyBorder="1" applyAlignment="1" applyProtection="1">
      <alignment horizontal="left"/>
      <protection hidden="1"/>
    </xf>
    <xf numFmtId="168" fontId="6" fillId="0" borderId="7" xfId="1" applyNumberFormat="1" applyFont="1" applyFill="1" applyBorder="1" applyAlignment="1" applyProtection="1">
      <alignment horizontal="left"/>
      <protection hidden="1"/>
    </xf>
    <xf numFmtId="169" fontId="6" fillId="0" borderId="7" xfId="0" applyNumberFormat="1" applyFont="1" applyFill="1" applyBorder="1" applyProtection="1">
      <protection hidden="1"/>
    </xf>
    <xf numFmtId="168" fontId="1" fillId="0" borderId="24" xfId="1" applyNumberFormat="1" applyFont="1" applyFill="1" applyBorder="1" applyAlignment="1" applyProtection="1">
      <alignment horizontal="left"/>
      <protection hidden="1"/>
    </xf>
    <xf numFmtId="168" fontId="1" fillId="0" borderId="22" xfId="1" applyNumberFormat="1" applyFont="1" applyFill="1" applyBorder="1" applyAlignment="1" applyProtection="1">
      <alignment horizontal="left"/>
      <protection hidden="1"/>
    </xf>
    <xf numFmtId="169" fontId="1" fillId="0" borderId="7" xfId="1" applyNumberFormat="1" applyFont="1" applyFill="1" applyBorder="1" applyAlignment="1" applyProtection="1">
      <alignment horizontal="left"/>
      <protection hidden="1"/>
    </xf>
    <xf numFmtId="169" fontId="6" fillId="0" borderId="27" xfId="0" applyNumberFormat="1" applyFont="1" applyFill="1" applyBorder="1" applyProtection="1">
      <protection hidden="1"/>
    </xf>
    <xf numFmtId="169" fontId="1" fillId="0" borderId="6" xfId="1" applyFont="1" applyFill="1" applyBorder="1" applyProtection="1">
      <protection locked="0"/>
    </xf>
    <xf numFmtId="0" fontId="6" fillId="0" borderId="4" xfId="0" applyFont="1" applyBorder="1" applyProtection="1"/>
    <xf numFmtId="3" fontId="1" fillId="0" borderId="0" xfId="0" applyNumberFormat="1" applyFont="1" applyFill="1" applyBorder="1" applyProtection="1"/>
    <xf numFmtId="0" fontId="6" fillId="0" borderId="0" xfId="0" applyFont="1" applyProtection="1"/>
    <xf numFmtId="0" fontId="1" fillId="3" borderId="16" xfId="0" applyFont="1" applyFill="1" applyBorder="1" applyProtection="1"/>
    <xf numFmtId="3" fontId="1" fillId="3" borderId="16" xfId="0" applyNumberFormat="1" applyFont="1" applyFill="1" applyBorder="1" applyProtection="1"/>
    <xf numFmtId="0" fontId="6" fillId="3" borderId="16" xfId="0" applyFont="1" applyFill="1" applyBorder="1" applyAlignment="1" applyProtection="1">
      <alignment horizontal="right"/>
    </xf>
    <xf numFmtId="3" fontId="1" fillId="0" borderId="22" xfId="0" applyNumberFormat="1" applyFont="1" applyFill="1" applyBorder="1" applyAlignment="1" applyProtection="1">
      <alignment horizontal="center" vertical="center" wrapText="1"/>
    </xf>
    <xf numFmtId="174" fontId="1" fillId="0" borderId="6" xfId="1" applyNumberFormat="1" applyFont="1" applyFill="1" applyBorder="1" applyProtection="1">
      <protection locked="0"/>
    </xf>
    <xf numFmtId="171" fontId="1" fillId="0" borderId="6" xfId="2" applyNumberFormat="1" applyFont="1" applyFill="1" applyBorder="1" applyProtection="1">
      <protection locked="0"/>
    </xf>
    <xf numFmtId="171" fontId="1" fillId="0" borderId="6" xfId="0" applyNumberFormat="1" applyFont="1" applyFill="1" applyBorder="1" applyProtection="1">
      <protection locked="0"/>
    </xf>
    <xf numFmtId="171" fontId="1" fillId="0" borderId="48" xfId="0" applyNumberFormat="1" applyFont="1" applyFill="1" applyBorder="1" applyProtection="1">
      <protection hidden="1"/>
    </xf>
    <xf numFmtId="171" fontId="6" fillId="0" borderId="23" xfId="0" applyNumberFormat="1" applyFont="1" applyFill="1" applyBorder="1" applyAlignment="1" applyProtection="1">
      <alignment horizontal="right"/>
      <protection hidden="1"/>
    </xf>
    <xf numFmtId="171" fontId="6" fillId="3" borderId="16" xfId="0" applyNumberFormat="1" applyFont="1" applyFill="1" applyBorder="1" applyAlignment="1" applyProtection="1">
      <alignment vertical="center"/>
    </xf>
    <xf numFmtId="164" fontId="1" fillId="0" borderId="6" xfId="0" applyNumberFormat="1" applyFont="1" applyFill="1" applyBorder="1" applyProtection="1">
      <protection locked="0"/>
    </xf>
    <xf numFmtId="164" fontId="1" fillId="0" borderId="14" xfId="0" applyNumberFormat="1" applyFont="1" applyFill="1" applyBorder="1" applyProtection="1">
      <protection hidden="1"/>
    </xf>
    <xf numFmtId="164" fontId="1" fillId="0" borderId="20" xfId="0" applyNumberFormat="1" applyFont="1" applyFill="1" applyBorder="1" applyProtection="1">
      <protection hidden="1"/>
    </xf>
    <xf numFmtId="164" fontId="6" fillId="0" borderId="7" xfId="0" applyNumberFormat="1" applyFont="1" applyFill="1" applyBorder="1" applyProtection="1">
      <protection hidden="1"/>
    </xf>
    <xf numFmtId="0" fontId="6" fillId="0" borderId="0" xfId="0" applyFont="1" applyBorder="1" applyAlignment="1">
      <alignment horizontal="right"/>
    </xf>
    <xf numFmtId="164" fontId="6" fillId="0" borderId="7" xfId="1" applyNumberFormat="1" applyFont="1" applyFill="1" applyBorder="1" applyProtection="1">
      <protection hidden="1"/>
    </xf>
    <xf numFmtId="0" fontId="17" fillId="0" borderId="0" xfId="0" applyFont="1" applyFill="1" applyBorder="1" applyAlignment="1" applyProtection="1">
      <alignment horizontal="right" vertical="center"/>
    </xf>
    <xf numFmtId="10" fontId="6" fillId="0" borderId="23" xfId="2" applyNumberFormat="1" applyFont="1" applyFill="1" applyBorder="1" applyAlignment="1" applyProtection="1">
      <alignment horizontal="center"/>
      <protection hidden="1"/>
    </xf>
    <xf numFmtId="178" fontId="17" fillId="0" borderId="23" xfId="0" applyNumberFormat="1" applyFont="1" applyFill="1" applyBorder="1" applyAlignment="1" applyProtection="1">
      <alignment vertical="center"/>
      <protection hidden="1"/>
    </xf>
    <xf numFmtId="0" fontId="17" fillId="0" borderId="0" xfId="0" applyFont="1" applyFill="1" applyBorder="1" applyAlignment="1" applyProtection="1">
      <alignment horizontal="center" vertical="center"/>
      <protection hidden="1"/>
    </xf>
    <xf numFmtId="10" fontId="6" fillId="0" borderId="0" xfId="2" applyNumberFormat="1" applyFont="1" applyFill="1" applyBorder="1" applyAlignment="1" applyProtection="1">
      <alignment horizontal="center"/>
      <protection hidden="1"/>
    </xf>
    <xf numFmtId="10" fontId="1" fillId="0" borderId="22" xfId="2" applyNumberFormat="1" applyFont="1" applyFill="1" applyBorder="1" applyAlignment="1" applyProtection="1">
      <alignment horizontal="center" vertical="center" wrapText="1"/>
    </xf>
    <xf numFmtId="164" fontId="1" fillId="0" borderId="6" xfId="1" applyNumberFormat="1" applyFont="1" applyFill="1" applyBorder="1" applyAlignment="1" applyProtection="1">
      <protection locked="0"/>
    </xf>
    <xf numFmtId="164" fontId="1" fillId="0" borderId="48" xfId="1" applyNumberFormat="1" applyFont="1" applyFill="1" applyBorder="1" applyProtection="1">
      <protection hidden="1"/>
    </xf>
    <xf numFmtId="164" fontId="1" fillId="0" borderId="49" xfId="1" applyNumberFormat="1" applyFont="1" applyFill="1" applyBorder="1" applyProtection="1">
      <protection hidden="1"/>
    </xf>
    <xf numFmtId="164" fontId="6" fillId="0" borderId="23" xfId="0" applyNumberFormat="1" applyFont="1" applyBorder="1" applyProtection="1">
      <protection hidden="1"/>
    </xf>
    <xf numFmtId="0" fontId="17" fillId="0" borderId="50" xfId="0" applyFont="1" applyFill="1" applyBorder="1" applyAlignment="1" applyProtection="1">
      <alignment horizontal="center" vertical="center"/>
      <protection hidden="1"/>
    </xf>
    <xf numFmtId="0" fontId="3" fillId="0" borderId="4" xfId="0" applyFont="1" applyBorder="1" applyAlignment="1" applyProtection="1"/>
    <xf numFmtId="0" fontId="3" fillId="0" borderId="0" xfId="0" applyFont="1" applyFill="1" applyBorder="1" applyAlignment="1" applyProtection="1"/>
    <xf numFmtId="0" fontId="3" fillId="0" borderId="0" xfId="0" applyFont="1" applyFill="1" applyBorder="1" applyAlignment="1" applyProtection="1">
      <alignment horizontal="right"/>
    </xf>
    <xf numFmtId="0" fontId="3" fillId="0" borderId="0" xfId="0" applyFont="1" applyAlignment="1" applyProtection="1"/>
    <xf numFmtId="0" fontId="1" fillId="0" borderId="8" xfId="0" applyFont="1" applyBorder="1" applyAlignment="1" applyProtection="1"/>
    <xf numFmtId="171" fontId="1" fillId="0" borderId="9" xfId="0" applyNumberFormat="1" applyFont="1" applyFill="1" applyBorder="1" applyAlignment="1" applyProtection="1"/>
    <xf numFmtId="0" fontId="1" fillId="0" borderId="9" xfId="0" applyFont="1" applyFill="1" applyBorder="1" applyAlignment="1" applyProtection="1"/>
    <xf numFmtId="0" fontId="1" fillId="0" borderId="0" xfId="0" applyFont="1" applyFill="1" applyProtection="1"/>
    <xf numFmtId="0" fontId="1" fillId="0" borderId="0" xfId="0" applyFont="1" applyFill="1" applyAlignment="1" applyProtection="1"/>
    <xf numFmtId="0" fontId="1" fillId="0" borderId="0" xfId="0" applyFont="1" applyFill="1"/>
    <xf numFmtId="0" fontId="6" fillId="7" borderId="7" xfId="0" applyFont="1" applyFill="1" applyBorder="1"/>
    <xf numFmtId="9" fontId="6" fillId="0" borderId="0" xfId="0" applyNumberFormat="1" applyFont="1" applyFill="1" applyBorder="1" applyAlignment="1">
      <alignment horizontal="center" wrapText="1"/>
    </xf>
    <xf numFmtId="0" fontId="6" fillId="0" borderId="0" xfId="0" applyFont="1" applyFill="1" applyBorder="1" applyAlignment="1">
      <alignment horizontal="center" wrapText="1"/>
    </xf>
    <xf numFmtId="0" fontId="1" fillId="0" borderId="7" xfId="0" applyFont="1" applyBorder="1" applyAlignment="1">
      <alignment horizontal="center"/>
    </xf>
    <xf numFmtId="0" fontId="6" fillId="7" borderId="25" xfId="0" applyFont="1" applyFill="1" applyBorder="1"/>
    <xf numFmtId="0" fontId="6" fillId="7" borderId="26" xfId="0" applyFont="1" applyFill="1" applyBorder="1" applyAlignment="1">
      <alignment horizontal="center"/>
    </xf>
    <xf numFmtId="44" fontId="1" fillId="7" borderId="0" xfId="1" applyNumberFormat="1" applyFont="1" applyFill="1" applyBorder="1"/>
    <xf numFmtId="169" fontId="1" fillId="7" borderId="0" xfId="1" applyNumberFormat="1" applyFont="1" applyFill="1" applyBorder="1"/>
    <xf numFmtId="0" fontId="0" fillId="7" borderId="22" xfId="0" applyFill="1" applyBorder="1" applyAlignment="1">
      <alignment horizontal="center"/>
    </xf>
    <xf numFmtId="0" fontId="0" fillId="0" borderId="27" xfId="0" applyFill="1" applyBorder="1"/>
    <xf numFmtId="0" fontId="6" fillId="8" borderId="27" xfId="0" applyFont="1" applyFill="1" applyBorder="1"/>
    <xf numFmtId="0" fontId="6" fillId="8" borderId="25" xfId="0" applyFont="1" applyFill="1" applyBorder="1"/>
    <xf numFmtId="171" fontId="6" fillId="8" borderId="9" xfId="0" applyNumberFormat="1" applyFont="1" applyFill="1" applyBorder="1"/>
    <xf numFmtId="171" fontId="6" fillId="8" borderId="37" xfId="0" applyNumberFormat="1" applyFont="1" applyFill="1" applyBorder="1"/>
    <xf numFmtId="0" fontId="1" fillId="0" borderId="0" xfId="0" applyFont="1" applyFill="1" applyAlignment="1">
      <alignment horizontal="center"/>
    </xf>
    <xf numFmtId="0" fontId="1" fillId="5" borderId="0" xfId="0" applyFont="1" applyFill="1" applyAlignment="1" applyProtection="1">
      <protection hidden="1"/>
    </xf>
    <xf numFmtId="0" fontId="0" fillId="3" borderId="0" xfId="0" applyFill="1" applyBorder="1"/>
    <xf numFmtId="0" fontId="6" fillId="0" borderId="0" xfId="0" applyFont="1" applyFill="1" applyAlignment="1">
      <alignment horizontal="center"/>
    </xf>
    <xf numFmtId="0" fontId="6" fillId="7" borderId="0" xfId="0" applyFont="1" applyFill="1" applyAlignment="1">
      <alignment horizontal="center"/>
    </xf>
    <xf numFmtId="0" fontId="6" fillId="0" borderId="0" xfId="0" applyFont="1" applyFill="1"/>
    <xf numFmtId="0" fontId="7" fillId="0" borderId="0" xfId="0" applyFont="1" applyFill="1"/>
    <xf numFmtId="0" fontId="1" fillId="0" borderId="0" xfId="0" applyFont="1" applyFill="1" applyBorder="1" applyAlignment="1"/>
    <xf numFmtId="0" fontId="1" fillId="3" borderId="0" xfId="0" applyFont="1" applyFill="1" applyBorder="1"/>
    <xf numFmtId="0" fontId="1" fillId="0" borderId="7" xfId="0" applyFont="1" applyFill="1" applyBorder="1" applyAlignment="1">
      <alignment horizontal="center"/>
    </xf>
    <xf numFmtId="0" fontId="22" fillId="0" borderId="0" xfId="0" applyFont="1" applyFill="1"/>
    <xf numFmtId="0" fontId="6" fillId="3" borderId="0" xfId="0" applyFont="1" applyFill="1" applyBorder="1"/>
    <xf numFmtId="44" fontId="6" fillId="7" borderId="0" xfId="1" applyNumberFormat="1" applyFont="1" applyFill="1" applyBorder="1"/>
    <xf numFmtId="169" fontId="6" fillId="7" borderId="0" xfId="1" applyNumberFormat="1" applyFont="1" applyFill="1" applyBorder="1"/>
    <xf numFmtId="0" fontId="0" fillId="2" borderId="22" xfId="0" applyFill="1" applyBorder="1"/>
    <xf numFmtId="0" fontId="0" fillId="2" borderId="22" xfId="0" quotePrefix="1" applyFill="1" applyBorder="1" applyAlignment="1">
      <alignment wrapText="1"/>
    </xf>
    <xf numFmtId="10" fontId="1" fillId="5" borderId="0" xfId="2" applyNumberFormat="1" applyFill="1" applyAlignment="1" applyProtection="1">
      <alignment horizontal="center"/>
      <protection hidden="1"/>
    </xf>
    <xf numFmtId="44" fontId="1" fillId="0" borderId="0" xfId="1" applyNumberFormat="1" applyFont="1" applyFill="1" applyBorder="1"/>
    <xf numFmtId="43" fontId="1" fillId="0" borderId="0" xfId="1" applyNumberFormat="1" applyFont="1" applyFill="1" applyBorder="1"/>
    <xf numFmtId="169" fontId="1" fillId="0" borderId="0" xfId="1" applyNumberFormat="1" applyFont="1" applyFill="1" applyBorder="1"/>
    <xf numFmtId="0" fontId="1" fillId="2" borderId="27" xfId="0" applyFont="1" applyFill="1" applyBorder="1"/>
    <xf numFmtId="0" fontId="1" fillId="2" borderId="27" xfId="0" applyFont="1" applyFill="1" applyBorder="1" applyAlignment="1">
      <alignment horizontal="center" wrapText="1"/>
    </xf>
    <xf numFmtId="9" fontId="1" fillId="5" borderId="0" xfId="2" applyNumberFormat="1" applyFill="1" applyAlignment="1" applyProtection="1">
      <alignment horizontal="center"/>
      <protection hidden="1"/>
    </xf>
    <xf numFmtId="169" fontId="1" fillId="7" borderId="0" xfId="1" applyFill="1" applyAlignment="1" applyProtection="1">
      <alignment horizontal="center"/>
      <protection hidden="1"/>
    </xf>
    <xf numFmtId="0" fontId="1" fillId="2" borderId="24" xfId="0" applyFont="1" applyFill="1" applyBorder="1"/>
    <xf numFmtId="0" fontId="0" fillId="2" borderId="24" xfId="0" applyFill="1" applyBorder="1"/>
    <xf numFmtId="0" fontId="1" fillId="7" borderId="0" xfId="0" applyFont="1" applyFill="1"/>
    <xf numFmtId="169" fontId="1" fillId="7" borderId="0" xfId="0" applyNumberFormat="1" applyFont="1" applyFill="1"/>
    <xf numFmtId="0" fontId="6" fillId="2" borderId="0" xfId="0" applyFont="1" applyFill="1" applyBorder="1"/>
    <xf numFmtId="175" fontId="1" fillId="0" borderId="0" xfId="1" applyNumberFormat="1" applyFont="1" applyFill="1" applyBorder="1"/>
    <xf numFmtId="0" fontId="1" fillId="5" borderId="0" xfId="0" applyFont="1" applyFill="1"/>
    <xf numFmtId="0" fontId="1" fillId="5" borderId="0" xfId="0" applyFont="1" applyFill="1" applyAlignment="1">
      <alignment horizontal="center"/>
    </xf>
    <xf numFmtId="44" fontId="6" fillId="7" borderId="0" xfId="0" applyNumberFormat="1" applyFont="1" applyFill="1" applyBorder="1"/>
    <xf numFmtId="169" fontId="6" fillId="7" borderId="0" xfId="0" applyNumberFormat="1" applyFont="1" applyFill="1" applyBorder="1"/>
    <xf numFmtId="0" fontId="1" fillId="7" borderId="0" xfId="0" applyFont="1" applyFill="1" applyAlignment="1">
      <alignment horizontal="center"/>
    </xf>
    <xf numFmtId="43" fontId="1" fillId="0" borderId="0" xfId="0" applyNumberFormat="1" applyFont="1" applyFill="1"/>
    <xf numFmtId="9" fontId="1" fillId="7" borderId="0" xfId="2" applyFont="1" applyFill="1"/>
    <xf numFmtId="10" fontId="1" fillId="0" borderId="6" xfId="0" applyNumberFormat="1" applyFont="1" applyFill="1" applyBorder="1" applyAlignment="1" applyProtection="1">
      <alignment horizontal="center"/>
      <protection locked="0"/>
    </xf>
    <xf numFmtId="174" fontId="1" fillId="5" borderId="0" xfId="0" applyNumberFormat="1" applyFont="1" applyFill="1" applyAlignment="1" applyProtection="1">
      <protection hidden="1"/>
    </xf>
    <xf numFmtId="174" fontId="1" fillId="5" borderId="0" xfId="1" applyNumberFormat="1" applyFill="1" applyProtection="1">
      <protection hidden="1"/>
    </xf>
    <xf numFmtId="10" fontId="1" fillId="0" borderId="6" xfId="0" applyNumberFormat="1" applyFont="1" applyFill="1" applyBorder="1" applyAlignment="1" applyProtection="1">
      <protection locked="0"/>
    </xf>
    <xf numFmtId="9" fontId="1" fillId="0" borderId="7" xfId="2" applyFont="1" applyFill="1" applyBorder="1" applyAlignment="1"/>
    <xf numFmtId="10" fontId="1" fillId="0" borderId="6" xfId="2" applyNumberFormat="1" applyFont="1" applyFill="1" applyBorder="1" applyAlignment="1" applyProtection="1">
      <protection locked="0"/>
    </xf>
    <xf numFmtId="0" fontId="38" fillId="0" borderId="0" xfId="0" applyFont="1" applyBorder="1"/>
    <xf numFmtId="10" fontId="8" fillId="0" borderId="6" xfId="0" applyNumberFormat="1" applyFont="1" applyFill="1" applyBorder="1" applyAlignment="1" applyProtection="1">
      <protection locked="0"/>
    </xf>
    <xf numFmtId="5" fontId="6" fillId="8" borderId="37" xfId="1" applyNumberFormat="1" applyFont="1" applyFill="1" applyBorder="1" applyProtection="1">
      <protection hidden="1"/>
    </xf>
    <xf numFmtId="0" fontId="0" fillId="0" borderId="25" xfId="0" applyFill="1" applyBorder="1" applyAlignment="1">
      <alignment vertical="center" wrapText="1"/>
    </xf>
    <xf numFmtId="0" fontId="0" fillId="0" borderId="26" xfId="0" applyFill="1" applyBorder="1" applyAlignment="1">
      <alignment vertical="center" wrapText="1"/>
    </xf>
    <xf numFmtId="0" fontId="0" fillId="0" borderId="37" xfId="0" applyFill="1" applyBorder="1" applyAlignment="1">
      <alignment vertical="center" wrapText="1"/>
    </xf>
    <xf numFmtId="0" fontId="1" fillId="0" borderId="25" xfId="0" applyFont="1" applyFill="1" applyBorder="1" applyAlignment="1">
      <alignment vertical="center"/>
    </xf>
    <xf numFmtId="0" fontId="1" fillId="0" borderId="7" xfId="0" applyFont="1" applyFill="1" applyBorder="1" applyAlignment="1">
      <alignment horizontal="center" vertical="center" wrapText="1"/>
    </xf>
    <xf numFmtId="0" fontId="0" fillId="0" borderId="7" xfId="0" applyFill="1" applyBorder="1" applyAlignment="1"/>
    <xf numFmtId="0" fontId="14" fillId="0" borderId="0" xfId="0" applyFont="1" applyFill="1" applyBorder="1" applyAlignment="1" applyProtection="1">
      <alignment wrapText="1"/>
      <protection hidden="1"/>
    </xf>
    <xf numFmtId="171" fontId="6" fillId="0" borderId="6" xfId="0" applyNumberFormat="1" applyFont="1" applyFill="1" applyBorder="1" applyAlignment="1" applyProtection="1">
      <alignment horizontal="center" vertical="top"/>
      <protection locked="0"/>
    </xf>
    <xf numFmtId="171" fontId="6" fillId="0" borderId="0" xfId="0" applyNumberFormat="1" applyFont="1" applyFill="1" applyBorder="1" applyAlignment="1" applyProtection="1">
      <alignment horizontal="center"/>
      <protection locked="0"/>
    </xf>
    <xf numFmtId="171" fontId="0" fillId="0" borderId="24" xfId="0" applyNumberFormat="1" applyFill="1" applyBorder="1" applyAlignment="1" applyProtection="1">
      <protection hidden="1"/>
    </xf>
    <xf numFmtId="0" fontId="1" fillId="0"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71" fontId="0" fillId="0" borderId="27" xfId="0" applyNumberFormat="1" applyFill="1" applyBorder="1" applyAlignment="1" applyProtection="1">
      <protection hidden="1"/>
    </xf>
    <xf numFmtId="171" fontId="1" fillId="0" borderId="24" xfId="0" applyNumberFormat="1" applyFont="1" applyFill="1" applyBorder="1" applyAlignment="1" applyProtection="1">
      <protection hidden="1"/>
    </xf>
    <xf numFmtId="0" fontId="1" fillId="0" borderId="4" xfId="0" applyFont="1" applyFill="1" applyBorder="1"/>
    <xf numFmtId="171" fontId="6" fillId="0" borderId="6" xfId="0" applyNumberFormat="1" applyFont="1" applyFill="1" applyBorder="1" applyAlignment="1" applyProtection="1">
      <alignment horizontal="center"/>
      <protection locked="0"/>
    </xf>
    <xf numFmtId="171" fontId="6" fillId="0" borderId="0" xfId="0" applyNumberFormat="1" applyFont="1" applyBorder="1" applyAlignment="1" applyProtection="1">
      <alignment horizontal="center"/>
      <protection locked="0"/>
    </xf>
    <xf numFmtId="171" fontId="6" fillId="8" borderId="5" xfId="0" applyNumberFormat="1" applyFont="1" applyFill="1" applyBorder="1"/>
    <xf numFmtId="171" fontId="6" fillId="8" borderId="10" xfId="0" applyNumberFormat="1" applyFont="1" applyFill="1" applyBorder="1"/>
    <xf numFmtId="0" fontId="0" fillId="7" borderId="3" xfId="0" applyFill="1" applyBorder="1" applyAlignment="1">
      <alignment horizontal="center"/>
    </xf>
    <xf numFmtId="0" fontId="0" fillId="7" borderId="5" xfId="0" applyFill="1" applyBorder="1" applyAlignment="1">
      <alignment horizontal="center"/>
    </xf>
    <xf numFmtId="0" fontId="0" fillId="7" borderId="10" xfId="0" applyFill="1" applyBorder="1" applyAlignment="1">
      <alignment horizontal="center"/>
    </xf>
    <xf numFmtId="0" fontId="0" fillId="7" borderId="1" xfId="0" applyFill="1" applyBorder="1" applyAlignment="1">
      <alignment horizontal="center"/>
    </xf>
    <xf numFmtId="0" fontId="0" fillId="7" borderId="4" xfId="0" applyFill="1" applyBorder="1" applyAlignment="1">
      <alignment horizontal="center"/>
    </xf>
    <xf numFmtId="0" fontId="0" fillId="7" borderId="8" xfId="0" applyFill="1" applyBorder="1" applyAlignment="1">
      <alignment horizontal="center"/>
    </xf>
    <xf numFmtId="0" fontId="0" fillId="7" borderId="0" xfId="0" applyFill="1" applyBorder="1" applyAlignment="1">
      <alignment horizontal="center"/>
    </xf>
    <xf numFmtId="0" fontId="0" fillId="7" borderId="9" xfId="0" applyFill="1" applyBorder="1" applyAlignment="1">
      <alignment horizontal="center"/>
    </xf>
    <xf numFmtId="9" fontId="34" fillId="0" borderId="7" xfId="2" applyFont="1" applyFill="1" applyBorder="1" applyAlignment="1" applyProtection="1">
      <alignment horizontal="center" vertical="top"/>
      <protection hidden="1"/>
    </xf>
    <xf numFmtId="9" fontId="0" fillId="0" borderId="7" xfId="0" applyNumberFormat="1" applyFill="1" applyBorder="1" applyAlignment="1">
      <alignment horizontal="center"/>
    </xf>
    <xf numFmtId="9" fontId="0" fillId="0" borderId="0" xfId="0" applyNumberFormat="1" applyFill="1" applyBorder="1" applyAlignment="1">
      <alignment horizontal="center"/>
    </xf>
    <xf numFmtId="0" fontId="0" fillId="0" borderId="4" xfId="0" applyBorder="1" applyAlignment="1">
      <alignment vertical="top"/>
    </xf>
    <xf numFmtId="0" fontId="0" fillId="0" borderId="5" xfId="0" applyBorder="1" applyAlignment="1">
      <alignment vertical="top"/>
    </xf>
    <xf numFmtId="0" fontId="1" fillId="0" borderId="0" xfId="0" applyFont="1" applyAlignment="1" applyProtection="1">
      <alignment vertical="top"/>
    </xf>
    <xf numFmtId="0" fontId="0" fillId="7" borderId="27" xfId="0" applyFill="1" applyBorder="1" applyAlignment="1">
      <alignment horizontal="center"/>
    </xf>
    <xf numFmtId="0" fontId="0" fillId="7" borderId="24" xfId="0" applyFill="1" applyBorder="1" applyAlignment="1">
      <alignment horizontal="center"/>
    </xf>
    <xf numFmtId="0" fontId="0" fillId="2" borderId="27" xfId="0" applyFill="1" applyBorder="1"/>
    <xf numFmtId="0" fontId="1" fillId="0" borderId="22" xfId="0" applyFont="1" applyFill="1" applyBorder="1" applyAlignment="1" applyProtection="1">
      <alignment horizontal="center" vertical="center" wrapText="1"/>
      <protection hidden="1"/>
    </xf>
    <xf numFmtId="0" fontId="6" fillId="0" borderId="7" xfId="0" applyFont="1" applyBorder="1"/>
    <xf numFmtId="0" fontId="6" fillId="0" borderId="7" xfId="0" applyFont="1" applyFill="1" applyBorder="1"/>
    <xf numFmtId="6" fontId="1" fillId="0" borderId="7" xfId="0" applyNumberFormat="1" applyFont="1" applyBorder="1"/>
    <xf numFmtId="6" fontId="0" fillId="0" borderId="7" xfId="0" applyNumberFormat="1" applyBorder="1"/>
    <xf numFmtId="6" fontId="0" fillId="0" borderId="7" xfId="0" applyNumberFormat="1" applyFill="1" applyBorder="1"/>
    <xf numFmtId="171" fontId="1" fillId="0" borderId="7" xfId="0" applyNumberFormat="1" applyFont="1" applyBorder="1"/>
    <xf numFmtId="0" fontId="0" fillId="11" borderId="0" xfId="0" applyFill="1" applyAlignment="1" applyProtection="1">
      <alignment wrapText="1"/>
      <protection hidden="1"/>
    </xf>
    <xf numFmtId="169" fontId="0" fillId="11" borderId="0" xfId="0" applyNumberFormat="1" applyFill="1" applyAlignment="1" applyProtection="1">
      <alignment horizontal="center" vertical="center"/>
      <protection hidden="1"/>
    </xf>
    <xf numFmtId="0" fontId="1" fillId="11" borderId="0" xfId="0" applyFont="1" applyFill="1"/>
    <xf numFmtId="44" fontId="1" fillId="11" borderId="0" xfId="0" applyNumberFormat="1" applyFont="1" applyFill="1"/>
    <xf numFmtId="14" fontId="1" fillId="0" borderId="6" xfId="0" applyNumberFormat="1" applyFont="1" applyFill="1" applyBorder="1" applyAlignment="1" applyProtection="1">
      <alignment horizontal="center"/>
      <protection locked="0"/>
    </xf>
    <xf numFmtId="10" fontId="37" fillId="0" borderId="60" xfId="2" applyNumberFormat="1" applyFont="1" applyFill="1" applyBorder="1" applyAlignment="1" applyProtection="1">
      <alignment horizontal="center"/>
      <protection locked="0"/>
    </xf>
    <xf numFmtId="0" fontId="1" fillId="0" borderId="0" xfId="0" applyFont="1" applyBorder="1" applyAlignment="1">
      <alignment horizontal="center" vertical="center"/>
    </xf>
    <xf numFmtId="0" fontId="1" fillId="0" borderId="22" xfId="0" applyFont="1" applyBorder="1" applyAlignment="1">
      <alignment horizontal="center" vertical="center" wrapText="1"/>
    </xf>
    <xf numFmtId="0" fontId="1" fillId="0" borderId="7" xfId="0" applyFont="1" applyBorder="1" applyAlignment="1">
      <alignment horizontal="center" vertical="center" wrapText="1"/>
    </xf>
    <xf numFmtId="0" fontId="0" fillId="0" borderId="0" xfId="0" applyBorder="1" applyAlignment="1">
      <alignment horizontal="center"/>
    </xf>
    <xf numFmtId="0" fontId="1" fillId="0" borderId="61" xfId="0" applyFont="1" applyBorder="1" applyProtection="1">
      <protection locked="0"/>
    </xf>
    <xf numFmtId="0" fontId="0" fillId="0" borderId="61" xfId="0" applyBorder="1" applyProtection="1">
      <protection locked="0"/>
    </xf>
    <xf numFmtId="171" fontId="0" fillId="0" borderId="61" xfId="0" applyNumberFormat="1" applyBorder="1" applyProtection="1">
      <protection locked="0"/>
    </xf>
    <xf numFmtId="178" fontId="0" fillId="0" borderId="61" xfId="0" applyNumberFormat="1" applyBorder="1" applyProtection="1">
      <protection locked="0"/>
    </xf>
    <xf numFmtId="178" fontId="0" fillId="0" borderId="7" xfId="0" applyNumberFormat="1" applyBorder="1" applyProtection="1">
      <protection hidden="1"/>
    </xf>
    <xf numFmtId="0" fontId="1" fillId="0" borderId="62" xfId="0" applyFont="1" applyBorder="1" applyAlignment="1">
      <alignment horizontal="center" vertical="center" wrapText="1"/>
    </xf>
    <xf numFmtId="0" fontId="1" fillId="0" borderId="63" xfId="0" applyFont="1" applyBorder="1" applyAlignment="1">
      <alignment horizontal="center" vertical="center"/>
    </xf>
    <xf numFmtId="0" fontId="1" fillId="0" borderId="62" xfId="0" applyFont="1" applyBorder="1" applyAlignment="1">
      <alignment horizontal="center" vertical="center"/>
    </xf>
    <xf numFmtId="0" fontId="1" fillId="0" borderId="62" xfId="0" applyFont="1" applyFill="1" applyBorder="1" applyAlignment="1">
      <alignment horizontal="center" vertical="center"/>
    </xf>
    <xf numFmtId="178" fontId="0" fillId="0" borderId="25" xfId="0" applyNumberFormat="1" applyBorder="1" applyProtection="1">
      <protection hidden="1"/>
    </xf>
    <xf numFmtId="9" fontId="1" fillId="0" borderId="61" xfId="0" applyNumberFormat="1" applyFont="1" applyBorder="1" applyAlignment="1" applyProtection="1">
      <alignment horizontal="center"/>
      <protection locked="0"/>
    </xf>
    <xf numFmtId="178" fontId="0" fillId="0" borderId="63" xfId="0" applyNumberFormat="1" applyBorder="1" applyProtection="1">
      <protection hidden="1"/>
    </xf>
    <xf numFmtId="10" fontId="0" fillId="0" borderId="61" xfId="2" applyNumberFormat="1" applyFont="1" applyBorder="1" applyProtection="1">
      <protection locked="0"/>
    </xf>
    <xf numFmtId="10" fontId="0" fillId="0" borderId="0" xfId="0" applyNumberFormat="1"/>
    <xf numFmtId="9" fontId="0" fillId="0" borderId="61" xfId="0" applyNumberFormat="1" applyBorder="1" applyAlignment="1" applyProtection="1">
      <alignment horizontal="center"/>
      <protection locked="0"/>
    </xf>
    <xf numFmtId="10" fontId="1" fillId="0" borderId="61" xfId="2" applyNumberFormat="1" applyFont="1" applyBorder="1" applyProtection="1">
      <protection locked="0"/>
    </xf>
    <xf numFmtId="0" fontId="1" fillId="0" borderId="0" xfId="0" applyFont="1" applyBorder="1"/>
    <xf numFmtId="0" fontId="1" fillId="0" borderId="7" xfId="0" applyFont="1" applyBorder="1" applyAlignment="1">
      <alignment horizontal="center" vertical="center"/>
    </xf>
    <xf numFmtId="0" fontId="1" fillId="0" borderId="0" xfId="0" applyFont="1" applyBorder="1" applyAlignment="1">
      <alignment horizontal="right"/>
    </xf>
    <xf numFmtId="178" fontId="6" fillId="0" borderId="0" xfId="0" applyNumberFormat="1" applyFont="1" applyBorder="1" applyProtection="1">
      <protection hidden="1"/>
    </xf>
    <xf numFmtId="0" fontId="3" fillId="0" borderId="4" xfId="0" applyFont="1" applyBorder="1"/>
    <xf numFmtId="0" fontId="3" fillId="0" borderId="0" xfId="0" applyFont="1" applyBorder="1"/>
    <xf numFmtId="0" fontId="3" fillId="0" borderId="0" xfId="0" applyFont="1" applyBorder="1" applyAlignment="1">
      <alignment horizontal="right"/>
    </xf>
    <xf numFmtId="0" fontId="1" fillId="0" borderId="4" xfId="0" applyFont="1" applyBorder="1" applyAlignment="1">
      <alignment horizontal="center" vertical="center"/>
    </xf>
    <xf numFmtId="178" fontId="0" fillId="0" borderId="4" xfId="0" applyNumberFormat="1" applyBorder="1" applyProtection="1">
      <protection hidden="1"/>
    </xf>
    <xf numFmtId="178" fontId="0" fillId="0" borderId="0" xfId="0" applyNumberFormat="1" applyBorder="1" applyProtection="1">
      <protection hidden="1"/>
    </xf>
    <xf numFmtId="0" fontId="1" fillId="0" borderId="64" xfId="0" applyFont="1" applyFill="1" applyBorder="1" applyAlignment="1">
      <alignment horizontal="center" vertical="center"/>
    </xf>
    <xf numFmtId="0" fontId="1" fillId="0" borderId="0" xfId="0" applyFont="1" applyFill="1" applyBorder="1" applyAlignment="1">
      <alignment horizontal="center" vertical="center"/>
    </xf>
    <xf numFmtId="10" fontId="0" fillId="0" borderId="65" xfId="2" applyNumberFormat="1" applyFont="1" applyBorder="1" applyProtection="1">
      <protection locked="0"/>
    </xf>
    <xf numFmtId="10" fontId="0" fillId="0" borderId="0" xfId="2" applyNumberFormat="1" applyFont="1" applyBorder="1" applyProtection="1">
      <protection locked="0"/>
    </xf>
    <xf numFmtId="0" fontId="1" fillId="0" borderId="4" xfId="0" applyFont="1" applyBorder="1" applyAlignment="1">
      <alignment horizontal="center"/>
    </xf>
    <xf numFmtId="0" fontId="1" fillId="0" borderId="0" xfId="0" applyFont="1" applyBorder="1" applyAlignment="1">
      <alignment horizontal="center"/>
    </xf>
    <xf numFmtId="0" fontId="2" fillId="14" borderId="73" xfId="0" applyFont="1" applyFill="1" applyBorder="1" applyAlignment="1">
      <alignment vertical="center"/>
    </xf>
    <xf numFmtId="0" fontId="2" fillId="14" borderId="74" xfId="0" applyFont="1" applyFill="1" applyBorder="1" applyAlignment="1">
      <alignment vertical="center"/>
    </xf>
    <xf numFmtId="0" fontId="0" fillId="14" borderId="75" xfId="0" applyFill="1" applyBorder="1"/>
    <xf numFmtId="0" fontId="0" fillId="14" borderId="76" xfId="0" applyFill="1" applyBorder="1"/>
    <xf numFmtId="0" fontId="2" fillId="14" borderId="69" xfId="0" applyFont="1" applyFill="1" applyBorder="1" applyAlignment="1">
      <alignment vertical="center"/>
    </xf>
    <xf numFmtId="0" fontId="2" fillId="14" borderId="70" xfId="0" applyFont="1" applyFill="1" applyBorder="1" applyAlignment="1">
      <alignment vertical="center"/>
    </xf>
    <xf numFmtId="0" fontId="0" fillId="14" borderId="71" xfId="0" applyFill="1" applyBorder="1"/>
    <xf numFmtId="0" fontId="0" fillId="14" borderId="72" xfId="0" applyFill="1" applyBorder="1"/>
    <xf numFmtId="0" fontId="1" fillId="0" borderId="0" xfId="0" applyFont="1" applyProtection="1">
      <protection hidden="1"/>
    </xf>
    <xf numFmtId="0" fontId="6" fillId="13" borderId="7" xfId="0" applyFont="1" applyFill="1" applyBorder="1"/>
    <xf numFmtId="0" fontId="0" fillId="13" borderId="77" xfId="0" applyFill="1" applyBorder="1" applyProtection="1">
      <protection hidden="1"/>
    </xf>
    <xf numFmtId="0" fontId="0" fillId="13" borderId="27" xfId="0" applyFill="1" applyBorder="1" applyProtection="1">
      <protection hidden="1"/>
    </xf>
    <xf numFmtId="0" fontId="0" fillId="13" borderId="27" xfId="0" applyFill="1" applyBorder="1"/>
    <xf numFmtId="0" fontId="0" fillId="13" borderId="24" xfId="0" applyFill="1" applyBorder="1" applyProtection="1">
      <protection hidden="1"/>
    </xf>
    <xf numFmtId="0" fontId="0" fillId="13" borderId="24" xfId="0" applyFill="1" applyBorder="1"/>
    <xf numFmtId="0" fontId="1" fillId="0" borderId="7" xfId="0" applyFont="1" applyBorder="1" applyAlignment="1" applyProtection="1">
      <alignment horizontal="center"/>
      <protection hidden="1"/>
    </xf>
    <xf numFmtId="0" fontId="0" fillId="0" borderId="78" xfId="0" applyBorder="1"/>
    <xf numFmtId="0" fontId="0" fillId="0" borderId="79" xfId="0" applyBorder="1"/>
    <xf numFmtId="0" fontId="0" fillId="0" borderId="80" xfId="0" applyBorder="1"/>
    <xf numFmtId="0" fontId="1" fillId="0" borderId="77" xfId="0" applyFont="1" applyBorder="1" applyAlignment="1">
      <alignment horizontal="center" vertical="center" wrapText="1"/>
    </xf>
    <xf numFmtId="0" fontId="1" fillId="0" borderId="81" xfId="0" applyFont="1" applyBorder="1" applyAlignment="1">
      <alignment horizontal="center" vertical="center" wrapText="1"/>
    </xf>
    <xf numFmtId="0" fontId="1" fillId="0" borderId="82" xfId="0" applyFont="1" applyBorder="1" applyAlignment="1">
      <alignment horizontal="center" vertical="center"/>
    </xf>
    <xf numFmtId="178" fontId="0" fillId="0" borderId="82" xfId="0" applyNumberFormat="1" applyBorder="1" applyProtection="1">
      <protection hidden="1"/>
    </xf>
    <xf numFmtId="10" fontId="0" fillId="0" borderId="65" xfId="2" applyNumberFormat="1" applyFont="1" applyBorder="1" applyProtection="1"/>
    <xf numFmtId="10" fontId="0" fillId="0" borderId="0" xfId="2" applyNumberFormat="1" applyFont="1" applyBorder="1" applyProtection="1"/>
    <xf numFmtId="10" fontId="1" fillId="0" borderId="0" xfId="2" applyNumberFormat="1" applyFont="1" applyBorder="1" applyProtection="1"/>
    <xf numFmtId="0" fontId="1" fillId="0" borderId="64" xfId="0" applyFont="1" applyBorder="1" applyAlignment="1">
      <alignment horizontal="center" vertical="center"/>
    </xf>
    <xf numFmtId="168" fontId="0" fillId="0" borderId="83" xfId="0" applyNumberFormat="1" applyFill="1" applyBorder="1" applyProtection="1">
      <protection hidden="1"/>
    </xf>
    <xf numFmtId="168" fontId="0" fillId="0" borderId="84" xfId="0" applyNumberFormat="1" applyFill="1" applyBorder="1" applyProtection="1">
      <protection hidden="1"/>
    </xf>
    <xf numFmtId="168" fontId="1" fillId="0" borderId="83" xfId="1" applyNumberFormat="1" applyFont="1" applyFill="1" applyBorder="1" applyAlignment="1" applyProtection="1">
      <alignment horizontal="left"/>
      <protection hidden="1"/>
    </xf>
    <xf numFmtId="168" fontId="1" fillId="0" borderId="84" xfId="1" applyNumberFormat="1" applyFont="1" applyFill="1" applyBorder="1" applyAlignment="1" applyProtection="1">
      <alignment horizontal="left"/>
      <protection hidden="1"/>
    </xf>
    <xf numFmtId="168" fontId="1" fillId="0" borderId="85" xfId="1" applyNumberFormat="1" applyFont="1" applyFill="1" applyBorder="1" applyAlignment="1" applyProtection="1">
      <alignment horizontal="left"/>
      <protection hidden="1"/>
    </xf>
    <xf numFmtId="10" fontId="1" fillId="0" borderId="0" xfId="2" applyNumberFormat="1" applyFont="1" applyFill="1" applyBorder="1" applyAlignment="1" applyProtection="1"/>
    <xf numFmtId="0" fontId="15" fillId="0" borderId="0" xfId="0" applyFont="1" applyFill="1" applyBorder="1" applyAlignment="1" applyProtection="1">
      <alignment vertical="top" wrapText="1"/>
    </xf>
    <xf numFmtId="0" fontId="39" fillId="0" borderId="0" xfId="0" applyFont="1" applyBorder="1" applyAlignment="1">
      <alignment vertical="top" wrapText="1"/>
    </xf>
    <xf numFmtId="0" fontId="39" fillId="0" borderId="0" xfId="0" applyFont="1" applyBorder="1" applyAlignment="1">
      <alignment vertical="top"/>
    </xf>
    <xf numFmtId="168" fontId="1" fillId="0" borderId="88" xfId="1" applyNumberFormat="1" applyFont="1" applyFill="1" applyBorder="1" applyAlignment="1" applyProtection="1">
      <alignment horizontal="left"/>
      <protection hidden="1"/>
    </xf>
    <xf numFmtId="168" fontId="1" fillId="0" borderId="87" xfId="1" applyNumberFormat="1" applyFont="1" applyFill="1" applyBorder="1" applyAlignment="1" applyProtection="1">
      <alignment horizontal="left"/>
      <protection hidden="1"/>
    </xf>
    <xf numFmtId="0" fontId="8" fillId="0" borderId="52" xfId="0" applyFont="1" applyFill="1" applyBorder="1" applyProtection="1">
      <protection locked="0"/>
    </xf>
    <xf numFmtId="0" fontId="1" fillId="0" borderId="53" xfId="0" applyFont="1" applyFill="1" applyBorder="1" applyAlignment="1">
      <alignment horizontal="center" vertical="center" wrapText="1"/>
    </xf>
    <xf numFmtId="0" fontId="1" fillId="0" borderId="53" xfId="0" applyFont="1" applyFill="1" applyBorder="1" applyAlignment="1" applyProtection="1">
      <alignment horizontal="center" vertical="center" wrapText="1"/>
    </xf>
    <xf numFmtId="0" fontId="1" fillId="0" borderId="52" xfId="0" applyFont="1" applyFill="1" applyBorder="1" applyProtection="1">
      <protection locked="0"/>
    </xf>
    <xf numFmtId="10" fontId="0" fillId="0" borderId="37" xfId="2" applyNumberFormat="1" applyFont="1" applyBorder="1" applyProtection="1">
      <protection hidden="1"/>
    </xf>
    <xf numFmtId="10" fontId="0" fillId="0" borderId="89" xfId="2" applyNumberFormat="1" applyFont="1" applyBorder="1" applyProtection="1">
      <protection hidden="1"/>
    </xf>
    <xf numFmtId="178" fontId="0" fillId="0" borderId="90" xfId="0" applyNumberFormat="1" applyBorder="1" applyProtection="1">
      <protection hidden="1"/>
    </xf>
    <xf numFmtId="178" fontId="0" fillId="0" borderId="91" xfId="0" applyNumberFormat="1" applyBorder="1" applyProtection="1">
      <protection hidden="1"/>
    </xf>
    <xf numFmtId="9" fontId="0" fillId="0" borderId="61" xfId="2" applyFont="1" applyBorder="1" applyAlignment="1" applyProtection="1">
      <alignment horizontal="center"/>
      <protection locked="0"/>
    </xf>
    <xf numFmtId="10" fontId="0" fillId="0" borderId="92" xfId="2" applyNumberFormat="1" applyFont="1" applyBorder="1" applyProtection="1">
      <protection hidden="1"/>
    </xf>
    <xf numFmtId="178" fontId="0" fillId="0" borderId="93" xfId="0" applyNumberFormat="1" applyBorder="1" applyProtection="1">
      <protection hidden="1"/>
    </xf>
    <xf numFmtId="10" fontId="0" fillId="0" borderId="94" xfId="2" applyNumberFormat="1" applyFont="1" applyBorder="1" applyProtection="1">
      <protection hidden="1"/>
    </xf>
    <xf numFmtId="178" fontId="0" fillId="0" borderId="87" xfId="0" applyNumberFormat="1" applyBorder="1" applyProtection="1">
      <protection hidden="1"/>
    </xf>
    <xf numFmtId="0" fontId="0" fillId="0" borderId="21" xfId="0" applyFont="1" applyFill="1" applyBorder="1" applyAlignment="1">
      <alignment horizontal="center" vertical="center" wrapText="1"/>
    </xf>
    <xf numFmtId="0" fontId="1" fillId="0" borderId="21" xfId="0" applyFont="1" applyFill="1" applyBorder="1" applyAlignment="1" applyProtection="1">
      <alignment horizontal="center" vertical="center" wrapText="1"/>
    </xf>
    <xf numFmtId="0" fontId="1" fillId="0" borderId="95" xfId="0" applyFont="1" applyBorder="1" applyAlignment="1" applyProtection="1">
      <alignment horizontal="center"/>
      <protection locked="0"/>
    </xf>
    <xf numFmtId="178" fontId="1" fillId="0" borderId="26" xfId="1" applyNumberFormat="1" applyFont="1" applyFill="1" applyBorder="1" applyAlignment="1" applyProtection="1">
      <protection hidden="1"/>
    </xf>
    <xf numFmtId="10" fontId="1" fillId="0" borderId="61" xfId="0" applyNumberFormat="1" applyFont="1" applyFill="1" applyBorder="1" applyAlignment="1" applyProtection="1">
      <protection locked="0"/>
    </xf>
    <xf numFmtId="0" fontId="0" fillId="0" borderId="95" xfId="0" applyBorder="1" applyAlignment="1" applyProtection="1">
      <alignment horizontal="center"/>
      <protection locked="0"/>
    </xf>
    <xf numFmtId="10" fontId="8" fillId="0" borderId="61" xfId="0" applyNumberFormat="1" applyFont="1" applyFill="1" applyBorder="1" applyAlignment="1" applyProtection="1">
      <protection locked="0"/>
    </xf>
    <xf numFmtId="0" fontId="0" fillId="0" borderId="97" xfId="0" applyFill="1" applyBorder="1" applyAlignment="1">
      <alignment vertical="center"/>
    </xf>
    <xf numFmtId="0" fontId="0" fillId="0" borderId="98" xfId="0" applyFill="1" applyBorder="1" applyAlignment="1">
      <alignment vertical="center"/>
    </xf>
    <xf numFmtId="0" fontId="1" fillId="0" borderId="99" xfId="0" applyFont="1" applyFill="1" applyBorder="1" applyAlignment="1">
      <alignment horizontal="center" vertical="center" wrapText="1"/>
    </xf>
    <xf numFmtId="0" fontId="1" fillId="0" borderId="96" xfId="0" applyFont="1" applyFill="1" applyBorder="1" applyAlignment="1">
      <alignment vertical="center"/>
    </xf>
    <xf numFmtId="0" fontId="0" fillId="0" borderId="0" xfId="0" applyFill="1" applyBorder="1" applyAlignment="1">
      <alignment wrapText="1"/>
    </xf>
    <xf numFmtId="0" fontId="2" fillId="0" borderId="0" xfId="0" applyFont="1" applyFill="1" applyBorder="1" applyAlignment="1" applyProtection="1">
      <alignment vertical="center"/>
    </xf>
    <xf numFmtId="178" fontId="0" fillId="0" borderId="61" xfId="0" applyNumberFormat="1" applyFill="1" applyBorder="1" applyProtection="1">
      <protection locked="0"/>
    </xf>
    <xf numFmtId="0" fontId="38" fillId="0" borderId="0" xfId="0" applyFont="1" applyFill="1" applyBorder="1" applyProtection="1">
      <protection hidden="1"/>
    </xf>
    <xf numFmtId="14" fontId="0" fillId="0" borderId="61" xfId="0" applyNumberFormat="1" applyFill="1" applyBorder="1" applyProtection="1">
      <protection locked="0"/>
    </xf>
    <xf numFmtId="178" fontId="6" fillId="0" borderId="99" xfId="0" applyNumberFormat="1" applyFont="1" applyFill="1" applyBorder="1" applyProtection="1">
      <protection hidden="1"/>
    </xf>
    <xf numFmtId="0" fontId="0" fillId="0" borderId="8" xfId="0" applyFill="1" applyBorder="1"/>
    <xf numFmtId="0" fontId="44" fillId="14" borderId="71" xfId="0" applyFont="1" applyFill="1" applyBorder="1" applyAlignment="1" applyProtection="1">
      <alignment horizontal="center" vertical="center" wrapText="1"/>
    </xf>
    <xf numFmtId="0" fontId="44" fillId="14" borderId="72" xfId="0" applyFont="1" applyFill="1" applyBorder="1" applyAlignment="1" applyProtection="1">
      <alignment horizontal="center" vertical="center" wrapText="1"/>
    </xf>
    <xf numFmtId="0" fontId="2" fillId="14" borderId="69" xfId="0" applyFont="1" applyFill="1" applyBorder="1" applyAlignment="1" applyProtection="1">
      <alignment vertical="center"/>
    </xf>
    <xf numFmtId="164" fontId="3" fillId="0" borderId="0" xfId="1" applyNumberFormat="1" applyFont="1" applyFill="1" applyBorder="1" applyAlignment="1">
      <alignment horizontal="right" wrapText="1"/>
    </xf>
    <xf numFmtId="6" fontId="1" fillId="0" borderId="99" xfId="0" applyNumberFormat="1" applyFont="1" applyBorder="1"/>
    <xf numFmtId="6" fontId="0" fillId="0" borderId="99" xfId="0" applyNumberFormat="1" applyBorder="1"/>
    <xf numFmtId="6" fontId="0" fillId="0" borderId="102" xfId="0" applyNumberFormat="1" applyBorder="1"/>
    <xf numFmtId="6" fontId="0" fillId="0" borderId="22" xfId="0" applyNumberFormat="1" applyBorder="1"/>
    <xf numFmtId="6" fontId="0" fillId="0" borderId="103" xfId="0" applyNumberFormat="1" applyBorder="1"/>
    <xf numFmtId="6" fontId="0" fillId="0" borderId="31" xfId="0" applyNumberFormat="1" applyBorder="1"/>
    <xf numFmtId="6" fontId="0" fillId="0" borderId="41" xfId="0" applyNumberFormat="1" applyBorder="1"/>
    <xf numFmtId="6" fontId="0" fillId="0" borderId="100" xfId="0" applyNumberFormat="1" applyBorder="1"/>
    <xf numFmtId="6" fontId="0" fillId="0" borderId="101" xfId="0" applyNumberFormat="1" applyBorder="1"/>
    <xf numFmtId="6" fontId="0" fillId="0" borderId="30" xfId="0" applyNumberFormat="1" applyBorder="1"/>
    <xf numFmtId="0" fontId="0" fillId="0" borderId="0" xfId="0" applyFill="1" applyBorder="1" applyAlignment="1">
      <alignment vertical="center"/>
    </xf>
    <xf numFmtId="168" fontId="0" fillId="0" borderId="61" xfId="1" applyNumberFormat="1" applyFont="1" applyBorder="1" applyAlignment="1" applyProtection="1">
      <alignment horizontal="left"/>
      <protection locked="0"/>
    </xf>
    <xf numFmtId="0" fontId="0" fillId="0" borderId="61" xfId="0" applyBorder="1" applyAlignment="1" applyProtection="1">
      <alignment horizontal="left"/>
      <protection locked="0"/>
    </xf>
    <xf numFmtId="10" fontId="0" fillId="0" borderId="61" xfId="2" applyNumberFormat="1" applyFont="1" applyBorder="1" applyAlignment="1" applyProtection="1">
      <alignment horizontal="left"/>
      <protection locked="0"/>
    </xf>
    <xf numFmtId="0" fontId="0" fillId="0" borderId="0" xfId="0" applyBorder="1" applyAlignment="1" applyProtection="1">
      <alignment horizontal="center"/>
      <protection locked="0"/>
    </xf>
    <xf numFmtId="171" fontId="0" fillId="0" borderId="0" xfId="1" applyNumberFormat="1" applyFont="1" applyBorder="1" applyAlignment="1" applyProtection="1">
      <alignment horizontal="center"/>
      <protection locked="0"/>
    </xf>
    <xf numFmtId="174" fontId="6" fillId="0" borderId="0" xfId="1" applyNumberFormat="1" applyFont="1" applyBorder="1" applyProtection="1">
      <protection hidden="1"/>
    </xf>
    <xf numFmtId="0" fontId="1" fillId="0" borderId="0" xfId="0" applyFont="1" applyFill="1" applyBorder="1" applyAlignment="1">
      <alignment horizontal="left" vertical="center"/>
    </xf>
    <xf numFmtId="178" fontId="0" fillId="0" borderId="99" xfId="1" applyNumberFormat="1" applyFont="1" applyFill="1" applyBorder="1" applyAlignment="1" applyProtection="1">
      <protection hidden="1"/>
    </xf>
    <xf numFmtId="164" fontId="0" fillId="0" borderId="0" xfId="1" applyNumberFormat="1" applyFont="1" applyFill="1" applyBorder="1" applyAlignment="1" applyProtection="1">
      <alignment horizontal="center"/>
      <protection hidden="1"/>
    </xf>
    <xf numFmtId="0" fontId="1" fillId="0" borderId="0" xfId="0" applyFont="1" applyBorder="1" applyAlignment="1" applyProtection="1">
      <alignment vertical="top" wrapText="1"/>
      <protection locked="0"/>
    </xf>
    <xf numFmtId="0" fontId="0" fillId="0" borderId="0" xfId="0" applyBorder="1" applyAlignment="1" applyProtection="1">
      <alignment vertical="top" wrapText="1"/>
      <protection locked="0"/>
    </xf>
    <xf numFmtId="0" fontId="3" fillId="0" borderId="0" xfId="0" applyFont="1" applyFill="1" applyBorder="1" applyAlignment="1">
      <alignment horizontal="right"/>
    </xf>
    <xf numFmtId="0" fontId="1" fillId="0" borderId="61" xfId="0" applyFont="1" applyBorder="1" applyAlignment="1" applyProtection="1">
      <alignment horizontal="left"/>
      <protection locked="0"/>
    </xf>
    <xf numFmtId="14" fontId="0" fillId="0" borderId="61" xfId="0" applyNumberFormat="1" applyBorder="1" applyAlignment="1" applyProtection="1">
      <alignment horizontal="left"/>
      <protection locked="0"/>
    </xf>
    <xf numFmtId="178" fontId="0" fillId="0" borderId="61" xfId="0" applyNumberFormat="1" applyBorder="1" applyAlignment="1" applyProtection="1">
      <alignment horizontal="right"/>
      <protection locked="0"/>
    </xf>
    <xf numFmtId="0" fontId="1" fillId="0" borderId="99" xfId="0" applyFont="1" applyBorder="1"/>
    <xf numFmtId="178" fontId="0" fillId="0" borderId="99" xfId="0" applyNumberFormat="1" applyBorder="1"/>
    <xf numFmtId="179" fontId="0" fillId="0" borderId="99" xfId="2" applyNumberFormat="1" applyFont="1" applyBorder="1"/>
    <xf numFmtId="171" fontId="0" fillId="0" borderId="99" xfId="2" applyNumberFormat="1" applyFont="1" applyBorder="1"/>
    <xf numFmtId="178" fontId="1" fillId="0" borderId="99" xfId="0" applyNumberFormat="1" applyFont="1" applyFill="1" applyBorder="1" applyAlignment="1" applyProtection="1">
      <protection hidden="1"/>
    </xf>
    <xf numFmtId="14" fontId="0" fillId="0" borderId="61" xfId="2" applyNumberFormat="1" applyFont="1" applyBorder="1" applyAlignment="1" applyProtection="1">
      <alignment horizontal="left"/>
      <protection locked="0"/>
    </xf>
    <xf numFmtId="0" fontId="38" fillId="0" borderId="0" xfId="0" applyFont="1" applyBorder="1" applyProtection="1">
      <protection hidden="1"/>
    </xf>
    <xf numFmtId="171" fontId="0" fillId="0" borderId="27" xfId="0" applyNumberFormat="1" applyFill="1" applyBorder="1" applyAlignment="1" applyProtection="1">
      <alignment horizontal="right"/>
      <protection hidden="1"/>
    </xf>
    <xf numFmtId="171" fontId="6" fillId="8" borderId="5" xfId="1" applyNumberFormat="1" applyFont="1" applyFill="1" applyBorder="1" applyAlignment="1" applyProtection="1">
      <alignment horizontal="right"/>
      <protection hidden="1"/>
    </xf>
    <xf numFmtId="168" fontId="1" fillId="0" borderId="95" xfId="0" applyNumberFormat="1" applyFont="1" applyFill="1" applyBorder="1" applyAlignment="1" applyProtection="1">
      <alignment horizontal="center"/>
      <protection locked="0"/>
    </xf>
    <xf numFmtId="168" fontId="0" fillId="0" borderId="107" xfId="1" applyNumberFormat="1" applyFont="1" applyFill="1" applyBorder="1" applyAlignment="1" applyProtection="1">
      <alignment horizontal="center"/>
      <protection locked="0"/>
    </xf>
    <xf numFmtId="168" fontId="0" fillId="0" borderId="95" xfId="0" applyNumberFormat="1" applyFill="1" applyBorder="1" applyAlignment="1" applyProtection="1">
      <alignment horizontal="center"/>
      <protection locked="0"/>
    </xf>
    <xf numFmtId="168" fontId="0" fillId="0" borderId="108" xfId="0" applyNumberFormat="1" applyFill="1" applyBorder="1" applyAlignment="1" applyProtection="1">
      <alignment horizontal="center"/>
      <protection locked="0"/>
    </xf>
    <xf numFmtId="44" fontId="6" fillId="0" borderId="0" xfId="0" applyNumberFormat="1" applyFont="1" applyFill="1" applyBorder="1"/>
    <xf numFmtId="169" fontId="6" fillId="0" borderId="0" xfId="0" applyNumberFormat="1" applyFont="1" applyFill="1" applyBorder="1"/>
    <xf numFmtId="171" fontId="0" fillId="0" borderId="27" xfId="0" applyNumberFormat="1" applyFill="1" applyBorder="1"/>
    <xf numFmtId="171" fontId="0" fillId="0" borderId="24" xfId="0" applyNumberFormat="1" applyFill="1" applyBorder="1"/>
    <xf numFmtId="171" fontId="1" fillId="0" borderId="24" xfId="0" applyNumberFormat="1" applyFont="1" applyFill="1" applyBorder="1"/>
    <xf numFmtId="0" fontId="1" fillId="0" borderId="109" xfId="0" applyFont="1" applyFill="1" applyBorder="1" applyAlignment="1" applyProtection="1">
      <alignment horizontal="center"/>
      <protection hidden="1"/>
    </xf>
    <xf numFmtId="0" fontId="1" fillId="0" borderId="110" xfId="0" applyFont="1" applyFill="1" applyBorder="1" applyAlignment="1" applyProtection="1">
      <alignment horizontal="center"/>
      <protection hidden="1"/>
    </xf>
    <xf numFmtId="0" fontId="1" fillId="0" borderId="95" xfId="0" applyFont="1" applyFill="1" applyBorder="1" applyAlignment="1" applyProtection="1">
      <alignment horizontal="center"/>
      <protection locked="0"/>
    </xf>
    <xf numFmtId="0" fontId="38" fillId="0" borderId="0" xfId="0" applyFont="1" applyFill="1" applyBorder="1" applyAlignment="1" applyProtection="1">
      <alignment vertical="top"/>
      <protection hidden="1"/>
    </xf>
    <xf numFmtId="0" fontId="43" fillId="0" borderId="0" xfId="0" applyFont="1" applyBorder="1"/>
    <xf numFmtId="0" fontId="10" fillId="3" borderId="11" xfId="0" applyFont="1" applyFill="1" applyBorder="1" applyAlignment="1" applyProtection="1">
      <alignment vertical="center"/>
      <protection hidden="1"/>
    </xf>
    <xf numFmtId="0" fontId="10" fillId="3" borderId="28" xfId="0" applyFont="1" applyFill="1" applyBorder="1" applyAlignment="1" applyProtection="1">
      <alignment vertical="center"/>
      <protection hidden="1"/>
    </xf>
    <xf numFmtId="0" fontId="0" fillId="0" borderId="99" xfId="0" applyBorder="1"/>
    <xf numFmtId="9" fontId="0" fillId="0" borderId="99" xfId="0" applyNumberFormat="1" applyBorder="1"/>
    <xf numFmtId="0" fontId="0" fillId="0" borderId="99" xfId="0" applyFill="1" applyBorder="1"/>
    <xf numFmtId="0" fontId="43" fillId="0" borderId="0" xfId="0" applyFont="1"/>
    <xf numFmtId="8" fontId="1" fillId="0" borderId="7" xfId="0" applyNumberFormat="1" applyFont="1" applyBorder="1"/>
    <xf numFmtId="0" fontId="14" fillId="0" borderId="0" xfId="0" applyFont="1" applyFill="1" applyBorder="1" applyAlignment="1" applyProtection="1">
      <alignment horizontal="center" vertical="top"/>
      <protection hidden="1"/>
    </xf>
    <xf numFmtId="0" fontId="2" fillId="3" borderId="111" xfId="0" applyFont="1" applyFill="1" applyBorder="1" applyAlignment="1" applyProtection="1">
      <alignment vertical="center"/>
      <protection hidden="1"/>
    </xf>
    <xf numFmtId="0" fontId="0" fillId="0" borderId="81" xfId="0" applyFont="1" applyFill="1" applyBorder="1" applyAlignment="1">
      <alignment horizontal="center" vertical="center" wrapText="1"/>
    </xf>
    <xf numFmtId="0" fontId="1" fillId="0" borderId="79" xfId="0" applyFont="1" applyFill="1" applyBorder="1" applyAlignment="1" applyProtection="1">
      <alignment vertical="center"/>
    </xf>
    <xf numFmtId="0" fontId="2" fillId="3" borderId="111" xfId="0" applyFont="1" applyFill="1" applyBorder="1" applyAlignment="1" applyProtection="1">
      <alignment vertical="center"/>
    </xf>
    <xf numFmtId="0" fontId="1" fillId="0" borderId="81" xfId="0" applyFont="1" applyFill="1" applyBorder="1" applyAlignment="1" applyProtection="1">
      <alignment horizontal="center" vertical="center" wrapText="1"/>
    </xf>
    <xf numFmtId="175" fontId="0" fillId="0" borderId="114" xfId="0" applyNumberFormat="1" applyBorder="1" applyProtection="1">
      <protection locked="0"/>
    </xf>
    <xf numFmtId="175" fontId="0" fillId="0" borderId="95" xfId="0" applyNumberFormat="1" applyBorder="1" applyProtection="1">
      <protection locked="0"/>
    </xf>
    <xf numFmtId="8" fontId="0" fillId="0" borderId="0" xfId="0" applyNumberFormat="1"/>
    <xf numFmtId="0" fontId="1" fillId="0" borderId="99" xfId="0" applyFont="1" applyBorder="1" applyAlignment="1" applyProtection="1"/>
    <xf numFmtId="10" fontId="1" fillId="0" borderId="127" xfId="2" applyNumberFormat="1" applyFont="1" applyFill="1" applyBorder="1" applyAlignment="1" applyProtection="1">
      <alignment horizontal="center"/>
      <protection locked="0"/>
    </xf>
    <xf numFmtId="0" fontId="1" fillId="0" borderId="126" xfId="0" applyFont="1" applyBorder="1" applyAlignment="1" applyProtection="1"/>
    <xf numFmtId="0" fontId="1" fillId="0" borderId="128" xfId="0" applyFont="1" applyBorder="1" applyAlignment="1" applyProtection="1"/>
    <xf numFmtId="175" fontId="1" fillId="0" borderId="114" xfId="0" applyNumberFormat="1" applyFont="1" applyBorder="1" applyProtection="1">
      <protection locked="0"/>
    </xf>
    <xf numFmtId="175" fontId="1" fillId="0" borderId="95" xfId="0" applyNumberFormat="1" applyFont="1" applyBorder="1" applyProtection="1">
      <protection locked="0"/>
    </xf>
    <xf numFmtId="10" fontId="1" fillId="0" borderId="0" xfId="0" applyNumberFormat="1" applyFont="1" applyFill="1" applyBorder="1" applyAlignment="1"/>
    <xf numFmtId="0" fontId="1" fillId="0" borderId="0" xfId="0" applyFont="1" applyFill="1" applyBorder="1" applyAlignment="1">
      <alignment horizontal="left"/>
    </xf>
    <xf numFmtId="10" fontId="1" fillId="0" borderId="0" xfId="0" applyNumberFormat="1" applyFont="1" applyFill="1" applyBorder="1" applyAlignment="1">
      <alignment horizontal="right"/>
    </xf>
    <xf numFmtId="0" fontId="1" fillId="0" borderId="0" xfId="0" applyFont="1" applyBorder="1" applyAlignment="1"/>
    <xf numFmtId="10" fontId="1" fillId="0" borderId="0" xfId="0" applyNumberFormat="1" applyFont="1" applyBorder="1" applyAlignment="1"/>
    <xf numFmtId="0" fontId="1" fillId="0" borderId="99" xfId="0" applyFont="1" applyFill="1" applyBorder="1"/>
    <xf numFmtId="0" fontId="1" fillId="0" borderId="112" xfId="0" applyFont="1" applyFill="1" applyBorder="1" applyAlignment="1" applyProtection="1">
      <alignment horizontal="center"/>
      <protection locked="0"/>
    </xf>
    <xf numFmtId="10" fontId="1" fillId="0" borderId="108" xfId="2" applyNumberFormat="1" applyFont="1" applyFill="1" applyBorder="1" applyAlignment="1" applyProtection="1">
      <alignment horizontal="center"/>
      <protection locked="0"/>
    </xf>
    <xf numFmtId="164" fontId="1" fillId="0" borderId="125" xfId="1" applyNumberFormat="1" applyFont="1" applyFill="1" applyBorder="1" applyProtection="1">
      <protection locked="0"/>
    </xf>
    <xf numFmtId="0" fontId="0" fillId="0" borderId="130" xfId="0" applyFill="1" applyBorder="1" applyAlignment="1">
      <alignment vertical="center"/>
    </xf>
    <xf numFmtId="0" fontId="0" fillId="0" borderId="131" xfId="0" applyFill="1" applyBorder="1" applyAlignment="1">
      <alignment vertical="center"/>
    </xf>
    <xf numFmtId="0" fontId="1" fillId="0" borderId="129" xfId="0" applyFont="1" applyFill="1" applyBorder="1" applyAlignment="1">
      <alignment horizontal="center" vertical="center" wrapText="1"/>
    </xf>
    <xf numFmtId="0" fontId="1" fillId="0" borderId="0" xfId="0" applyFont="1" applyFill="1" applyBorder="1" applyAlignment="1">
      <alignment horizontal="center"/>
    </xf>
    <xf numFmtId="180" fontId="0" fillId="7" borderId="27" xfId="0" applyNumberFormat="1" applyFill="1" applyBorder="1" applyAlignment="1">
      <alignment horizontal="center"/>
    </xf>
    <xf numFmtId="180" fontId="0" fillId="7" borderId="24" xfId="0" applyNumberFormat="1" applyFill="1" applyBorder="1" applyAlignment="1">
      <alignment horizontal="center"/>
    </xf>
    <xf numFmtId="0" fontId="1" fillId="0" borderId="129" xfId="0" applyFont="1" applyBorder="1" applyAlignment="1">
      <alignment horizontal="center"/>
    </xf>
    <xf numFmtId="10" fontId="38" fillId="0" borderId="0" xfId="0" applyNumberFormat="1" applyFont="1" applyProtection="1">
      <protection hidden="1"/>
    </xf>
    <xf numFmtId="10" fontId="38" fillId="0" borderId="0" xfId="2" applyNumberFormat="1" applyFont="1" applyProtection="1">
      <protection hidden="1"/>
    </xf>
    <xf numFmtId="10" fontId="38" fillId="0" borderId="0" xfId="0" applyNumberFormat="1" applyFont="1" applyAlignment="1" applyProtection="1">
      <protection hidden="1"/>
    </xf>
    <xf numFmtId="168" fontId="1" fillId="0" borderId="132" xfId="1" applyNumberFormat="1" applyFont="1" applyFill="1" applyBorder="1" applyAlignment="1" applyProtection="1">
      <alignment horizontal="left"/>
      <protection hidden="1"/>
    </xf>
    <xf numFmtId="168" fontId="1" fillId="0" borderId="110" xfId="1" applyNumberFormat="1" applyFont="1" applyFill="1" applyBorder="1" applyAlignment="1" applyProtection="1">
      <alignment horizontal="left"/>
      <protection hidden="1"/>
    </xf>
    <xf numFmtId="171" fontId="0" fillId="13" borderId="0" xfId="0" applyNumberFormat="1" applyFill="1"/>
    <xf numFmtId="0" fontId="1" fillId="13" borderId="0" xfId="0" applyFont="1" applyFill="1" applyBorder="1"/>
    <xf numFmtId="0" fontId="0" fillId="13" borderId="0" xfId="0" applyFill="1" applyBorder="1"/>
    <xf numFmtId="178" fontId="0" fillId="13" borderId="0" xfId="0" applyNumberFormat="1" applyFill="1" applyBorder="1"/>
    <xf numFmtId="2" fontId="0" fillId="13" borderId="0" xfId="0" applyNumberFormat="1" applyFill="1" applyBorder="1"/>
    <xf numFmtId="0" fontId="6" fillId="0" borderId="0" xfId="0" applyFont="1" applyFill="1" applyBorder="1" applyAlignment="1">
      <alignment horizontal="center"/>
    </xf>
    <xf numFmtId="2" fontId="17" fillId="0" borderId="23" xfId="0" applyNumberFormat="1" applyFont="1" applyFill="1" applyBorder="1" applyAlignment="1" applyProtection="1">
      <alignment horizontal="center" vertical="center"/>
      <protection hidden="1"/>
    </xf>
    <xf numFmtId="171" fontId="0" fillId="0" borderId="0" xfId="0" applyNumberFormat="1" applyFill="1" applyBorder="1"/>
    <xf numFmtId="0" fontId="0" fillId="0" borderId="133" xfId="0" applyBorder="1"/>
    <xf numFmtId="0" fontId="1" fillId="0" borderId="133" xfId="0" applyFont="1" applyBorder="1"/>
    <xf numFmtId="10" fontId="1" fillId="0" borderId="7" xfId="0" applyNumberFormat="1" applyFont="1" applyFill="1" applyBorder="1" applyAlignment="1"/>
    <xf numFmtId="0" fontId="46" fillId="0" borderId="0" xfId="0" applyFont="1" applyBorder="1" applyAlignment="1" applyProtection="1">
      <alignment vertical="center"/>
      <protection hidden="1"/>
    </xf>
    <xf numFmtId="8" fontId="1" fillId="0" borderId="133" xfId="0" applyNumberFormat="1" applyFont="1" applyBorder="1"/>
    <xf numFmtId="6" fontId="1" fillId="0" borderId="133" xfId="0" applyNumberFormat="1" applyFont="1" applyBorder="1"/>
    <xf numFmtId="164" fontId="6" fillId="0" borderId="133" xfId="1" applyNumberFormat="1" applyFont="1" applyFill="1" applyBorder="1" applyProtection="1">
      <protection hidden="1"/>
    </xf>
    <xf numFmtId="0" fontId="1" fillId="0" borderId="0" xfId="0" applyFont="1" applyAlignment="1" applyProtection="1">
      <alignment horizontal="right"/>
    </xf>
    <xf numFmtId="0" fontId="38" fillId="0" borderId="0" xfId="0" applyFont="1" applyProtection="1"/>
    <xf numFmtId="0" fontId="1" fillId="0" borderId="0" xfId="0" applyFont="1" applyAlignment="1" applyProtection="1">
      <alignment horizontal="center" vertical="center"/>
    </xf>
    <xf numFmtId="0" fontId="1" fillId="0" borderId="0" xfId="0" applyFont="1" applyAlignment="1" applyProtection="1">
      <alignment horizontal="right" vertical="top"/>
    </xf>
    <xf numFmtId="0" fontId="1" fillId="0" borderId="6" xfId="0" applyFont="1" applyFill="1" applyBorder="1" applyAlignment="1" applyProtection="1">
      <alignment horizontal="center" vertical="top"/>
      <protection locked="0"/>
    </xf>
    <xf numFmtId="0" fontId="1" fillId="0" borderId="134" xfId="0" applyFont="1" applyFill="1" applyBorder="1" applyAlignment="1" applyProtection="1">
      <alignment vertical="center"/>
    </xf>
    <xf numFmtId="0" fontId="1" fillId="0" borderId="0" xfId="0" applyFont="1" applyBorder="1" applyAlignment="1" applyProtection="1"/>
    <xf numFmtId="0" fontId="1" fillId="0" borderId="0" xfId="0" applyFont="1" applyBorder="1" applyProtection="1"/>
    <xf numFmtId="0" fontId="43" fillId="0" borderId="0" xfId="0" applyFont="1" applyBorder="1" applyProtection="1"/>
    <xf numFmtId="0" fontId="6" fillId="0" borderId="0" xfId="0" applyFont="1" applyBorder="1" applyProtection="1"/>
    <xf numFmtId="0" fontId="3" fillId="0" borderId="0" xfId="0" applyFont="1" applyBorder="1" applyAlignment="1" applyProtection="1"/>
    <xf numFmtId="171" fontId="6" fillId="3" borderId="135" xfId="0" applyNumberFormat="1" applyFont="1" applyFill="1" applyBorder="1" applyAlignment="1" applyProtection="1">
      <alignment vertical="center"/>
    </xf>
    <xf numFmtId="171" fontId="6" fillId="3" borderId="75" xfId="0" applyNumberFormat="1" applyFont="1" applyFill="1" applyBorder="1" applyAlignment="1" applyProtection="1">
      <alignment vertical="center"/>
    </xf>
    <xf numFmtId="0" fontId="1" fillId="3" borderId="75" xfId="0" applyFont="1" applyFill="1" applyBorder="1" applyProtection="1"/>
    <xf numFmtId="0" fontId="1" fillId="14" borderId="75" xfId="0" applyFont="1" applyFill="1" applyBorder="1" applyProtection="1"/>
    <xf numFmtId="0" fontId="1" fillId="14" borderId="76" xfId="0" applyFont="1" applyFill="1" applyBorder="1" applyProtection="1"/>
    <xf numFmtId="0" fontId="6" fillId="3" borderId="75" xfId="0" applyFont="1" applyFill="1" applyBorder="1" applyAlignment="1" applyProtection="1">
      <alignment horizontal="center" vertical="center" wrapText="1"/>
    </xf>
    <xf numFmtId="0" fontId="6" fillId="3" borderId="75" xfId="0" applyFont="1" applyFill="1" applyBorder="1" applyAlignment="1" applyProtection="1">
      <alignment horizontal="center" vertical="center"/>
    </xf>
    <xf numFmtId="0" fontId="1" fillId="0" borderId="136" xfId="0" applyFont="1" applyBorder="1" applyAlignment="1" applyProtection="1"/>
    <xf numFmtId="0" fontId="1" fillId="0" borderId="136" xfId="0" applyFont="1" applyBorder="1" applyProtection="1"/>
    <xf numFmtId="0" fontId="6" fillId="0" borderId="136" xfId="0" applyFont="1" applyBorder="1" applyProtection="1"/>
    <xf numFmtId="0" fontId="3" fillId="0" borderId="136" xfId="0" applyFont="1" applyBorder="1" applyAlignment="1" applyProtection="1"/>
    <xf numFmtId="0" fontId="1" fillId="0" borderId="138" xfId="0" applyFont="1" applyBorder="1" applyAlignment="1" applyProtection="1"/>
    <xf numFmtId="0" fontId="1" fillId="0" borderId="137" xfId="0" applyFont="1" applyBorder="1" applyAlignment="1" applyProtection="1"/>
    <xf numFmtId="0" fontId="1" fillId="0" borderId="139" xfId="0" applyFont="1" applyFill="1" applyBorder="1" applyAlignment="1" applyProtection="1">
      <alignment horizontal="center" vertical="top"/>
      <protection locked="0"/>
    </xf>
    <xf numFmtId="164" fontId="1" fillId="0" borderId="129" xfId="1" applyNumberFormat="1" applyFont="1" applyFill="1" applyBorder="1" applyProtection="1">
      <protection locked="0"/>
    </xf>
    <xf numFmtId="171" fontId="1" fillId="0" borderId="0" xfId="1" applyNumberFormat="1" applyFont="1" applyFill="1" applyBorder="1" applyAlignment="1" applyProtection="1">
      <protection hidden="1"/>
    </xf>
    <xf numFmtId="10" fontId="1" fillId="0" borderId="0" xfId="0" applyNumberFormat="1" applyFont="1" applyFill="1" applyBorder="1" applyAlignment="1" applyProtection="1">
      <protection locked="0"/>
    </xf>
    <xf numFmtId="178" fontId="1" fillId="0" borderId="0" xfId="1" applyNumberFormat="1" applyFont="1" applyFill="1" applyBorder="1" applyAlignment="1" applyProtection="1">
      <protection hidden="1"/>
    </xf>
    <xf numFmtId="10" fontId="1" fillId="0" borderId="0" xfId="2" applyNumberFormat="1" applyFont="1" applyFill="1" applyBorder="1" applyProtection="1">
      <protection locked="0"/>
    </xf>
    <xf numFmtId="0" fontId="0" fillId="0" borderId="96" xfId="0" applyFill="1" applyBorder="1" applyAlignment="1">
      <alignment vertical="center"/>
    </xf>
    <xf numFmtId="0" fontId="1" fillId="0" borderId="133" xfId="0" applyFont="1" applyFill="1" applyBorder="1" applyAlignment="1">
      <alignment horizontal="center" vertical="center" wrapText="1"/>
    </xf>
    <xf numFmtId="0" fontId="1" fillId="0" borderId="0" xfId="0" applyFont="1" applyAlignment="1" applyProtection="1">
      <alignment horizontal="left" vertical="top"/>
    </xf>
    <xf numFmtId="0" fontId="1" fillId="15" borderId="0" xfId="0" applyFont="1" applyFill="1" applyProtection="1"/>
    <xf numFmtId="0" fontId="0" fillId="0" borderId="133" xfId="0" applyFill="1" applyBorder="1"/>
    <xf numFmtId="0" fontId="1" fillId="0" borderId="0" xfId="0" applyFont="1" applyFill="1" applyProtection="1">
      <protection hidden="1"/>
    </xf>
    <xf numFmtId="181" fontId="0" fillId="0" borderId="133" xfId="3" applyNumberFormat="1" applyFont="1" applyBorder="1"/>
    <xf numFmtId="181" fontId="0" fillId="0" borderId="102" xfId="3" applyNumberFormat="1" applyFont="1" applyBorder="1"/>
    <xf numFmtId="181" fontId="0" fillId="0" borderId="131" xfId="3" applyNumberFormat="1" applyFont="1" applyBorder="1"/>
    <xf numFmtId="181" fontId="0" fillId="0" borderId="31" xfId="3" applyNumberFormat="1" applyFont="1" applyBorder="1"/>
    <xf numFmtId="181" fontId="0" fillId="0" borderId="41" xfId="3" applyNumberFormat="1" applyFont="1" applyBorder="1"/>
    <xf numFmtId="181" fontId="0" fillId="0" borderId="40" xfId="3" applyNumberFormat="1" applyFont="1" applyBorder="1"/>
    <xf numFmtId="0" fontId="1" fillId="0" borderId="0" xfId="0" applyFont="1" applyAlignment="1">
      <alignment horizontal="left" wrapText="1"/>
    </xf>
    <xf numFmtId="0" fontId="0" fillId="0" borderId="0" xfId="0" applyAlignment="1">
      <alignment horizontal="left" wrapText="1"/>
    </xf>
    <xf numFmtId="0" fontId="1" fillId="0" borderId="96" xfId="0" applyFont="1" applyFill="1" applyBorder="1" applyAlignment="1">
      <alignment vertical="top" wrapText="1"/>
    </xf>
    <xf numFmtId="0" fontId="1" fillId="0" borderId="97" xfId="0" applyFont="1" applyFill="1" applyBorder="1" applyAlignment="1">
      <alignment vertical="top" wrapText="1"/>
    </xf>
    <xf numFmtId="0" fontId="1" fillId="0" borderId="98" xfId="0" applyFont="1" applyFill="1" applyBorder="1" applyAlignment="1">
      <alignment vertical="top" wrapText="1"/>
    </xf>
    <xf numFmtId="0" fontId="0" fillId="0" borderId="25" xfId="0" applyFill="1" applyBorder="1" applyAlignment="1">
      <alignment vertical="center" wrapText="1"/>
    </xf>
    <xf numFmtId="0" fontId="0" fillId="0" borderId="26" xfId="0" applyFill="1" applyBorder="1" applyAlignment="1">
      <alignment vertical="center" wrapText="1"/>
    </xf>
    <xf numFmtId="0" fontId="0" fillId="0" borderId="37" xfId="0" applyFill="1" applyBorder="1" applyAlignment="1">
      <alignment vertical="center" wrapText="1"/>
    </xf>
    <xf numFmtId="0" fontId="1" fillId="0" borderId="25" xfId="0" applyFont="1" applyFill="1" applyBorder="1" applyAlignment="1">
      <alignment vertical="center" wrapText="1"/>
    </xf>
    <xf numFmtId="0" fontId="7" fillId="0" borderId="25" xfId="0" applyFont="1" applyFill="1" applyBorder="1" applyAlignment="1">
      <alignment vertical="center" wrapText="1"/>
    </xf>
    <xf numFmtId="0" fontId="7" fillId="0" borderId="26" xfId="0" applyFont="1" applyFill="1" applyBorder="1" applyAlignment="1">
      <alignment vertical="center" wrapText="1"/>
    </xf>
    <xf numFmtId="0" fontId="7" fillId="0" borderId="37" xfId="0" applyFont="1" applyFill="1" applyBorder="1" applyAlignment="1">
      <alignment vertical="center" wrapText="1"/>
    </xf>
    <xf numFmtId="0" fontId="1" fillId="0" borderId="26" xfId="0" applyFont="1" applyFill="1" applyBorder="1" applyAlignment="1">
      <alignment vertical="center" wrapText="1"/>
    </xf>
    <xf numFmtId="0" fontId="1" fillId="0" borderId="37" xfId="0" applyFont="1" applyFill="1" applyBorder="1" applyAlignment="1">
      <alignment vertical="center" wrapText="1"/>
    </xf>
    <xf numFmtId="0" fontId="0" fillId="0" borderId="130" xfId="0" applyBorder="1" applyAlignment="1">
      <alignment vertical="top" wrapText="1"/>
    </xf>
    <xf numFmtId="0" fontId="0" fillId="0" borderId="131" xfId="0" applyBorder="1" applyAlignment="1">
      <alignment vertical="top" wrapText="1"/>
    </xf>
    <xf numFmtId="0" fontId="1" fillId="0" borderId="25" xfId="0" applyFont="1" applyFill="1" applyBorder="1" applyAlignment="1">
      <alignment vertical="top" wrapText="1"/>
    </xf>
    <xf numFmtId="0" fontId="0" fillId="0" borderId="26" xfId="0" applyFill="1" applyBorder="1" applyAlignment="1">
      <alignment vertical="top" wrapText="1"/>
    </xf>
    <xf numFmtId="0" fontId="0" fillId="0" borderId="37" xfId="0" applyFill="1" applyBorder="1" applyAlignment="1">
      <alignment vertical="top" wrapText="1"/>
    </xf>
    <xf numFmtId="0" fontId="1" fillId="0" borderId="0" xfId="0" applyFont="1" applyFill="1" applyBorder="1" applyAlignment="1">
      <alignment wrapText="1"/>
    </xf>
    <xf numFmtId="0" fontId="0" fillId="0" borderId="0" xfId="0" applyFill="1" applyBorder="1" applyAlignment="1">
      <alignment wrapText="1"/>
    </xf>
    <xf numFmtId="0" fontId="6" fillId="0" borderId="25" xfId="0" applyFont="1" applyFill="1" applyBorder="1" applyAlignment="1">
      <alignment vertical="center" wrapText="1"/>
    </xf>
    <xf numFmtId="0" fontId="6" fillId="0" borderId="26" xfId="0" applyFont="1" applyFill="1" applyBorder="1" applyAlignment="1">
      <alignment vertical="center" wrapText="1"/>
    </xf>
    <xf numFmtId="0" fontId="6" fillId="0" borderId="37" xfId="0" applyFont="1" applyFill="1" applyBorder="1" applyAlignment="1">
      <alignment vertical="center" wrapText="1"/>
    </xf>
    <xf numFmtId="0" fontId="2" fillId="0" borderId="0" xfId="0" applyFont="1" applyFill="1" applyBorder="1" applyAlignment="1">
      <alignment horizontal="center"/>
    </xf>
    <xf numFmtId="0" fontId="5" fillId="0" borderId="25" xfId="0" applyFont="1" applyFill="1" applyBorder="1" applyAlignment="1">
      <alignment horizontal="center"/>
    </xf>
    <xf numFmtId="0" fontId="5" fillId="0" borderId="26" xfId="0" applyFont="1" applyFill="1" applyBorder="1" applyAlignment="1">
      <alignment horizontal="center"/>
    </xf>
    <xf numFmtId="0" fontId="5" fillId="0" borderId="37" xfId="0" applyFont="1" applyFill="1" applyBorder="1" applyAlignment="1">
      <alignment horizontal="center"/>
    </xf>
    <xf numFmtId="0" fontId="1" fillId="0" borderId="96" xfId="0" applyFont="1" applyFill="1" applyBorder="1" applyAlignment="1">
      <alignment horizontal="left" vertical="center"/>
    </xf>
    <xf numFmtId="0" fontId="0" fillId="0" borderId="97" xfId="0" applyFill="1" applyBorder="1" applyAlignment="1">
      <alignment horizontal="left" vertical="center"/>
    </xf>
    <xf numFmtId="0" fontId="0" fillId="0" borderId="98" xfId="0" applyFill="1" applyBorder="1" applyAlignment="1">
      <alignment horizontal="left" vertical="center"/>
    </xf>
    <xf numFmtId="0" fontId="1" fillId="0" borderId="99" xfId="0" applyFont="1" applyFill="1" applyBorder="1" applyAlignment="1">
      <alignment horizontal="left" vertical="center"/>
    </xf>
    <xf numFmtId="0" fontId="0" fillId="0" borderId="99" xfId="0" applyFill="1" applyBorder="1" applyAlignment="1">
      <alignment horizontal="left" vertical="center"/>
    </xf>
    <xf numFmtId="0" fontId="1" fillId="0" borderId="99" xfId="0" applyFont="1" applyFill="1" applyBorder="1" applyAlignment="1">
      <alignment horizontal="left" vertical="center" wrapText="1"/>
    </xf>
    <xf numFmtId="0" fontId="0" fillId="0" borderId="99" xfId="0" applyFill="1" applyBorder="1" applyAlignment="1">
      <alignment horizontal="left" vertical="center" wrapText="1"/>
    </xf>
    <xf numFmtId="0" fontId="1" fillId="0" borderId="96" xfId="0" applyFont="1" applyFill="1" applyBorder="1" applyAlignment="1">
      <alignment horizontal="left" vertical="center" wrapText="1"/>
    </xf>
    <xf numFmtId="0" fontId="0" fillId="0" borderId="97" xfId="0" applyFill="1" applyBorder="1" applyAlignment="1">
      <alignment horizontal="left" vertical="center" wrapText="1"/>
    </xf>
    <xf numFmtId="0" fontId="0" fillId="0" borderId="98" xfId="0" applyFill="1" applyBorder="1" applyAlignment="1">
      <alignment horizontal="left" vertical="center" wrapText="1"/>
    </xf>
    <xf numFmtId="0" fontId="1" fillId="0" borderId="99" xfId="0" applyFont="1" applyBorder="1" applyAlignment="1">
      <alignment horizontal="left"/>
    </xf>
    <xf numFmtId="0" fontId="0" fillId="0" borderId="99" xfId="0" applyBorder="1" applyAlignment="1">
      <alignment horizontal="left"/>
    </xf>
    <xf numFmtId="0" fontId="6" fillId="0" borderId="99" xfId="0" applyFont="1" applyFill="1" applyBorder="1" applyAlignment="1">
      <alignment horizontal="center" vertical="center"/>
    </xf>
    <xf numFmtId="0" fontId="6" fillId="0" borderId="96" xfId="0" applyFont="1" applyFill="1" applyBorder="1" applyAlignment="1">
      <alignment horizontal="center" vertical="center"/>
    </xf>
    <xf numFmtId="0" fontId="6" fillId="0" borderId="97" xfId="0" applyFont="1" applyFill="1" applyBorder="1" applyAlignment="1">
      <alignment horizontal="center" vertical="center"/>
    </xf>
    <xf numFmtId="0" fontId="6" fillId="0" borderId="98" xfId="0" applyFont="1" applyFill="1" applyBorder="1" applyAlignment="1">
      <alignment horizontal="center" vertical="center"/>
    </xf>
    <xf numFmtId="0" fontId="1" fillId="0" borderId="96" xfId="0" applyFont="1" applyFill="1" applyBorder="1" applyAlignment="1">
      <alignment vertical="center" wrapText="1"/>
    </xf>
    <xf numFmtId="0" fontId="1" fillId="0" borderId="130" xfId="0" applyFont="1" applyFill="1" applyBorder="1" applyAlignment="1">
      <alignment vertical="center" wrapText="1"/>
    </xf>
    <xf numFmtId="0" fontId="1" fillId="0" borderId="131" xfId="0" applyFont="1" applyFill="1" applyBorder="1" applyAlignment="1">
      <alignment vertical="center" wrapText="1"/>
    </xf>
    <xf numFmtId="0" fontId="1" fillId="0" borderId="130" xfId="0" applyFont="1" applyFill="1" applyBorder="1" applyAlignment="1">
      <alignment vertical="top" wrapText="1"/>
    </xf>
    <xf numFmtId="0" fontId="1" fillId="0" borderId="131" xfId="0" applyFont="1" applyFill="1" applyBorder="1" applyAlignment="1">
      <alignment vertical="top" wrapText="1"/>
    </xf>
    <xf numFmtId="0" fontId="1" fillId="0" borderId="26" xfId="0" applyFont="1" applyFill="1" applyBorder="1" applyAlignment="1">
      <alignment vertical="top" wrapText="1"/>
    </xf>
    <xf numFmtId="0" fontId="1" fillId="0" borderId="37" xfId="0" applyFont="1" applyFill="1" applyBorder="1" applyAlignment="1">
      <alignment vertical="top" wrapText="1"/>
    </xf>
    <xf numFmtId="0" fontId="0" fillId="0" borderId="0" xfId="0" applyFill="1" applyBorder="1" applyAlignment="1" applyProtection="1">
      <alignment vertical="top" wrapText="1"/>
      <protection hidden="1"/>
    </xf>
    <xf numFmtId="0" fontId="0" fillId="0" borderId="54" xfId="0" applyFill="1" applyBorder="1" applyAlignment="1" applyProtection="1">
      <alignment vertical="top" wrapText="1"/>
      <protection hidden="1"/>
    </xf>
    <xf numFmtId="0" fontId="4" fillId="0" borderId="55" xfId="0" applyFont="1" applyFill="1" applyBorder="1" applyAlignment="1" applyProtection="1">
      <alignment horizontal="center" vertical="center"/>
      <protection hidden="1"/>
    </xf>
    <xf numFmtId="0" fontId="4" fillId="0" borderId="56" xfId="0" applyFont="1" applyFill="1" applyBorder="1" applyAlignment="1" applyProtection="1">
      <alignment horizontal="center" vertical="center"/>
      <protection hidden="1"/>
    </xf>
    <xf numFmtId="0" fontId="6" fillId="0" borderId="52" xfId="0" applyFont="1" applyFill="1" applyBorder="1" applyAlignment="1" applyProtection="1">
      <alignment vertical="top"/>
      <protection locked="0"/>
    </xf>
    <xf numFmtId="0" fontId="6" fillId="0" borderId="19" xfId="0" applyFont="1" applyFill="1" applyBorder="1" applyAlignment="1" applyProtection="1">
      <alignment vertical="top"/>
      <protection locked="0"/>
    </xf>
    <xf numFmtId="0" fontId="6" fillId="0" borderId="52" xfId="0" applyFont="1" applyFill="1" applyBorder="1" applyAlignment="1" applyProtection="1">
      <protection locked="0"/>
    </xf>
    <xf numFmtId="0" fontId="6" fillId="0" borderId="19" xfId="0" applyFont="1" applyFill="1" applyBorder="1" applyAlignment="1" applyProtection="1">
      <protection locked="0"/>
    </xf>
    <xf numFmtId="0" fontId="28" fillId="0" borderId="51" xfId="0" applyFont="1" applyBorder="1" applyAlignment="1" applyProtection="1">
      <alignment horizontal="left" wrapText="1"/>
      <protection hidden="1"/>
    </xf>
    <xf numFmtId="0" fontId="28" fillId="0" borderId="113" xfId="0" applyFont="1" applyBorder="1" applyAlignment="1" applyProtection="1">
      <alignment horizontal="left" wrapText="1"/>
      <protection hidden="1"/>
    </xf>
    <xf numFmtId="0" fontId="43" fillId="0" borderId="0" xfId="0" applyFont="1" applyBorder="1" applyAlignment="1" applyProtection="1">
      <alignment wrapText="1"/>
      <protection hidden="1"/>
    </xf>
    <xf numFmtId="0" fontId="0" fillId="0" borderId="115" xfId="0" applyFill="1" applyBorder="1" applyAlignment="1">
      <alignment horizontal="center" vertical="center" wrapText="1"/>
    </xf>
    <xf numFmtId="0" fontId="0" fillId="0" borderId="118" xfId="0" applyBorder="1" applyAlignment="1">
      <alignment horizontal="center" vertical="center" wrapText="1"/>
    </xf>
    <xf numFmtId="0" fontId="0" fillId="0" borderId="116" xfId="0" applyBorder="1" applyAlignment="1"/>
    <xf numFmtId="0" fontId="1" fillId="0" borderId="112" xfId="0" applyFont="1" applyFill="1" applyBorder="1" applyAlignment="1" applyProtection="1">
      <protection locked="0"/>
    </xf>
    <xf numFmtId="0" fontId="0" fillId="0" borderId="107" xfId="0" applyBorder="1" applyAlignment="1" applyProtection="1">
      <protection locked="0"/>
    </xf>
    <xf numFmtId="0" fontId="0" fillId="0" borderId="108" xfId="0" applyBorder="1" applyAlignment="1" applyProtection="1">
      <protection locked="0"/>
    </xf>
    <xf numFmtId="0" fontId="1" fillId="0" borderId="117" xfId="0" applyFont="1" applyFill="1" applyBorder="1" applyAlignment="1" applyProtection="1">
      <protection locked="0"/>
    </xf>
    <xf numFmtId="0" fontId="0" fillId="0" borderId="0" xfId="0" applyBorder="1" applyAlignment="1" applyProtection="1">
      <protection locked="0"/>
    </xf>
    <xf numFmtId="0" fontId="0" fillId="0" borderId="54" xfId="0" applyBorder="1" applyAlignment="1" applyProtection="1">
      <protection locked="0"/>
    </xf>
    <xf numFmtId="0" fontId="0" fillId="0" borderId="25" xfId="0" applyFill="1" applyBorder="1" applyAlignment="1">
      <alignment wrapText="1"/>
    </xf>
    <xf numFmtId="0" fontId="0" fillId="0" borderId="97" xfId="0" applyFill="1" applyBorder="1" applyAlignment="1">
      <alignment wrapText="1"/>
    </xf>
    <xf numFmtId="0" fontId="0" fillId="0" borderId="26" xfId="0" applyFill="1" applyBorder="1" applyAlignment="1">
      <alignment wrapText="1"/>
    </xf>
    <xf numFmtId="0" fontId="0" fillId="0" borderId="37" xfId="0" applyFill="1" applyBorder="1" applyAlignment="1">
      <alignment wrapText="1"/>
    </xf>
    <xf numFmtId="0" fontId="14" fillId="0" borderId="51" xfId="0" applyFont="1" applyFill="1" applyBorder="1" applyAlignment="1" applyProtection="1">
      <alignment wrapText="1"/>
      <protection hidden="1"/>
    </xf>
    <xf numFmtId="0" fontId="14" fillId="0" borderId="113" xfId="0" applyFont="1" applyFill="1" applyBorder="1" applyAlignment="1" applyProtection="1">
      <alignment wrapText="1"/>
      <protection hidden="1"/>
    </xf>
    <xf numFmtId="0" fontId="0" fillId="0" borderId="96" xfId="0" applyFill="1" applyBorder="1" applyAlignment="1">
      <alignment horizontal="center" vertical="center" wrapText="1"/>
    </xf>
    <xf numFmtId="0" fontId="0" fillId="0" borderId="97" xfId="0" applyBorder="1" applyAlignment="1"/>
    <xf numFmtId="0" fontId="0" fillId="0" borderId="98" xfId="0" applyBorder="1" applyAlignment="1"/>
    <xf numFmtId="0" fontId="8" fillId="0" borderId="119" xfId="0" applyFont="1" applyFill="1" applyBorder="1" applyAlignment="1" applyProtection="1">
      <protection hidden="1"/>
    </xf>
    <xf numFmtId="0" fontId="0" fillId="0" borderId="120" xfId="0" applyBorder="1" applyAlignment="1"/>
    <xf numFmtId="0" fontId="0" fillId="0" borderId="121" xfId="0" applyBorder="1" applyAlignment="1"/>
    <xf numFmtId="0" fontId="0" fillId="0" borderId="123" xfId="0" applyFill="1" applyBorder="1" applyAlignment="1" applyProtection="1">
      <protection locked="0"/>
    </xf>
    <xf numFmtId="0" fontId="0" fillId="0" borderId="124" xfId="0" applyBorder="1" applyAlignment="1" applyProtection="1">
      <protection locked="0"/>
    </xf>
    <xf numFmtId="0" fontId="0" fillId="0" borderId="122" xfId="0" applyBorder="1" applyAlignment="1" applyProtection="1">
      <protection locked="0"/>
    </xf>
    <xf numFmtId="2" fontId="4" fillId="0" borderId="55" xfId="0" applyNumberFormat="1" applyFont="1" applyFill="1" applyBorder="1" applyAlignment="1" applyProtection="1">
      <alignment horizontal="center" vertical="top"/>
      <protection hidden="1"/>
    </xf>
    <xf numFmtId="2" fontId="4" fillId="0" borderId="56" xfId="0" applyNumberFormat="1" applyFont="1" applyFill="1" applyBorder="1" applyAlignment="1" applyProtection="1">
      <alignment horizontal="center" vertical="top"/>
      <protection hidden="1"/>
    </xf>
    <xf numFmtId="0" fontId="0" fillId="0" borderId="25" xfId="0" applyBorder="1" applyAlignment="1">
      <alignment horizontal="center"/>
    </xf>
    <xf numFmtId="0" fontId="0" fillId="0" borderId="26" xfId="0" applyBorder="1" applyAlignment="1">
      <alignment horizontal="center"/>
    </xf>
    <xf numFmtId="0" fontId="0" fillId="0" borderId="37" xfId="0" applyBorder="1" applyAlignment="1">
      <alignment horizontal="center"/>
    </xf>
    <xf numFmtId="0" fontId="39" fillId="0" borderId="86" xfId="0" quotePrefix="1" applyFont="1" applyBorder="1" applyAlignment="1">
      <alignment wrapText="1"/>
    </xf>
    <xf numFmtId="0" fontId="1" fillId="0" borderId="66" xfId="0" applyFont="1" applyBorder="1" applyAlignment="1">
      <alignment horizontal="center"/>
    </xf>
    <xf numFmtId="0" fontId="1" fillId="0" borderId="67" xfId="0" applyFont="1" applyBorder="1" applyAlignment="1">
      <alignment horizontal="center"/>
    </xf>
    <xf numFmtId="0" fontId="1" fillId="0" borderId="68" xfId="0" applyFont="1" applyBorder="1" applyAlignment="1">
      <alignment horizontal="center"/>
    </xf>
    <xf numFmtId="171" fontId="6" fillId="3" borderId="75" xfId="0" applyNumberFormat="1" applyFont="1" applyFill="1" applyBorder="1" applyAlignment="1" applyProtection="1">
      <alignment horizontal="center" vertical="center"/>
    </xf>
    <xf numFmtId="0" fontId="17" fillId="0" borderId="55" xfId="0" applyFont="1" applyFill="1" applyBorder="1" applyAlignment="1" applyProtection="1">
      <alignment horizontal="center" vertical="center"/>
      <protection hidden="1"/>
    </xf>
    <xf numFmtId="0" fontId="17" fillId="0" borderId="56" xfId="0" applyFont="1" applyFill="1" applyBorder="1" applyAlignment="1" applyProtection="1">
      <alignment horizontal="center" vertical="center"/>
      <protection hidden="1"/>
    </xf>
    <xf numFmtId="0" fontId="0" fillId="0" borderId="25" xfId="0" applyBorder="1" applyAlignment="1">
      <alignment wrapText="1"/>
    </xf>
    <xf numFmtId="0" fontId="0" fillId="0" borderId="97" xfId="0" applyBorder="1" applyAlignment="1">
      <alignment wrapText="1"/>
    </xf>
    <xf numFmtId="0" fontId="0" fillId="0" borderId="26" xfId="0" applyBorder="1" applyAlignment="1">
      <alignment wrapText="1"/>
    </xf>
    <xf numFmtId="0" fontId="0" fillId="0" borderId="37" xfId="0" applyBorder="1" applyAlignment="1">
      <alignment wrapText="1"/>
    </xf>
    <xf numFmtId="0" fontId="14" fillId="0" borderId="51" xfId="0" applyFont="1" applyBorder="1" applyAlignment="1" applyProtection="1">
      <alignment wrapText="1"/>
      <protection hidden="1"/>
    </xf>
    <xf numFmtId="0" fontId="14" fillId="0" borderId="113" xfId="0" applyFont="1" applyBorder="1" applyAlignment="1" applyProtection="1">
      <alignment wrapText="1"/>
      <protection hidden="1"/>
    </xf>
    <xf numFmtId="0" fontId="43" fillId="0" borderId="86" xfId="0" applyFont="1" applyBorder="1" applyAlignment="1" applyProtection="1">
      <alignment vertical="top" wrapText="1"/>
      <protection hidden="1"/>
    </xf>
    <xf numFmtId="0" fontId="6" fillId="0" borderId="52" xfId="0" applyFont="1" applyBorder="1" applyAlignment="1" applyProtection="1">
      <protection locked="0"/>
    </xf>
    <xf numFmtId="0" fontId="6" fillId="0" borderId="19" xfId="0" applyFont="1" applyBorder="1" applyAlignment="1" applyProtection="1">
      <protection locked="0"/>
    </xf>
    <xf numFmtId="0" fontId="1" fillId="0" borderId="0" xfId="0" applyFont="1" applyFill="1" applyBorder="1" applyAlignment="1" applyProtection="1">
      <alignment vertical="center" wrapText="1"/>
    </xf>
    <xf numFmtId="0" fontId="1" fillId="0" borderId="54" xfId="0" applyFont="1" applyFill="1" applyBorder="1" applyAlignment="1" applyProtection="1">
      <alignment vertical="center" wrapText="1"/>
    </xf>
    <xf numFmtId="0" fontId="4" fillId="3" borderId="16" xfId="0" applyFont="1" applyFill="1" applyBorder="1" applyAlignment="1" applyProtection="1">
      <alignment horizontal="center" vertical="center"/>
    </xf>
    <xf numFmtId="0" fontId="1" fillId="0" borderId="25" xfId="0" applyFont="1" applyFill="1" applyBorder="1" applyAlignment="1" applyProtection="1">
      <alignment horizontal="center"/>
    </xf>
    <xf numFmtId="0" fontId="1" fillId="0" borderId="37" xfId="0" applyFont="1" applyFill="1" applyBorder="1" applyAlignment="1" applyProtection="1">
      <alignment horizontal="center"/>
    </xf>
    <xf numFmtId="0" fontId="39" fillId="0" borderId="86" xfId="0" applyFont="1" applyBorder="1"/>
    <xf numFmtId="0" fontId="0" fillId="0" borderId="34" xfId="0" applyFill="1" applyBorder="1" applyAlignment="1">
      <alignment horizontal="center" vertical="center"/>
    </xf>
    <xf numFmtId="0" fontId="0" fillId="0" borderId="39" xfId="0" applyFill="1" applyBorder="1" applyAlignment="1">
      <alignment horizontal="center" vertical="center"/>
    </xf>
    <xf numFmtId="0" fontId="6" fillId="0" borderId="57" xfId="0" applyFont="1" applyFill="1" applyBorder="1" applyAlignment="1">
      <alignment horizontal="center"/>
    </xf>
    <xf numFmtId="0" fontId="6" fillId="0" borderId="58" xfId="0" applyFont="1" applyFill="1" applyBorder="1" applyAlignment="1">
      <alignment horizontal="center"/>
    </xf>
    <xf numFmtId="0" fontId="6" fillId="0" borderId="59" xfId="0" applyFont="1" applyFill="1" applyBorder="1" applyAlignment="1">
      <alignment horizontal="center"/>
    </xf>
    <xf numFmtId="0" fontId="0" fillId="0" borderId="25" xfId="0" applyBorder="1" applyProtection="1">
      <protection locked="0"/>
    </xf>
    <xf numFmtId="0" fontId="0" fillId="0" borderId="26" xfId="0" applyBorder="1" applyProtection="1">
      <protection locked="0"/>
    </xf>
    <xf numFmtId="0" fontId="0" fillId="0" borderId="37" xfId="0" applyBorder="1" applyProtection="1">
      <protection locked="0"/>
    </xf>
    <xf numFmtId="0" fontId="0" fillId="0" borderId="97" xfId="0" applyFill="1" applyBorder="1" applyAlignment="1">
      <alignment vertical="top"/>
    </xf>
    <xf numFmtId="0" fontId="0" fillId="0" borderId="98" xfId="0" applyFill="1" applyBorder="1" applyAlignment="1">
      <alignment vertical="top"/>
    </xf>
    <xf numFmtId="0" fontId="0" fillId="16" borderId="96" xfId="0" applyFill="1" applyBorder="1" applyAlignment="1">
      <alignment horizontal="center"/>
    </xf>
    <xf numFmtId="0" fontId="0" fillId="16" borderId="130" xfId="0" applyFill="1" applyBorder="1" applyAlignment="1">
      <alignment horizontal="center"/>
    </xf>
    <xf numFmtId="0" fontId="0" fillId="16" borderId="131" xfId="0" applyFill="1" applyBorder="1" applyAlignment="1">
      <alignment horizontal="center"/>
    </xf>
    <xf numFmtId="0" fontId="6" fillId="12" borderId="7" xfId="0" applyFont="1" applyFill="1" applyBorder="1" applyAlignment="1">
      <alignment horizontal="center" vertical="center"/>
    </xf>
    <xf numFmtId="0" fontId="25" fillId="7" borderId="25" xfId="0" applyFont="1" applyFill="1" applyBorder="1" applyAlignment="1">
      <alignment horizontal="center"/>
    </xf>
    <xf numFmtId="0" fontId="25" fillId="7" borderId="26" xfId="0" applyFont="1" applyFill="1" applyBorder="1" applyAlignment="1">
      <alignment horizontal="center"/>
    </xf>
    <xf numFmtId="0" fontId="25" fillId="7" borderId="37" xfId="0" applyFont="1" applyFill="1" applyBorder="1" applyAlignment="1">
      <alignment horizontal="center"/>
    </xf>
    <xf numFmtId="0" fontId="6" fillId="0" borderId="0" xfId="0" applyFont="1" applyFill="1" applyBorder="1" applyAlignment="1">
      <alignment horizontal="center"/>
    </xf>
    <xf numFmtId="0" fontId="1" fillId="0" borderId="7" xfId="0" applyFont="1" applyBorder="1" applyAlignment="1"/>
    <xf numFmtId="0" fontId="0" fillId="0" borderId="7" xfId="0" applyBorder="1" applyAlignment="1"/>
    <xf numFmtId="0" fontId="6" fillId="7" borderId="7" xfId="0" applyFont="1" applyFill="1" applyBorder="1" applyAlignment="1">
      <alignment horizontal="center"/>
    </xf>
    <xf numFmtId="0" fontId="6" fillId="5" borderId="25" xfId="0" applyFont="1" applyFill="1" applyBorder="1" applyAlignment="1" applyProtection="1">
      <alignment horizontal="center" vertical="top"/>
      <protection hidden="1"/>
    </xf>
    <xf numFmtId="0" fontId="6" fillId="5" borderId="26" xfId="0" applyFont="1" applyFill="1" applyBorder="1" applyAlignment="1" applyProtection="1">
      <alignment horizontal="center" vertical="top"/>
      <protection hidden="1"/>
    </xf>
    <xf numFmtId="0" fontId="6" fillId="5" borderId="37" xfId="0" applyFont="1" applyFill="1" applyBorder="1" applyAlignment="1" applyProtection="1">
      <alignment horizontal="center" vertical="top"/>
      <protection hidden="1"/>
    </xf>
    <xf numFmtId="0" fontId="6" fillId="5" borderId="7" xfId="0" applyFont="1" applyFill="1" applyBorder="1" applyAlignment="1" applyProtection="1">
      <alignment horizontal="center" vertical="top"/>
      <protection hidden="1"/>
    </xf>
    <xf numFmtId="0" fontId="26" fillId="9" borderId="22" xfId="0" applyFont="1" applyFill="1" applyBorder="1" applyAlignment="1">
      <alignment horizontal="center"/>
    </xf>
    <xf numFmtId="0" fontId="1" fillId="0" borderId="7" xfId="0" applyFont="1" applyBorder="1"/>
    <xf numFmtId="0" fontId="0" fillId="0" borderId="7" xfId="0" applyBorder="1"/>
    <xf numFmtId="0" fontId="6" fillId="2" borderId="0" xfId="0" applyFont="1" applyFill="1" applyAlignment="1">
      <alignment horizontal="center"/>
    </xf>
    <xf numFmtId="0" fontId="1" fillId="0" borderId="104" xfId="0" applyFont="1" applyBorder="1" applyAlignment="1" applyProtection="1">
      <alignment vertical="top" wrapText="1"/>
      <protection locked="0"/>
    </xf>
    <xf numFmtId="0" fontId="0" fillId="0" borderId="105" xfId="0" applyBorder="1" applyAlignment="1" applyProtection="1">
      <alignment vertical="top" wrapText="1"/>
      <protection locked="0"/>
    </xf>
    <xf numFmtId="0" fontId="0" fillId="0" borderId="106" xfId="0" applyBorder="1" applyAlignment="1" applyProtection="1">
      <alignment vertical="top" wrapText="1"/>
      <protection locked="0"/>
    </xf>
    <xf numFmtId="0" fontId="1" fillId="0" borderId="99" xfId="0" applyFont="1" applyBorder="1" applyAlignment="1" applyProtection="1">
      <alignment vertical="top" wrapText="1"/>
      <protection locked="0"/>
    </xf>
    <xf numFmtId="164" fontId="3" fillId="0" borderId="0" xfId="1" applyNumberFormat="1" applyFont="1" applyFill="1" applyBorder="1" applyAlignment="1">
      <alignment horizontal="right" wrapText="1"/>
    </xf>
    <xf numFmtId="0" fontId="0" fillId="0" borderId="0" xfId="0" applyAlignment="1">
      <alignment wrapText="1"/>
    </xf>
  </cellXfs>
  <cellStyles count="4">
    <cellStyle name="Comma" xfId="3" builtinId="3"/>
    <cellStyle name="Currency" xfId="1" builtinId="4"/>
    <cellStyle name="Normal" xfId="0" builtinId="0"/>
    <cellStyle name="Percent" xfId="2" builtinId="5"/>
  </cellStyles>
  <dxfs count="129">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FF0000"/>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5"/>
        </patternFill>
      </fill>
      <border>
        <left style="thin">
          <color indexed="64"/>
        </left>
        <right style="thin">
          <color indexed="64"/>
        </right>
        <top style="thin">
          <color indexed="64"/>
        </top>
        <bottom style="thin">
          <color indexed="64"/>
        </bottom>
      </border>
    </dxf>
    <dxf>
      <fill>
        <patternFill>
          <bgColor indexed="43"/>
        </patternFill>
      </fill>
    </dxf>
    <dxf>
      <fill>
        <patternFill>
          <bgColor indexed="43"/>
        </patternFill>
      </fill>
    </dxf>
    <dxf>
      <fill>
        <patternFill>
          <bgColor indexed="43"/>
        </patternFill>
      </fill>
    </dxf>
    <dxf>
      <fill>
        <patternFill>
          <bgColor rgb="FFFFFF99"/>
        </patternFill>
      </fill>
    </dxf>
    <dxf>
      <fill>
        <patternFill>
          <bgColor indexed="43"/>
        </patternFill>
      </fill>
    </dxf>
    <dxf>
      <font>
        <color theme="9"/>
      </font>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FFF99"/>
        </patternFill>
      </fill>
    </dxf>
    <dxf>
      <fill>
        <patternFill>
          <bgColor indexed="43"/>
        </patternFill>
      </fill>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rgb="FFFFFF99"/>
        </patternFill>
      </fill>
    </dxf>
    <dxf>
      <fill>
        <patternFill>
          <bgColor indexed="43"/>
        </patternFill>
      </fill>
    </dxf>
    <dxf>
      <fill>
        <patternFill>
          <bgColor rgb="FFFFFF99"/>
        </patternFill>
      </fill>
      <border>
        <left style="thin">
          <color rgb="FF0000FF"/>
        </left>
        <right style="thin">
          <color rgb="FF0000FF"/>
        </right>
        <top style="thin">
          <color rgb="FF0000FF"/>
        </top>
        <bottom style="thin">
          <color rgb="FF0000FF"/>
        </bottom>
      </border>
    </dxf>
    <dxf>
      <fill>
        <patternFill>
          <bgColor rgb="FFFFFF99"/>
        </patternFill>
      </fill>
      <border>
        <left style="thin">
          <color rgb="FF0000FF"/>
        </left>
        <right style="thin">
          <color rgb="FF0000FF"/>
        </right>
        <top style="thin">
          <color rgb="FF0000FF"/>
        </top>
        <bottom style="thin">
          <color rgb="FF0000FF"/>
        </bottom>
      </border>
    </dxf>
    <dxf>
      <fill>
        <patternFill>
          <bgColor rgb="FFFFFF99"/>
        </patternFill>
      </fill>
      <border>
        <left style="thin">
          <color rgb="FF0000FF"/>
        </left>
        <right style="thin">
          <color rgb="FF0000FF"/>
        </right>
        <top style="thin">
          <color rgb="FF0000FF"/>
        </top>
        <bottom style="thin">
          <color rgb="FF0000FF"/>
        </bottom>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border>
        <left style="thin">
          <color indexed="64"/>
        </left>
        <right style="thin">
          <color indexed="64"/>
        </right>
        <top style="thin">
          <color indexed="64"/>
        </top>
      </border>
    </dxf>
    <dxf>
      <fill>
        <patternFill patternType="none">
          <bgColor indexed="65"/>
        </patternFill>
      </fill>
      <border>
        <left/>
        <right style="thin">
          <color indexed="64"/>
        </right>
        <top style="thin">
          <color indexed="64"/>
        </top>
        <bottom/>
      </border>
    </dxf>
    <dxf>
      <border>
        <right style="thin">
          <color indexed="64"/>
        </right>
        <top style="thin">
          <color indexed="64"/>
        </top>
      </border>
    </dxf>
    <dxf>
      <border>
        <left style="thin">
          <color indexed="12"/>
        </left>
        <right style="thin">
          <color indexed="12"/>
        </right>
        <top style="thin">
          <color indexed="12"/>
        </top>
        <bottom style="thin">
          <color indexed="12"/>
        </bottom>
      </border>
    </dxf>
    <dxf>
      <fill>
        <patternFill>
          <bgColor indexed="43"/>
        </patternFill>
      </fill>
      <border>
        <left style="thin">
          <color indexed="12"/>
        </left>
        <right style="thin">
          <color indexed="12"/>
        </right>
        <top style="thin">
          <color indexed="12"/>
        </top>
        <bottom style="thin">
          <color indexed="12"/>
        </bottom>
      </border>
    </dxf>
    <dxf>
      <fill>
        <patternFill patternType="none">
          <bgColor indexed="65"/>
        </patternFill>
      </fill>
      <border>
        <left style="thin">
          <color indexed="12"/>
        </left>
        <right style="thin">
          <color indexed="12"/>
        </right>
        <top style="thin">
          <color indexed="12"/>
        </top>
        <bottom style="thin">
          <color indexed="12"/>
        </bottom>
      </border>
    </dxf>
    <dxf>
      <fill>
        <patternFill>
          <bgColor indexed="43"/>
        </patternFill>
      </fill>
      <border>
        <left style="thin">
          <color indexed="12"/>
        </left>
        <right style="thin">
          <color indexed="12"/>
        </right>
        <top style="thin">
          <color indexed="12"/>
        </top>
        <bottom style="thin">
          <color indexed="12"/>
        </bottom>
      </border>
    </dxf>
    <dxf>
      <border>
        <left style="thin">
          <color indexed="12"/>
        </left>
        <right style="thin">
          <color indexed="12"/>
        </right>
        <top style="thin">
          <color indexed="12"/>
        </top>
        <bottom style="thin">
          <color indexed="12"/>
        </bottom>
      </border>
    </dxf>
    <dxf>
      <fill>
        <patternFill>
          <bgColor indexed="43"/>
        </patternFill>
      </fill>
      <border>
        <left style="thin">
          <color indexed="12"/>
        </left>
        <right style="thin">
          <color indexed="12"/>
        </right>
        <top style="thin">
          <color indexed="12"/>
        </top>
        <bottom style="thin">
          <color indexed="12"/>
        </bottom>
      </border>
    </dxf>
    <dxf>
      <fill>
        <patternFill>
          <bgColor indexed="9"/>
        </patternFill>
      </fill>
      <border>
        <left style="thin">
          <color indexed="12"/>
        </left>
        <right style="thin">
          <color indexed="12"/>
        </right>
        <top style="thin">
          <color indexed="12"/>
        </top>
        <bottom style="thin">
          <color indexed="12"/>
        </bottom>
      </border>
    </dxf>
    <dxf>
      <fill>
        <patternFill>
          <bgColor indexed="9"/>
        </patternFill>
      </fill>
      <border>
        <left style="thin">
          <color indexed="12"/>
        </left>
        <right style="thin">
          <color indexed="12"/>
        </right>
        <top style="thin">
          <color indexed="12"/>
        </top>
        <bottom style="thin">
          <color indexed="12"/>
        </bottom>
      </border>
    </dxf>
    <dxf>
      <border>
        <left style="thin">
          <color indexed="12"/>
        </left>
        <right style="thin">
          <color indexed="12"/>
        </right>
        <top style="thin">
          <color indexed="12"/>
        </top>
        <bottom style="thin">
          <color indexed="12"/>
        </bottom>
      </border>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FFF99"/>
        </patternFill>
      </fill>
    </dxf>
    <dxf>
      <fill>
        <patternFill>
          <bgColor rgb="FFFFFF99"/>
        </patternFill>
      </fill>
    </dxf>
    <dxf>
      <fill>
        <patternFill>
          <bgColor rgb="FFFFFF99"/>
        </patternFill>
      </fill>
    </dxf>
    <dxf>
      <font>
        <color rgb="FFFF0000"/>
      </font>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ont>
        <b/>
        <i val="0"/>
        <condense val="0"/>
        <extend val="0"/>
        <color indexed="10"/>
      </font>
    </dxf>
    <dxf>
      <fill>
        <patternFill>
          <bgColor indexed="45"/>
        </patternFill>
      </fill>
    </dxf>
    <dxf>
      <fill>
        <patternFill>
          <bgColor indexed="45"/>
        </patternFill>
      </fill>
      <border>
        <left style="thin">
          <color indexed="64"/>
        </left>
        <right style="thin">
          <color indexed="64"/>
        </right>
        <top style="thin">
          <color indexed="64"/>
        </top>
        <bottom style="thin">
          <color indexed="64"/>
        </bottom>
      </border>
    </dxf>
    <dxf>
      <font>
        <b/>
        <i val="0"/>
        <condense val="0"/>
        <extend val="0"/>
        <color indexed="10"/>
      </font>
    </dxf>
    <dxf>
      <font>
        <color theme="9"/>
      </font>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border>
        <right style="thin">
          <color auto="1"/>
        </right>
        <top style="thin">
          <color auto="1"/>
        </top>
        <vertical/>
        <horizontal/>
      </border>
    </dxf>
    <dxf>
      <fill>
        <patternFill>
          <bgColor rgb="FFFFFF99"/>
        </patternFill>
      </fill>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indexed="43"/>
        </patternFill>
      </fill>
    </dxf>
    <dxf>
      <fill>
        <patternFill>
          <bgColor rgb="FFFFFF99"/>
        </patternFill>
      </fill>
      <border>
        <left style="thin">
          <color rgb="FF0000FF"/>
        </left>
        <right style="thin">
          <color rgb="FF0000FF"/>
        </right>
        <top style="thin">
          <color rgb="FF0000FF"/>
        </top>
        <bottom style="thin">
          <color rgb="FF0000FF"/>
        </bottom>
      </border>
    </dxf>
    <dxf>
      <fill>
        <patternFill>
          <bgColor rgb="FFFFFF99"/>
        </patternFill>
      </fill>
      <border>
        <left style="thin">
          <color rgb="FF0000FF"/>
        </left>
        <right style="thin">
          <color rgb="FF0000FF"/>
        </right>
        <top style="thin">
          <color rgb="FF0000FF"/>
        </top>
        <bottom style="thin">
          <color rgb="FF0000FF"/>
        </bottom>
      </border>
    </dxf>
    <dxf>
      <fill>
        <patternFill>
          <bgColor rgb="FFFFFF99"/>
        </patternFill>
      </fill>
      <border>
        <left style="thin">
          <color rgb="FF0000FF"/>
        </left>
        <right style="thin">
          <color rgb="FF0000FF"/>
        </right>
        <top style="thin">
          <color rgb="FF0000FF"/>
        </top>
        <bottom style="thin">
          <color rgb="FF0000FF"/>
        </bottom>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border>
        <left style="thin">
          <color indexed="12"/>
        </left>
        <right style="thin">
          <color indexed="12"/>
        </right>
        <top style="thin">
          <color indexed="12"/>
        </top>
        <bottom style="thin">
          <color indexed="12"/>
        </bottom>
      </border>
    </dxf>
    <dxf>
      <fill>
        <patternFill>
          <bgColor indexed="43"/>
        </patternFill>
      </fill>
      <border>
        <left style="thin">
          <color indexed="12"/>
        </left>
        <right style="thin">
          <color indexed="12"/>
        </right>
        <top style="thin">
          <color indexed="12"/>
        </top>
        <bottom style="thin">
          <color indexed="12"/>
        </bottom>
      </border>
    </dxf>
    <dxf>
      <border>
        <left style="thin">
          <color indexed="12"/>
        </left>
        <right style="thin">
          <color indexed="12"/>
        </right>
        <top style="thin">
          <color indexed="12"/>
        </top>
        <bottom style="thin">
          <color indexed="12"/>
        </bottom>
      </border>
    </dxf>
    <dxf>
      <fill>
        <patternFill>
          <bgColor indexed="43"/>
        </patternFill>
      </fill>
      <border>
        <left style="thin">
          <color indexed="12"/>
        </left>
        <right style="thin">
          <color indexed="12"/>
        </right>
        <top style="thin">
          <color indexed="12"/>
        </top>
        <bottom style="thin">
          <color indexed="12"/>
        </bottom>
      </border>
    </dxf>
    <dxf>
      <fill>
        <patternFill>
          <bgColor indexed="43"/>
        </patternFill>
      </fill>
    </dxf>
    <dxf>
      <border>
        <right style="thin">
          <color indexed="64"/>
        </right>
        <top style="thin">
          <color indexed="64"/>
        </top>
      </border>
    </dxf>
    <dxf>
      <border>
        <left style="thin">
          <color indexed="12"/>
        </left>
        <right style="thin">
          <color indexed="12"/>
        </right>
        <top style="thin">
          <color indexed="12"/>
        </top>
        <bottom style="thin">
          <color indexed="12"/>
        </bottom>
      </border>
    </dxf>
    <dxf>
      <border>
        <left style="thin">
          <color indexed="12"/>
        </left>
        <right style="thin">
          <color indexed="12"/>
        </right>
        <top style="thin">
          <color indexed="12"/>
        </top>
        <bottom style="thin">
          <color indexed="12"/>
        </bottom>
      </border>
    </dxf>
    <dxf>
      <border>
        <left style="thin">
          <color indexed="12"/>
        </left>
        <right style="thin">
          <color indexed="12"/>
        </right>
        <top style="thin">
          <color indexed="12"/>
        </top>
        <bottom style="thin">
          <color indexed="12"/>
        </bottom>
      </border>
    </dxf>
    <dxf>
      <border>
        <right style="thin">
          <color indexed="64"/>
        </right>
        <top style="thin">
          <color indexed="64"/>
        </top>
      </border>
    </dxf>
    <dxf>
      <fill>
        <patternFill>
          <bgColor indexed="44"/>
        </patternFill>
      </fill>
    </dxf>
    <dxf>
      <fill>
        <patternFill>
          <bgColor indexed="43"/>
        </patternFill>
      </fill>
    </dxf>
    <dxf>
      <border>
        <left style="thin">
          <color indexed="12"/>
        </left>
        <right style="thin">
          <color indexed="12"/>
        </right>
        <top style="thin">
          <color indexed="12"/>
        </top>
        <bottom style="thin">
          <color indexed="12"/>
        </bottom>
      </border>
    </dxf>
    <dxf>
      <fill>
        <patternFill>
          <bgColor indexed="43"/>
        </patternFill>
      </fill>
      <border>
        <left style="thin">
          <color indexed="12"/>
        </left>
        <right style="thin">
          <color indexed="12"/>
        </right>
        <top style="thin">
          <color indexed="12"/>
        </top>
        <bottom style="thin">
          <color indexed="12"/>
        </bottom>
      </border>
    </dxf>
    <dxf>
      <fill>
        <patternFill>
          <bgColor indexed="44"/>
        </patternFill>
      </fill>
    </dxf>
    <dxf>
      <fill>
        <patternFill>
          <bgColor indexed="44"/>
        </patternFill>
      </fill>
    </dxf>
    <dxf>
      <fill>
        <patternFill>
          <bgColor indexed="44"/>
        </patternFill>
      </fill>
    </dxf>
  </dxfs>
  <tableStyles count="0" defaultTableStyle="TableStyleMedium9" defaultPivotStyle="PivotStyleLight16"/>
  <colors>
    <mruColors>
      <color rgb="FFFFFF99"/>
      <color rgb="FFFF6600"/>
      <color rgb="FFFFCC99"/>
      <color rgb="FF0000FF"/>
      <color rgb="FF82D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257175</xdr:colOff>
      <xdr:row>0</xdr:row>
      <xdr:rowOff>85725</xdr:rowOff>
    </xdr:from>
    <xdr:to>
      <xdr:col>11</xdr:col>
      <xdr:colOff>238125</xdr:colOff>
      <xdr:row>8</xdr:row>
      <xdr:rowOff>85725</xdr:rowOff>
    </xdr:to>
    <xdr:sp macro="" textlink="">
      <xdr:nvSpPr>
        <xdr:cNvPr id="20534" name="AutoShape 1"/>
        <xdr:cNvSpPr>
          <a:spLocks noChangeArrowheads="1"/>
        </xdr:cNvSpPr>
      </xdr:nvSpPr>
      <xdr:spPr bwMode="auto">
        <a:xfrm>
          <a:off x="257175" y="85725"/>
          <a:ext cx="6762750" cy="1295400"/>
        </a:xfrm>
        <a:prstGeom prst="triangle">
          <a:avLst>
            <a:gd name="adj" fmla="val 50000"/>
          </a:avLst>
        </a:prstGeom>
        <a:solidFill>
          <a:srgbClr val="FFCC99"/>
        </a:solidFill>
        <a:ln w="15875">
          <a:solidFill>
            <a:srgbClr val="993300"/>
          </a:solidFill>
          <a:miter lim="800000"/>
          <a:headEnd/>
          <a:tailEnd/>
        </a:ln>
      </xdr:spPr>
    </xdr:sp>
    <xdr:clientData/>
  </xdr:twoCellAnchor>
  <xdr:twoCellAnchor>
    <xdr:from>
      <xdr:col>2</xdr:col>
      <xdr:colOff>0</xdr:colOff>
      <xdr:row>4</xdr:row>
      <xdr:rowOff>142875</xdr:rowOff>
    </xdr:from>
    <xdr:to>
      <xdr:col>10</xdr:col>
      <xdr:colOff>0</xdr:colOff>
      <xdr:row>8</xdr:row>
      <xdr:rowOff>38100</xdr:rowOff>
    </xdr:to>
    <xdr:sp macro="" textlink="">
      <xdr:nvSpPr>
        <xdr:cNvPr id="1026" name="Text Box 2"/>
        <xdr:cNvSpPr txBox="1">
          <a:spLocks noChangeArrowheads="1"/>
        </xdr:cNvSpPr>
      </xdr:nvSpPr>
      <xdr:spPr bwMode="auto">
        <a:xfrm>
          <a:off x="1219200" y="790575"/>
          <a:ext cx="4876800" cy="542925"/>
        </a:xfrm>
        <a:prstGeom prst="rect">
          <a:avLst/>
        </a:prstGeom>
        <a:noFill/>
        <a:ln w="9525">
          <a:noFill/>
          <a:miter lim="800000"/>
          <a:headEnd/>
          <a:tailEnd/>
        </a:ln>
      </xdr:spPr>
      <xdr:txBody>
        <a:bodyPr vertOverflow="clip" wrap="square" lIns="36576" tIns="32004" rIns="36576" bIns="0" anchor="t" upright="1"/>
        <a:lstStyle/>
        <a:p>
          <a:pPr algn="ctr" rtl="0">
            <a:defRPr sz="1000"/>
          </a:pPr>
          <a:r>
            <a:rPr lang="en-AU" sz="1600" b="1" i="0" strike="noStrike">
              <a:solidFill>
                <a:srgbClr val="000000"/>
              </a:solidFill>
              <a:latin typeface="Arial"/>
              <a:cs typeface="Arial"/>
            </a:rPr>
            <a:t>Home Loan, Investment Home Loan</a:t>
          </a:r>
        </a:p>
        <a:p>
          <a:pPr algn="ctr" rtl="0">
            <a:defRPr sz="1000"/>
          </a:pPr>
          <a:r>
            <a:rPr lang="en-AU" sz="1600" b="1" i="0" strike="noStrike">
              <a:solidFill>
                <a:srgbClr val="000000"/>
              </a:solidFill>
              <a:latin typeface="Arial"/>
              <a:cs typeface="Arial"/>
            </a:rPr>
            <a:t>and Line of Credit Calculator</a:t>
          </a:r>
        </a:p>
      </xdr:txBody>
    </xdr:sp>
    <xdr:clientData/>
  </xdr:twoCellAnchor>
  <xdr:twoCellAnchor>
    <xdr:from>
      <xdr:col>1</xdr:col>
      <xdr:colOff>266700</xdr:colOff>
      <xdr:row>19</xdr:row>
      <xdr:rowOff>9525</xdr:rowOff>
    </xdr:from>
    <xdr:to>
      <xdr:col>10</xdr:col>
      <xdr:colOff>266700</xdr:colOff>
      <xdr:row>23</xdr:row>
      <xdr:rowOff>0</xdr:rowOff>
    </xdr:to>
    <xdr:sp macro="[0]!cmdBasic" textlink="">
      <xdr:nvSpPr>
        <xdr:cNvPr id="1027" name="AutoShape 3"/>
        <xdr:cNvSpPr>
          <a:spLocks noChangeArrowheads="1"/>
        </xdr:cNvSpPr>
      </xdr:nvSpPr>
      <xdr:spPr bwMode="auto">
        <a:xfrm>
          <a:off x="876300" y="3086100"/>
          <a:ext cx="5562600" cy="638175"/>
        </a:xfrm>
        <a:prstGeom prst="bevel">
          <a:avLst>
            <a:gd name="adj" fmla="val 12500"/>
          </a:avLst>
        </a:prstGeom>
        <a:solidFill>
          <a:srgbClr val="CCFFCC"/>
        </a:solidFill>
        <a:ln w="9525">
          <a:solidFill>
            <a:srgbClr val="000000"/>
          </a:solidFill>
          <a:miter lim="800000"/>
          <a:headEnd/>
          <a:tailEnd/>
        </a:ln>
      </xdr:spPr>
      <xdr:txBody>
        <a:bodyPr vertOverflow="clip" wrap="square" lIns="45720" tIns="41148" rIns="45720" bIns="41148" anchor="ctr" upright="1"/>
        <a:lstStyle/>
        <a:p>
          <a:pPr algn="ctr" rtl="0">
            <a:defRPr sz="1000"/>
          </a:pPr>
          <a:r>
            <a:rPr lang="en-AU" sz="2000" b="1" i="0" strike="noStrike">
              <a:solidFill>
                <a:srgbClr val="000000"/>
              </a:solidFill>
              <a:latin typeface="Arial"/>
              <a:cs typeface="Arial"/>
            </a:rPr>
            <a:t>Basic Loan Repayment Calculator</a:t>
          </a:r>
        </a:p>
      </xdr:txBody>
    </xdr:sp>
    <xdr:clientData/>
  </xdr:twoCellAnchor>
  <xdr:twoCellAnchor>
    <xdr:from>
      <xdr:col>1</xdr:col>
      <xdr:colOff>257175</xdr:colOff>
      <xdr:row>9</xdr:row>
      <xdr:rowOff>9525</xdr:rowOff>
    </xdr:from>
    <xdr:to>
      <xdr:col>10</xdr:col>
      <xdr:colOff>257175</xdr:colOff>
      <xdr:row>12</xdr:row>
      <xdr:rowOff>152400</xdr:rowOff>
    </xdr:to>
    <xdr:sp macro="[0]!cmdCalculator" textlink="">
      <xdr:nvSpPr>
        <xdr:cNvPr id="1028" name="AutoShape 4"/>
        <xdr:cNvSpPr>
          <a:spLocks noChangeArrowheads="1"/>
        </xdr:cNvSpPr>
      </xdr:nvSpPr>
      <xdr:spPr bwMode="auto">
        <a:xfrm>
          <a:off x="866775" y="1466850"/>
          <a:ext cx="5486400" cy="628650"/>
        </a:xfrm>
        <a:prstGeom prst="bevel">
          <a:avLst>
            <a:gd name="adj" fmla="val 12500"/>
          </a:avLst>
        </a:prstGeom>
        <a:solidFill>
          <a:srgbClr val="FFFF99"/>
        </a:solidFill>
        <a:ln w="9525">
          <a:solidFill>
            <a:srgbClr val="000000"/>
          </a:solidFill>
          <a:miter lim="800000"/>
          <a:headEnd/>
          <a:tailEnd/>
        </a:ln>
      </xdr:spPr>
      <xdr:txBody>
        <a:bodyPr vertOverflow="clip" wrap="square" lIns="36576" tIns="27432" rIns="36576" bIns="0" anchor="t" upright="1"/>
        <a:lstStyle/>
        <a:p>
          <a:pPr algn="ctr" rtl="0">
            <a:defRPr sz="1000"/>
          </a:pPr>
          <a:r>
            <a:rPr lang="en-AU" sz="1400" b="1" i="0" strike="noStrike">
              <a:solidFill>
                <a:srgbClr val="000000"/>
              </a:solidFill>
              <a:latin typeface="Arial"/>
              <a:cs typeface="Arial"/>
            </a:rPr>
            <a:t>Home Loan, Investment Home Loan and Viridian Line of Credit Servicing Calculator</a:t>
          </a:r>
        </a:p>
      </xdr:txBody>
    </xdr:sp>
    <xdr:clientData/>
  </xdr:twoCellAnchor>
  <xdr:twoCellAnchor>
    <xdr:from>
      <xdr:col>1</xdr:col>
      <xdr:colOff>266700</xdr:colOff>
      <xdr:row>24</xdr:row>
      <xdr:rowOff>9525</xdr:rowOff>
    </xdr:from>
    <xdr:to>
      <xdr:col>10</xdr:col>
      <xdr:colOff>266700</xdr:colOff>
      <xdr:row>28</xdr:row>
      <xdr:rowOff>9525</xdr:rowOff>
    </xdr:to>
    <xdr:sp macro="[0]!cmdYTDIncome" textlink="">
      <xdr:nvSpPr>
        <xdr:cNvPr id="1029" name="AutoShape 5"/>
        <xdr:cNvSpPr>
          <a:spLocks noChangeArrowheads="1"/>
        </xdr:cNvSpPr>
      </xdr:nvSpPr>
      <xdr:spPr bwMode="auto">
        <a:xfrm>
          <a:off x="876300" y="3895725"/>
          <a:ext cx="5562600" cy="647700"/>
        </a:xfrm>
        <a:prstGeom prst="bevel">
          <a:avLst>
            <a:gd name="adj" fmla="val 12500"/>
          </a:avLst>
        </a:prstGeom>
        <a:solidFill>
          <a:srgbClr val="CCFFFF"/>
        </a:solidFill>
        <a:ln w="9525">
          <a:solidFill>
            <a:srgbClr val="000000"/>
          </a:solidFill>
          <a:miter lim="800000"/>
          <a:headEnd/>
          <a:tailEnd/>
        </a:ln>
      </xdr:spPr>
      <xdr:txBody>
        <a:bodyPr vertOverflow="clip" wrap="square" lIns="45720" tIns="41148" rIns="45720" bIns="41148" anchor="ctr" upright="1"/>
        <a:lstStyle/>
        <a:p>
          <a:pPr algn="ctr" rtl="0">
            <a:defRPr sz="1000"/>
          </a:pPr>
          <a:r>
            <a:rPr lang="en-AU" sz="2000" b="1" i="0" strike="noStrike">
              <a:solidFill>
                <a:srgbClr val="000000"/>
              </a:solidFill>
              <a:latin typeface="Arial"/>
              <a:cs typeface="Arial"/>
            </a:rPr>
            <a:t>Year to Date Income Calculator</a:t>
          </a:r>
        </a:p>
      </xdr:txBody>
    </xdr:sp>
    <xdr:clientData/>
  </xdr:twoCellAnchor>
  <xdr:twoCellAnchor>
    <xdr:from>
      <xdr:col>1</xdr:col>
      <xdr:colOff>266700</xdr:colOff>
      <xdr:row>14</xdr:row>
      <xdr:rowOff>9525</xdr:rowOff>
    </xdr:from>
    <xdr:to>
      <xdr:col>10</xdr:col>
      <xdr:colOff>266700</xdr:colOff>
      <xdr:row>18</xdr:row>
      <xdr:rowOff>0</xdr:rowOff>
    </xdr:to>
    <xdr:sp macro="[0]!cmdBridging" textlink="">
      <xdr:nvSpPr>
        <xdr:cNvPr id="16" name="AutoShape 3"/>
        <xdr:cNvSpPr>
          <a:spLocks noChangeArrowheads="1"/>
        </xdr:cNvSpPr>
      </xdr:nvSpPr>
      <xdr:spPr bwMode="auto">
        <a:xfrm>
          <a:off x="876300" y="2276475"/>
          <a:ext cx="5562600" cy="638175"/>
        </a:xfrm>
        <a:prstGeom prst="bevel">
          <a:avLst>
            <a:gd name="adj" fmla="val 12500"/>
          </a:avLst>
        </a:prstGeom>
        <a:solidFill>
          <a:schemeClr val="accent2">
            <a:lumMod val="40000"/>
            <a:lumOff val="60000"/>
          </a:schemeClr>
        </a:solidFill>
        <a:ln w="9525">
          <a:solidFill>
            <a:srgbClr val="000000"/>
          </a:solidFill>
          <a:miter lim="800000"/>
          <a:headEnd/>
          <a:tailEnd/>
        </a:ln>
      </xdr:spPr>
      <xdr:txBody>
        <a:bodyPr vertOverflow="clip" wrap="square" lIns="45720" tIns="41148" rIns="45720" bIns="41148"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AU" sz="2000" b="1" i="0" u="none" strike="noStrike" kern="0" cap="none" spc="0" normalizeH="0" baseline="0" noProof="0">
              <a:ln>
                <a:noFill/>
              </a:ln>
              <a:solidFill>
                <a:srgbClr val="000000"/>
              </a:solidFill>
              <a:effectLst/>
              <a:uLnTx/>
              <a:uFillTx/>
              <a:latin typeface="Arial"/>
              <a:cs typeface="Arial"/>
            </a:rPr>
            <a:t>Bridging Calculator</a:t>
          </a:r>
        </a:p>
      </xdr:txBody>
    </xdr:sp>
    <xdr:clientData/>
  </xdr:twoCellAnchor>
  <xdr:twoCellAnchor>
    <xdr:from>
      <xdr:col>1</xdr:col>
      <xdr:colOff>276225</xdr:colOff>
      <xdr:row>33</xdr:row>
      <xdr:rowOff>152400</xdr:rowOff>
    </xdr:from>
    <xdr:to>
      <xdr:col>10</xdr:col>
      <xdr:colOff>276225</xdr:colOff>
      <xdr:row>37</xdr:row>
      <xdr:rowOff>152400</xdr:rowOff>
    </xdr:to>
    <xdr:sp macro="[0]!cmdUSer" textlink="">
      <xdr:nvSpPr>
        <xdr:cNvPr id="8" name="AutoShape 5"/>
        <xdr:cNvSpPr>
          <a:spLocks noChangeArrowheads="1"/>
        </xdr:cNvSpPr>
      </xdr:nvSpPr>
      <xdr:spPr bwMode="auto">
        <a:xfrm>
          <a:off x="885825" y="5495925"/>
          <a:ext cx="5562600" cy="647700"/>
        </a:xfrm>
        <a:prstGeom prst="bevel">
          <a:avLst>
            <a:gd name="adj" fmla="val 12500"/>
          </a:avLst>
        </a:prstGeom>
        <a:solidFill>
          <a:schemeClr val="bg1">
            <a:lumMod val="85000"/>
          </a:schemeClr>
        </a:solidFill>
        <a:ln w="9525">
          <a:solidFill>
            <a:srgbClr val="000000"/>
          </a:solidFill>
          <a:miter lim="800000"/>
          <a:headEnd/>
          <a:tailEnd/>
        </a:ln>
      </xdr:spPr>
      <xdr:txBody>
        <a:bodyPr vertOverflow="clip" wrap="square" lIns="45720" tIns="41148" rIns="45720" bIns="41148" anchor="ctr" upright="1"/>
        <a:lstStyle/>
        <a:p>
          <a:pPr algn="ctr" rtl="0">
            <a:defRPr sz="1000"/>
          </a:pPr>
          <a:r>
            <a:rPr lang="en-AU" sz="2000" b="1" i="0" strike="noStrike">
              <a:solidFill>
                <a:srgbClr val="000000"/>
              </a:solidFill>
              <a:latin typeface="Arial"/>
              <a:cs typeface="Arial"/>
            </a:rPr>
            <a:t>User Guide</a:t>
          </a:r>
        </a:p>
      </xdr:txBody>
    </xdr:sp>
    <xdr:clientData/>
  </xdr:twoCellAnchor>
  <xdr:twoCellAnchor>
    <xdr:from>
      <xdr:col>1</xdr:col>
      <xdr:colOff>285750</xdr:colOff>
      <xdr:row>29</xdr:row>
      <xdr:rowOff>0</xdr:rowOff>
    </xdr:from>
    <xdr:to>
      <xdr:col>10</xdr:col>
      <xdr:colOff>266700</xdr:colOff>
      <xdr:row>33</xdr:row>
      <xdr:rowOff>0</xdr:rowOff>
    </xdr:to>
    <xdr:sp macro="[0]!cmdNetToGross" textlink="">
      <xdr:nvSpPr>
        <xdr:cNvPr id="9" name="AutoShape 4"/>
        <xdr:cNvSpPr>
          <a:spLocks noChangeArrowheads="1"/>
        </xdr:cNvSpPr>
      </xdr:nvSpPr>
      <xdr:spPr bwMode="auto">
        <a:xfrm>
          <a:off x="895350" y="4695825"/>
          <a:ext cx="5543550" cy="647700"/>
        </a:xfrm>
        <a:prstGeom prst="bevel">
          <a:avLst>
            <a:gd name="adj" fmla="val 12500"/>
          </a:avLst>
        </a:prstGeom>
        <a:solidFill>
          <a:srgbClr val="FFCC99"/>
        </a:solidFill>
        <a:ln w="9525">
          <a:solidFill>
            <a:srgbClr val="000000"/>
          </a:solidFill>
          <a:miter lim="800000"/>
          <a:headEnd/>
          <a:tailEnd/>
        </a:ln>
      </xdr:spPr>
      <xdr:txBody>
        <a:bodyPr vertOverflow="clip" wrap="square" lIns="36576" tIns="32004" rIns="36576" bIns="32004" anchor="ctr" upright="1"/>
        <a:lstStyle/>
        <a:p>
          <a:pPr marL="0" indent="0" algn="ctr" rtl="0">
            <a:defRPr sz="1000"/>
          </a:pPr>
          <a:r>
            <a:rPr lang="en-AU" sz="2000" b="1" i="0" strike="noStrike">
              <a:solidFill>
                <a:srgbClr val="000000"/>
              </a:solidFill>
              <a:latin typeface="Arial"/>
              <a:ea typeface="+mn-ea"/>
              <a:cs typeface="Arial"/>
            </a:rPr>
            <a:t>Net To Gross Calculator</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161925</xdr:colOff>
          <xdr:row>2</xdr:row>
          <xdr:rowOff>0</xdr:rowOff>
        </xdr:from>
        <xdr:to>
          <xdr:col>14</xdr:col>
          <xdr:colOff>0</xdr:colOff>
          <xdr:row>3</xdr:row>
          <xdr:rowOff>171450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143</xdr:row>
          <xdr:rowOff>76200</xdr:rowOff>
        </xdr:from>
        <xdr:to>
          <xdr:col>2</xdr:col>
          <xdr:colOff>447675</xdr:colOff>
          <xdr:row>145</xdr:row>
          <xdr:rowOff>85725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219075</xdr:rowOff>
        </xdr:from>
        <xdr:to>
          <xdr:col>1</xdr:col>
          <xdr:colOff>781050</xdr:colOff>
          <xdr:row>4</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933450</xdr:colOff>
          <xdr:row>3</xdr:row>
          <xdr:rowOff>0</xdr:rowOff>
        </xdr:from>
        <xdr:to>
          <xdr:col>1</xdr:col>
          <xdr:colOff>1724025</xdr:colOff>
          <xdr:row>4</xdr:row>
          <xdr:rowOff>142875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70</xdr:row>
          <xdr:rowOff>0</xdr:rowOff>
        </xdr:from>
        <xdr:to>
          <xdr:col>2</xdr:col>
          <xdr:colOff>914400</xdr:colOff>
          <xdr:row>71</xdr:row>
          <xdr:rowOff>114300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70</xdr:row>
          <xdr:rowOff>0</xdr:rowOff>
        </xdr:from>
        <xdr:to>
          <xdr:col>4</xdr:col>
          <xdr:colOff>609600</xdr:colOff>
          <xdr:row>71</xdr:row>
          <xdr:rowOff>123825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46</xdr:row>
          <xdr:rowOff>114300</xdr:rowOff>
        </xdr:from>
        <xdr:to>
          <xdr:col>12</xdr:col>
          <xdr:colOff>0</xdr:colOff>
          <xdr:row>47</xdr:row>
          <xdr:rowOff>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Negative Gearing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24</xdr:row>
          <xdr:rowOff>9525</xdr:rowOff>
        </xdr:from>
        <xdr:to>
          <xdr:col>5</xdr:col>
          <xdr:colOff>704850</xdr:colOff>
          <xdr:row>25</xdr:row>
          <xdr:rowOff>19050</xdr:rowOff>
        </xdr:to>
        <xdr:sp macro="" textlink="">
          <xdr:nvSpPr>
            <xdr:cNvPr id="3078" name="Object 6" hidden="1">
              <a:extLst>
                <a:ext uri="{63B3BB69-23CF-44E3-9099-C40C66FF867C}">
                  <a14:compatExt spid="_x0000_s307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24</xdr:row>
          <xdr:rowOff>9525</xdr:rowOff>
        </xdr:from>
        <xdr:to>
          <xdr:col>10</xdr:col>
          <xdr:colOff>285750</xdr:colOff>
          <xdr:row>25</xdr:row>
          <xdr:rowOff>19050</xdr:rowOff>
        </xdr:to>
        <xdr:sp macro="" textlink="">
          <xdr:nvSpPr>
            <xdr:cNvPr id="3079" name="Object 7" hidden="1">
              <a:extLst>
                <a:ext uri="{63B3BB69-23CF-44E3-9099-C40C66FF867C}">
                  <a14:compatExt spid="_x0000_s307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58</xdr:row>
          <xdr:rowOff>161925</xdr:rowOff>
        </xdr:from>
        <xdr:to>
          <xdr:col>12</xdr:col>
          <xdr:colOff>0</xdr:colOff>
          <xdr:row>60</xdr:row>
          <xdr:rowOff>19050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Negative Gearing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219075</xdr:colOff>
          <xdr:row>2</xdr:row>
          <xdr:rowOff>219075</xdr:rowOff>
        </xdr:from>
        <xdr:to>
          <xdr:col>11</xdr:col>
          <xdr:colOff>1009650</xdr:colOff>
          <xdr:row>4</xdr:row>
          <xdr:rowOff>152400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400" b="1" i="0" u="none" strike="noStrike" baseline="0">
                  <a:solidFill>
                    <a:srgbClr val="00000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70</xdr:row>
          <xdr:rowOff>0</xdr:rowOff>
        </xdr:from>
        <xdr:to>
          <xdr:col>5</xdr:col>
          <xdr:colOff>561975</xdr:colOff>
          <xdr:row>71</xdr:row>
          <xdr:rowOff>123825</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400" b="1" i="0" u="none" strike="noStrike" baseline="0">
                  <a:solidFill>
                    <a:srgbClr val="00000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xdr:row>
          <xdr:rowOff>9525</xdr:rowOff>
        </xdr:from>
        <xdr:to>
          <xdr:col>12</xdr:col>
          <xdr:colOff>0</xdr:colOff>
          <xdr:row>2</xdr:row>
          <xdr:rowOff>76200</xdr:rowOff>
        </xdr:to>
        <xdr:sp macro="" textlink="">
          <xdr:nvSpPr>
            <xdr:cNvPr id="3135" name="Object 63" hidden="1">
              <a:extLst>
                <a:ext uri="{63B3BB69-23CF-44E3-9099-C40C66FF867C}">
                  <a14:compatExt spid="_x0000_s313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19</xdr:row>
          <xdr:rowOff>66675</xdr:rowOff>
        </xdr:from>
        <xdr:to>
          <xdr:col>5</xdr:col>
          <xdr:colOff>704850</xdr:colOff>
          <xdr:row>20</xdr:row>
          <xdr:rowOff>76200</xdr:rowOff>
        </xdr:to>
        <xdr:sp macro="" textlink="">
          <xdr:nvSpPr>
            <xdr:cNvPr id="3136" name="Object 64" hidden="1">
              <a:extLst>
                <a:ext uri="{63B3BB69-23CF-44E3-9099-C40C66FF867C}">
                  <a14:compatExt spid="_x0000_s313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19</xdr:row>
          <xdr:rowOff>76200</xdr:rowOff>
        </xdr:from>
        <xdr:to>
          <xdr:col>10</xdr:col>
          <xdr:colOff>285750</xdr:colOff>
          <xdr:row>20</xdr:row>
          <xdr:rowOff>85725</xdr:rowOff>
        </xdr:to>
        <xdr:sp macro="" textlink="">
          <xdr:nvSpPr>
            <xdr:cNvPr id="3137" name="Object 65" hidden="1">
              <a:extLst>
                <a:ext uri="{63B3BB69-23CF-44E3-9099-C40C66FF867C}">
                  <a14:compatExt spid="_x0000_s31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5</xdr:row>
          <xdr:rowOff>57150</xdr:rowOff>
        </xdr:from>
        <xdr:to>
          <xdr:col>9</xdr:col>
          <xdr:colOff>847725</xdr:colOff>
          <xdr:row>7</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83</xdr:row>
          <xdr:rowOff>76200</xdr:rowOff>
        </xdr:from>
        <xdr:to>
          <xdr:col>2</xdr:col>
          <xdr:colOff>609600</xdr:colOff>
          <xdr:row>85</xdr:row>
          <xdr:rowOff>47625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1019175</xdr:colOff>
          <xdr:row>5</xdr:row>
          <xdr:rowOff>57150</xdr:rowOff>
        </xdr:from>
        <xdr:to>
          <xdr:col>11</xdr:col>
          <xdr:colOff>1009650</xdr:colOff>
          <xdr:row>6</xdr:row>
          <xdr:rowOff>152400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704850</xdr:colOff>
          <xdr:row>83</xdr:row>
          <xdr:rowOff>76200</xdr:rowOff>
        </xdr:from>
        <xdr:to>
          <xdr:col>4</xdr:col>
          <xdr:colOff>190500</xdr:colOff>
          <xdr:row>85</xdr:row>
          <xdr:rowOff>47625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xdr:row>
          <xdr:rowOff>9525</xdr:rowOff>
        </xdr:from>
        <xdr:to>
          <xdr:col>12</xdr:col>
          <xdr:colOff>0</xdr:colOff>
          <xdr:row>2</xdr:row>
          <xdr:rowOff>209550</xdr:rowOff>
        </xdr:to>
        <xdr:sp macro="" textlink="">
          <xdr:nvSpPr>
            <xdr:cNvPr id="4104" name="Object 8" hidden="1">
              <a:extLst>
                <a:ext uri="{63B3BB69-23CF-44E3-9099-C40C66FF867C}">
                  <a14:compatExt spid="_x0000_s410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657225</xdr:colOff>
          <xdr:row>2</xdr:row>
          <xdr:rowOff>95250</xdr:rowOff>
        </xdr:from>
        <xdr:to>
          <xdr:col>6</xdr:col>
          <xdr:colOff>514350</xdr:colOff>
          <xdr:row>2</xdr:row>
          <xdr:rowOff>409575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581025</xdr:colOff>
          <xdr:row>2</xdr:row>
          <xdr:rowOff>85725</xdr:rowOff>
        </xdr:from>
        <xdr:to>
          <xdr:col>8</xdr:col>
          <xdr:colOff>0</xdr:colOff>
          <xdr:row>2</xdr:row>
          <xdr:rowOff>400050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27</xdr:row>
          <xdr:rowOff>0</xdr:rowOff>
        </xdr:from>
        <xdr:to>
          <xdr:col>8</xdr:col>
          <xdr:colOff>0</xdr:colOff>
          <xdr:row>28</xdr:row>
          <xdr:rowOff>152400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29</xdr:row>
          <xdr:rowOff>47625</xdr:rowOff>
        </xdr:from>
        <xdr:to>
          <xdr:col>8</xdr:col>
          <xdr:colOff>0</xdr:colOff>
          <xdr:row>31</xdr:row>
          <xdr:rowOff>133350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1</xdr:row>
          <xdr:rowOff>9525</xdr:rowOff>
        </xdr:from>
        <xdr:to>
          <xdr:col>7</xdr:col>
          <xdr:colOff>933450</xdr:colOff>
          <xdr:row>2</xdr:row>
          <xdr:rowOff>28575</xdr:rowOff>
        </xdr:to>
        <xdr:sp macro="" textlink="">
          <xdr:nvSpPr>
            <xdr:cNvPr id="5130" name="Object 10" hidden="1">
              <a:extLst>
                <a:ext uri="{63B3BB69-23CF-44E3-9099-C40C66FF867C}">
                  <a14:compatExt spid="_x0000_s513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133350</xdr:colOff>
          <xdr:row>1</xdr:row>
          <xdr:rowOff>9525</xdr:rowOff>
        </xdr:from>
        <xdr:to>
          <xdr:col>10</xdr:col>
          <xdr:colOff>1066800</xdr:colOff>
          <xdr:row>2</xdr:row>
          <xdr:rowOff>76200</xdr:rowOff>
        </xdr:to>
        <xdr:sp macro="" textlink="">
          <xdr:nvSpPr>
            <xdr:cNvPr id="20481" name="Object 1" hidden="1">
              <a:extLst>
                <a:ext uri="{63B3BB69-23CF-44E3-9099-C40C66FF867C}">
                  <a14:compatExt spid="_x0000_s2048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56</xdr:row>
          <xdr:rowOff>9525</xdr:rowOff>
        </xdr:from>
        <xdr:to>
          <xdr:col>7</xdr:col>
          <xdr:colOff>323850</xdr:colOff>
          <xdr:row>57</xdr:row>
          <xdr:rowOff>114300</xdr:rowOff>
        </xdr:to>
        <xdr:sp macro="" textlink="">
          <xdr:nvSpPr>
            <xdr:cNvPr id="20482" name="Button 2" hidden="1">
              <a:extLst>
                <a:ext uri="{63B3BB69-23CF-44E3-9099-C40C66FF867C}">
                  <a14:compatExt spid="_x0000_s204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56</xdr:row>
          <xdr:rowOff>0</xdr:rowOff>
        </xdr:from>
        <xdr:to>
          <xdr:col>5</xdr:col>
          <xdr:colOff>762000</xdr:colOff>
          <xdr:row>57</xdr:row>
          <xdr:rowOff>104775</xdr:rowOff>
        </xdr:to>
        <xdr:sp macro="" textlink="">
          <xdr:nvSpPr>
            <xdr:cNvPr id="20483" name="Button 3" hidden="1">
              <a:extLst>
                <a:ext uri="{63B3BB69-23CF-44E3-9099-C40C66FF867C}">
                  <a14:compatExt spid="_x0000_s20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xdr:row>
          <xdr:rowOff>28575</xdr:rowOff>
        </xdr:from>
        <xdr:to>
          <xdr:col>5</xdr:col>
          <xdr:colOff>771525</xdr:colOff>
          <xdr:row>2</xdr:row>
          <xdr:rowOff>295275</xdr:rowOff>
        </xdr:to>
        <xdr:sp macro="" textlink="">
          <xdr:nvSpPr>
            <xdr:cNvPr id="20484" name="Button 4"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28575</xdr:rowOff>
        </xdr:from>
        <xdr:to>
          <xdr:col>7</xdr:col>
          <xdr:colOff>323850</xdr:colOff>
          <xdr:row>2</xdr:row>
          <xdr:rowOff>295275</xdr:rowOff>
        </xdr:to>
        <xdr:sp macro="" textlink="">
          <xdr:nvSpPr>
            <xdr:cNvPr id="20485" name="Button 5" hidden="1">
              <a:extLst>
                <a:ext uri="{63B3BB69-23CF-44E3-9099-C40C66FF867C}">
                  <a14:compatExt spid="_x0000_s204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Calculator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57150</xdr:colOff>
          <xdr:row>24</xdr:row>
          <xdr:rowOff>28575</xdr:rowOff>
        </xdr:from>
        <xdr:to>
          <xdr:col>9</xdr:col>
          <xdr:colOff>285750</xdr:colOff>
          <xdr:row>25</xdr:row>
          <xdr:rowOff>38100</xdr:rowOff>
        </xdr:to>
        <xdr:sp macro="" textlink="">
          <xdr:nvSpPr>
            <xdr:cNvPr id="13313" name="Object 1" hidden="1">
              <a:extLst>
                <a:ext uri="{63B3BB69-23CF-44E3-9099-C40C66FF867C}">
                  <a14:compatExt spid="_x0000_s1331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990600</xdr:colOff>
          <xdr:row>46</xdr:row>
          <xdr:rowOff>76200</xdr:rowOff>
        </xdr:from>
        <xdr:to>
          <xdr:col>12</xdr:col>
          <xdr:colOff>0</xdr:colOff>
          <xdr:row>46</xdr:row>
          <xdr:rowOff>352425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Negative Gearing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xdr:row>
          <xdr:rowOff>142875</xdr:rowOff>
        </xdr:from>
        <xdr:to>
          <xdr:col>1</xdr:col>
          <xdr:colOff>847725</xdr:colOff>
          <xdr:row>4</xdr:row>
          <xdr:rowOff>0</xdr:rowOff>
        </xdr:to>
        <xdr:sp macro="" textlink="">
          <xdr:nvSpPr>
            <xdr:cNvPr id="13316" name="Button 4" hidden="1">
              <a:extLst>
                <a:ext uri="{63B3BB69-23CF-44E3-9099-C40C66FF867C}">
                  <a14:compatExt spid="_x0000_s133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219075</xdr:colOff>
          <xdr:row>2</xdr:row>
          <xdr:rowOff>209550</xdr:rowOff>
        </xdr:from>
        <xdr:to>
          <xdr:col>11</xdr:col>
          <xdr:colOff>1057275</xdr:colOff>
          <xdr:row>4</xdr:row>
          <xdr:rowOff>66675</xdr:rowOff>
        </xdr:to>
        <xdr:sp macro="" textlink="">
          <xdr:nvSpPr>
            <xdr:cNvPr id="13317" name="Button 5" hidden="1">
              <a:extLst>
                <a:ext uri="{63B3BB69-23CF-44E3-9099-C40C66FF867C}">
                  <a14:compatExt spid="_x0000_s133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00000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1038225</xdr:colOff>
          <xdr:row>2</xdr:row>
          <xdr:rowOff>142875</xdr:rowOff>
        </xdr:from>
        <xdr:to>
          <xdr:col>1</xdr:col>
          <xdr:colOff>1828800</xdr:colOff>
          <xdr:row>4</xdr:row>
          <xdr:rowOff>0</xdr:rowOff>
        </xdr:to>
        <xdr:sp macro="" textlink="">
          <xdr:nvSpPr>
            <xdr:cNvPr id="13318" name="Button 6" hidden="1">
              <a:extLst>
                <a:ext uri="{63B3BB69-23CF-44E3-9099-C40C66FF867C}">
                  <a14:compatExt spid="_x0000_s133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77</xdr:row>
          <xdr:rowOff>95250</xdr:rowOff>
        </xdr:from>
        <xdr:to>
          <xdr:col>1</xdr:col>
          <xdr:colOff>838200</xdr:colOff>
          <xdr:row>79</xdr:row>
          <xdr:rowOff>76200</xdr:rowOff>
        </xdr:to>
        <xdr:sp macro="" textlink="">
          <xdr:nvSpPr>
            <xdr:cNvPr id="13319" name="Button 7" hidden="1">
              <a:extLst>
                <a:ext uri="{63B3BB69-23CF-44E3-9099-C40C66FF867C}">
                  <a14:compatExt spid="_x0000_s133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77</xdr:row>
          <xdr:rowOff>95250</xdr:rowOff>
        </xdr:from>
        <xdr:to>
          <xdr:col>3</xdr:col>
          <xdr:colOff>847725</xdr:colOff>
          <xdr:row>79</xdr:row>
          <xdr:rowOff>76200</xdr:rowOff>
        </xdr:to>
        <xdr:sp macro="" textlink="">
          <xdr:nvSpPr>
            <xdr:cNvPr id="13320" name="Button 8" hidden="1">
              <a:extLst>
                <a:ext uri="{63B3BB69-23CF-44E3-9099-C40C66FF867C}">
                  <a14:compatExt spid="_x0000_s133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00000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952500</xdr:colOff>
          <xdr:row>77</xdr:row>
          <xdr:rowOff>95250</xdr:rowOff>
        </xdr:from>
        <xdr:to>
          <xdr:col>1</xdr:col>
          <xdr:colOff>1790700</xdr:colOff>
          <xdr:row>79</xdr:row>
          <xdr:rowOff>76200</xdr:rowOff>
        </xdr:to>
        <xdr:sp macro="" textlink="">
          <xdr:nvSpPr>
            <xdr:cNvPr id="13321" name="Button 9" hidden="1">
              <a:extLst>
                <a:ext uri="{63B3BB69-23CF-44E3-9099-C40C66FF867C}">
                  <a14:compatExt spid="_x0000_s13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70</xdr:row>
          <xdr:rowOff>66675</xdr:rowOff>
        </xdr:from>
        <xdr:to>
          <xdr:col>7</xdr:col>
          <xdr:colOff>219075</xdr:colOff>
          <xdr:row>71</xdr:row>
          <xdr:rowOff>161925</xdr:rowOff>
        </xdr:to>
        <xdr:sp macro="" textlink="">
          <xdr:nvSpPr>
            <xdr:cNvPr id="13322" name="Button 10" hidden="1">
              <a:extLst>
                <a:ext uri="{63B3BB69-23CF-44E3-9099-C40C66FF867C}">
                  <a14:compatExt spid="_x0000_s133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Negative Gearing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xdr:row>
          <xdr:rowOff>9525</xdr:rowOff>
        </xdr:from>
        <xdr:to>
          <xdr:col>11</xdr:col>
          <xdr:colOff>1057275</xdr:colOff>
          <xdr:row>2</xdr:row>
          <xdr:rowOff>66675</xdr:rowOff>
        </xdr:to>
        <xdr:sp macro="" textlink="">
          <xdr:nvSpPr>
            <xdr:cNvPr id="13324" name="Object 12" hidden="1">
              <a:extLst>
                <a:ext uri="{63B3BB69-23CF-44E3-9099-C40C66FF867C}">
                  <a14:compatExt spid="_x0000_s1332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24</xdr:row>
          <xdr:rowOff>28575</xdr:rowOff>
        </xdr:from>
        <xdr:to>
          <xdr:col>4</xdr:col>
          <xdr:colOff>762000</xdr:colOff>
          <xdr:row>25</xdr:row>
          <xdr:rowOff>38100</xdr:rowOff>
        </xdr:to>
        <xdr:sp macro="" textlink="">
          <xdr:nvSpPr>
            <xdr:cNvPr id="13325" name="Object 13" hidden="1">
              <a:extLst>
                <a:ext uri="{63B3BB69-23CF-44E3-9099-C40C66FF867C}">
                  <a14:compatExt spid="_x0000_s133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19</xdr:row>
          <xdr:rowOff>76200</xdr:rowOff>
        </xdr:from>
        <xdr:to>
          <xdr:col>4</xdr:col>
          <xdr:colOff>762000</xdr:colOff>
          <xdr:row>20</xdr:row>
          <xdr:rowOff>85725</xdr:rowOff>
        </xdr:to>
        <xdr:sp macro="" textlink="">
          <xdr:nvSpPr>
            <xdr:cNvPr id="13326" name="Object 14" hidden="1">
              <a:extLst>
                <a:ext uri="{63B3BB69-23CF-44E3-9099-C40C66FF867C}">
                  <a14:compatExt spid="_x0000_s133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19</xdr:row>
          <xdr:rowOff>76200</xdr:rowOff>
        </xdr:from>
        <xdr:to>
          <xdr:col>9</xdr:col>
          <xdr:colOff>285750</xdr:colOff>
          <xdr:row>20</xdr:row>
          <xdr:rowOff>85725</xdr:rowOff>
        </xdr:to>
        <xdr:sp macro="" textlink="">
          <xdr:nvSpPr>
            <xdr:cNvPr id="13327" name="Object 15" hidden="1">
              <a:extLst>
                <a:ext uri="{63B3BB69-23CF-44E3-9099-C40C66FF867C}">
                  <a14:compatExt spid="_x0000_s1332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7</xdr:row>
          <xdr:rowOff>57150</xdr:rowOff>
        </xdr:from>
        <xdr:to>
          <xdr:col>1</xdr:col>
          <xdr:colOff>885825</xdr:colOff>
          <xdr:row>9</xdr:row>
          <xdr:rowOff>47625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9525</xdr:rowOff>
        </xdr:from>
        <xdr:to>
          <xdr:col>1</xdr:col>
          <xdr:colOff>1314450</xdr:colOff>
          <xdr:row>7</xdr:row>
          <xdr:rowOff>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Bridging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1390650</xdr:colOff>
          <xdr:row>40</xdr:row>
          <xdr:rowOff>66675</xdr:rowOff>
        </xdr:from>
        <xdr:to>
          <xdr:col>1</xdr:col>
          <xdr:colOff>2276475</xdr:colOff>
          <xdr:row>42</xdr:row>
          <xdr:rowOff>76200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66675</xdr:rowOff>
        </xdr:from>
        <xdr:to>
          <xdr:col>1</xdr:col>
          <xdr:colOff>1314450</xdr:colOff>
          <xdr:row>42</xdr:row>
          <xdr:rowOff>76200</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Bridging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0</xdr:row>
          <xdr:rowOff>180975</xdr:rowOff>
        </xdr:from>
        <xdr:to>
          <xdr:col>6</xdr:col>
          <xdr:colOff>1133475</xdr:colOff>
          <xdr:row>1</xdr:row>
          <xdr:rowOff>295275</xdr:rowOff>
        </xdr:to>
        <xdr:sp macro="" textlink="">
          <xdr:nvSpPr>
            <xdr:cNvPr id="11270" name="Object 6" hidden="1">
              <a:extLst>
                <a:ext uri="{63B3BB69-23CF-44E3-9099-C40C66FF867C}">
                  <a14:compatExt spid="_x0000_s1127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2</xdr:row>
          <xdr:rowOff>47625</xdr:rowOff>
        </xdr:from>
        <xdr:to>
          <xdr:col>2</xdr:col>
          <xdr:colOff>1019175</xdr:colOff>
          <xdr:row>2</xdr:row>
          <xdr:rowOff>314325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1095375</xdr:colOff>
          <xdr:row>2</xdr:row>
          <xdr:rowOff>47625</xdr:rowOff>
        </xdr:from>
        <xdr:to>
          <xdr:col>3</xdr:col>
          <xdr:colOff>1133475</xdr:colOff>
          <xdr:row>2</xdr:row>
          <xdr:rowOff>314325</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Bridging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45</xdr:row>
          <xdr:rowOff>38100</xdr:rowOff>
        </xdr:from>
        <xdr:to>
          <xdr:col>1</xdr:col>
          <xdr:colOff>990600</xdr:colOff>
          <xdr:row>47</xdr:row>
          <xdr:rowOff>0</xdr:rowOff>
        </xdr:to>
        <xdr:sp macro="" textlink="">
          <xdr:nvSpPr>
            <xdr:cNvPr id="12291" name="Button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45</xdr:row>
          <xdr:rowOff>28575</xdr:rowOff>
        </xdr:from>
        <xdr:to>
          <xdr:col>3</xdr:col>
          <xdr:colOff>0</xdr:colOff>
          <xdr:row>46</xdr:row>
          <xdr:rowOff>133350</xdr:rowOff>
        </xdr:to>
        <xdr:sp macro="" textlink="">
          <xdr:nvSpPr>
            <xdr:cNvPr id="12292" name="Button 4" hidden="1">
              <a:extLst>
                <a:ext uri="{63B3BB69-23CF-44E3-9099-C40C66FF867C}">
                  <a14:compatExt spid="_x0000_s12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Bridging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1</xdr:row>
          <xdr:rowOff>9525</xdr:rowOff>
        </xdr:from>
        <xdr:to>
          <xdr:col>5</xdr:col>
          <xdr:colOff>1133475</xdr:colOff>
          <xdr:row>2</xdr:row>
          <xdr:rowOff>66675</xdr:rowOff>
        </xdr:to>
        <xdr:sp macro="" textlink="">
          <xdr:nvSpPr>
            <xdr:cNvPr id="12295" name="Object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781050</xdr:colOff>
          <xdr:row>1</xdr:row>
          <xdr:rowOff>9525</xdr:rowOff>
        </xdr:from>
        <xdr:to>
          <xdr:col>11</xdr:col>
          <xdr:colOff>933450</xdr:colOff>
          <xdr:row>2</xdr:row>
          <xdr:rowOff>76200</xdr:rowOff>
        </xdr:to>
        <xdr:sp macro="" textlink="">
          <xdr:nvSpPr>
            <xdr:cNvPr id="21505" name="Object 1" hidden="1">
              <a:extLst>
                <a:ext uri="{63B3BB69-23CF-44E3-9099-C40C66FF867C}">
                  <a14:compatExt spid="_x0000_s215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62</xdr:row>
          <xdr:rowOff>9525</xdr:rowOff>
        </xdr:from>
        <xdr:to>
          <xdr:col>4</xdr:col>
          <xdr:colOff>771525</xdr:colOff>
          <xdr:row>63</xdr:row>
          <xdr:rowOff>114300</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62</xdr:row>
          <xdr:rowOff>9525</xdr:rowOff>
        </xdr:from>
        <xdr:to>
          <xdr:col>6</xdr:col>
          <xdr:colOff>381000</xdr:colOff>
          <xdr:row>63</xdr:row>
          <xdr:rowOff>114300</xdr:rowOff>
        </xdr:to>
        <xdr:sp macro="" textlink="">
          <xdr:nvSpPr>
            <xdr:cNvPr id="21507" name="Button 3"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Bridging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xdr:row>
          <xdr:rowOff>28575</xdr:rowOff>
        </xdr:from>
        <xdr:to>
          <xdr:col>7</xdr:col>
          <xdr:colOff>400050</xdr:colOff>
          <xdr:row>2</xdr:row>
          <xdr:rowOff>295275</xdr:rowOff>
        </xdr:to>
        <xdr:sp macro="" textlink="">
          <xdr:nvSpPr>
            <xdr:cNvPr id="21508" name="Button 4" hidden="1">
              <a:extLst>
                <a:ext uri="{63B3BB69-23CF-44E3-9099-C40C66FF867C}">
                  <a14:compatExt spid="_x0000_s215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Bridging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28575</xdr:rowOff>
        </xdr:from>
        <xdr:to>
          <xdr:col>5</xdr:col>
          <xdr:colOff>762000</xdr:colOff>
          <xdr:row>2</xdr:row>
          <xdr:rowOff>295275</xdr:rowOff>
        </xdr:to>
        <xdr:sp macro="" textlink="">
          <xdr:nvSpPr>
            <xdr:cNvPr id="21509" name="Button 5" hidden="1">
              <a:extLst>
                <a:ext uri="{63B3BB69-23CF-44E3-9099-C40C66FF867C}">
                  <a14:compatExt spid="_x0000_s215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180975</xdr:colOff>
          <xdr:row>14</xdr:row>
          <xdr:rowOff>95250</xdr:rowOff>
        </xdr:from>
        <xdr:to>
          <xdr:col>10</xdr:col>
          <xdr:colOff>133350</xdr:colOff>
          <xdr:row>14</xdr:row>
          <xdr:rowOff>361950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771525</xdr:colOff>
          <xdr:row>14</xdr:row>
          <xdr:rowOff>104775</xdr:rowOff>
        </xdr:from>
        <xdr:to>
          <xdr:col>9</xdr:col>
          <xdr:colOff>133350</xdr:colOff>
          <xdr:row>14</xdr:row>
          <xdr:rowOff>361950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46</xdr:row>
          <xdr:rowOff>95250</xdr:rowOff>
        </xdr:from>
        <xdr:to>
          <xdr:col>3</xdr:col>
          <xdr:colOff>38100</xdr:colOff>
          <xdr:row>48</xdr:row>
          <xdr:rowOff>28575</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46</xdr:row>
          <xdr:rowOff>85725</xdr:rowOff>
        </xdr:from>
        <xdr:to>
          <xdr:col>4</xdr:col>
          <xdr:colOff>66675</xdr:colOff>
          <xdr:row>48</xdr:row>
          <xdr:rowOff>28575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628650</xdr:colOff>
          <xdr:row>1</xdr:row>
          <xdr:rowOff>9525</xdr:rowOff>
        </xdr:from>
        <xdr:to>
          <xdr:col>11</xdr:col>
          <xdr:colOff>0</xdr:colOff>
          <xdr:row>2</xdr:row>
          <xdr:rowOff>76200</xdr:rowOff>
        </xdr:to>
        <xdr:sp macro="" textlink="">
          <xdr:nvSpPr>
            <xdr:cNvPr id="6157" name="Object 13" hidden="1">
              <a:extLst>
                <a:ext uri="{63B3BB69-23CF-44E3-9099-C40C66FF867C}">
                  <a14:compatExt spid="_x0000_s615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438150</xdr:colOff>
          <xdr:row>3</xdr:row>
          <xdr:rowOff>0</xdr:rowOff>
        </xdr:from>
        <xdr:to>
          <xdr:col>8</xdr:col>
          <xdr:colOff>0</xdr:colOff>
          <xdr:row>4</xdr:row>
          <xdr:rowOff>152400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428625</xdr:colOff>
          <xdr:row>6</xdr:row>
          <xdr:rowOff>0</xdr:rowOff>
        </xdr:from>
        <xdr:to>
          <xdr:col>8</xdr:col>
          <xdr:colOff>0</xdr:colOff>
          <xdr:row>7</xdr:row>
          <xdr:rowOff>142875</xdr:rowOff>
        </xdr:to>
        <xdr:sp macro="" textlink="">
          <xdr:nvSpPr>
            <xdr:cNvPr id="28674" name="Button 2" hidden="1">
              <a:extLst>
                <a:ext uri="{63B3BB69-23CF-44E3-9099-C40C66FF867C}">
                  <a14:compatExt spid="_x0000_s286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xdr:row>
          <xdr:rowOff>9525</xdr:rowOff>
        </xdr:from>
        <xdr:to>
          <xdr:col>7</xdr:col>
          <xdr:colOff>600075</xdr:colOff>
          <xdr:row>2</xdr:row>
          <xdr:rowOff>76200</xdr:rowOff>
        </xdr:to>
        <xdr:sp macro="" textlink="">
          <xdr:nvSpPr>
            <xdr:cNvPr id="28675" name="Object 3" hidden="1">
              <a:extLst>
                <a:ext uri="{63B3BB69-23CF-44E3-9099-C40C66FF867C}">
                  <a14:compatExt spid="_x0000_s2867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24</xdr:row>
          <xdr:rowOff>9525</xdr:rowOff>
        </xdr:from>
        <xdr:to>
          <xdr:col>3</xdr:col>
          <xdr:colOff>161925</xdr:colOff>
          <xdr:row>26</xdr:row>
          <xdr:rowOff>76200</xdr:rowOff>
        </xdr:to>
        <xdr:sp macro="" textlink="">
          <xdr:nvSpPr>
            <xdr:cNvPr id="8204" name="Button 12" hidden="1">
              <a:extLst>
                <a:ext uri="{63B3BB69-23CF-44E3-9099-C40C66FF867C}">
                  <a14:compatExt spid="_x0000_s82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Update Version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1123950</xdr:colOff>
          <xdr:row>34</xdr:row>
          <xdr:rowOff>9525</xdr:rowOff>
        </xdr:from>
        <xdr:to>
          <xdr:col>2</xdr:col>
          <xdr:colOff>600075</xdr:colOff>
          <xdr:row>35</xdr:row>
          <xdr:rowOff>104775</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34</xdr:row>
          <xdr:rowOff>9525</xdr:rowOff>
        </xdr:from>
        <xdr:to>
          <xdr:col>1</xdr:col>
          <xdr:colOff>1000125</xdr:colOff>
          <xdr:row>35</xdr:row>
          <xdr:rowOff>114300</xdr:rowOff>
        </xdr:to>
        <xdr:sp macro="" textlink="">
          <xdr:nvSpPr>
            <xdr:cNvPr id="32770" name="Button 2"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xdr:row>
          <xdr:rowOff>9525</xdr:rowOff>
        </xdr:from>
        <xdr:to>
          <xdr:col>5</xdr:col>
          <xdr:colOff>971550</xdr:colOff>
          <xdr:row>2</xdr:row>
          <xdr:rowOff>66675</xdr:rowOff>
        </xdr:to>
        <xdr:sp macro="" textlink="">
          <xdr:nvSpPr>
            <xdr:cNvPr id="32771" name="Object 3" hidden="1">
              <a:extLst>
                <a:ext uri="{63B3BB69-23CF-44E3-9099-C40C66FF867C}">
                  <a14:compatExt spid="_x0000_s3277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ctrlProp" Target="../ctrlProps/ctrlProp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2.bin"/><Relationship Id="rId13" Type="http://schemas.openxmlformats.org/officeDocument/2006/relationships/ctrlProp" Target="../ctrlProps/ctrlProp3.xml"/><Relationship Id="rId18" Type="http://schemas.openxmlformats.org/officeDocument/2006/relationships/ctrlProp" Target="../ctrlProps/ctrlProp8.xml"/><Relationship Id="rId3" Type="http://schemas.openxmlformats.org/officeDocument/2006/relationships/printerSettings" Target="../printerSettings/printerSettings8.bin"/><Relationship Id="rId7" Type="http://schemas.openxmlformats.org/officeDocument/2006/relationships/image" Target="../media/image1.emf"/><Relationship Id="rId12" Type="http://schemas.openxmlformats.org/officeDocument/2006/relationships/oleObject" Target="../embeddings/oleObject5.bin"/><Relationship Id="rId17" Type="http://schemas.openxmlformats.org/officeDocument/2006/relationships/ctrlProp" Target="../ctrlProps/ctrlProp7.xml"/><Relationship Id="rId2" Type="http://schemas.openxmlformats.org/officeDocument/2006/relationships/printerSettings" Target="../printerSettings/printerSettings7.bin"/><Relationship Id="rId16" Type="http://schemas.openxmlformats.org/officeDocument/2006/relationships/ctrlProp" Target="../ctrlProps/ctrlProp6.xml"/><Relationship Id="rId20" Type="http://schemas.openxmlformats.org/officeDocument/2006/relationships/ctrlProp" Target="../ctrlProps/ctrlProp10.xml"/><Relationship Id="rId1" Type="http://schemas.openxmlformats.org/officeDocument/2006/relationships/printerSettings" Target="../printerSettings/printerSettings6.bin"/><Relationship Id="rId6" Type="http://schemas.openxmlformats.org/officeDocument/2006/relationships/oleObject" Target="../embeddings/oleObject1.bin"/><Relationship Id="rId11" Type="http://schemas.openxmlformats.org/officeDocument/2006/relationships/oleObject" Target="../embeddings/oleObject4.bin"/><Relationship Id="rId5" Type="http://schemas.openxmlformats.org/officeDocument/2006/relationships/vmlDrawing" Target="../drawings/vmlDrawing2.vml"/><Relationship Id="rId15" Type="http://schemas.openxmlformats.org/officeDocument/2006/relationships/ctrlProp" Target="../ctrlProps/ctrlProp5.xml"/><Relationship Id="rId10" Type="http://schemas.openxmlformats.org/officeDocument/2006/relationships/image" Target="../media/image2.emf"/><Relationship Id="rId19" Type="http://schemas.openxmlformats.org/officeDocument/2006/relationships/ctrlProp" Target="../ctrlProps/ctrlProp9.xml"/><Relationship Id="rId4" Type="http://schemas.openxmlformats.org/officeDocument/2006/relationships/drawing" Target="../drawings/drawing3.xml"/><Relationship Id="rId9" Type="http://schemas.openxmlformats.org/officeDocument/2006/relationships/oleObject" Target="../embeddings/oleObject3.bin"/><Relationship Id="rId1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printerSettings" Target="../printerSettings/printerSettings11.bin"/><Relationship Id="rId7" Type="http://schemas.openxmlformats.org/officeDocument/2006/relationships/image" Target="../media/image2.emf"/><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oleObject" Target="../embeddings/oleObject6.bin"/><Relationship Id="rId11" Type="http://schemas.openxmlformats.org/officeDocument/2006/relationships/ctrlProp" Target="../ctrlProps/ctrlProp14.xml"/><Relationship Id="rId5" Type="http://schemas.openxmlformats.org/officeDocument/2006/relationships/vmlDrawing" Target="../drawings/vmlDrawing3.vml"/><Relationship Id="rId10" Type="http://schemas.openxmlformats.org/officeDocument/2006/relationships/ctrlProp" Target="../ctrlProps/ctrlProp13.xml"/><Relationship Id="rId4" Type="http://schemas.openxmlformats.org/officeDocument/2006/relationships/drawing" Target="../drawings/drawing4.xml"/><Relationship Id="rId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printerSettings" Target="../printerSettings/printerSettings14.bin"/><Relationship Id="rId7" Type="http://schemas.openxmlformats.org/officeDocument/2006/relationships/image" Target="../media/image2.emf"/><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oleObject" Target="../embeddings/oleObject7.bin"/><Relationship Id="rId11" Type="http://schemas.openxmlformats.org/officeDocument/2006/relationships/ctrlProp" Target="../ctrlProps/ctrlProp18.xml"/><Relationship Id="rId5" Type="http://schemas.openxmlformats.org/officeDocument/2006/relationships/vmlDrawing" Target="../drawings/vmlDrawing4.vml"/><Relationship Id="rId10" Type="http://schemas.openxmlformats.org/officeDocument/2006/relationships/ctrlProp" Target="../ctrlProps/ctrlProp17.xml"/><Relationship Id="rId4" Type="http://schemas.openxmlformats.org/officeDocument/2006/relationships/drawing" Target="../drawings/drawing5.xml"/><Relationship Id="rId9"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15.bin"/><Relationship Id="rId6" Type="http://schemas.openxmlformats.org/officeDocument/2006/relationships/ctrlProp" Target="../ctrlProps/ctrlProp19.xml"/><Relationship Id="rId5" Type="http://schemas.openxmlformats.org/officeDocument/2006/relationships/image" Target="../media/image2.emf"/><Relationship Id="rId4" Type="http://schemas.openxmlformats.org/officeDocument/2006/relationships/oleObject" Target="../embeddings/oleObject8.bin"/><Relationship Id="rId9"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11.bin"/><Relationship Id="rId13" Type="http://schemas.openxmlformats.org/officeDocument/2006/relationships/ctrlProp" Target="../ctrlProps/ctrlProp25.xml"/><Relationship Id="rId18" Type="http://schemas.openxmlformats.org/officeDocument/2006/relationships/ctrlProp" Target="../ctrlProps/ctrlProp30.xml"/><Relationship Id="rId3" Type="http://schemas.openxmlformats.org/officeDocument/2006/relationships/vmlDrawing" Target="../drawings/vmlDrawing6.vml"/><Relationship Id="rId7" Type="http://schemas.openxmlformats.org/officeDocument/2006/relationships/image" Target="../media/image2.emf"/><Relationship Id="rId12" Type="http://schemas.openxmlformats.org/officeDocument/2006/relationships/ctrlProp" Target="../ctrlProps/ctrlProp24.xml"/><Relationship Id="rId17" Type="http://schemas.openxmlformats.org/officeDocument/2006/relationships/ctrlProp" Target="../ctrlProps/ctrlProp29.xml"/><Relationship Id="rId2" Type="http://schemas.openxmlformats.org/officeDocument/2006/relationships/drawing" Target="../drawings/drawing7.xml"/><Relationship Id="rId16" Type="http://schemas.openxmlformats.org/officeDocument/2006/relationships/ctrlProp" Target="../ctrlProps/ctrlProp28.xml"/><Relationship Id="rId1" Type="http://schemas.openxmlformats.org/officeDocument/2006/relationships/printerSettings" Target="../printerSettings/printerSettings16.bin"/><Relationship Id="rId6" Type="http://schemas.openxmlformats.org/officeDocument/2006/relationships/oleObject" Target="../embeddings/oleObject10.bin"/><Relationship Id="rId11"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27.xml"/><Relationship Id="rId10" Type="http://schemas.openxmlformats.org/officeDocument/2006/relationships/oleObject" Target="../embeddings/oleObject13.bin"/><Relationship Id="rId4" Type="http://schemas.openxmlformats.org/officeDocument/2006/relationships/oleObject" Target="../embeddings/oleObject9.bin"/><Relationship Id="rId9" Type="http://schemas.openxmlformats.org/officeDocument/2006/relationships/oleObject" Target="../embeddings/oleObject12.bin"/><Relationship Id="rId1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7.vml"/><Relationship Id="rId7" Type="http://schemas.openxmlformats.org/officeDocument/2006/relationships/ctrlProp" Target="../ctrlProps/ctrlProp32.xml"/><Relationship Id="rId2" Type="http://schemas.openxmlformats.org/officeDocument/2006/relationships/drawing" Target="../drawings/drawing8.xml"/><Relationship Id="rId1" Type="http://schemas.openxmlformats.org/officeDocument/2006/relationships/printerSettings" Target="../printerSettings/printerSettings17.bin"/><Relationship Id="rId6" Type="http://schemas.openxmlformats.org/officeDocument/2006/relationships/ctrlProp" Target="../ctrlProps/ctrlProp31.xml"/><Relationship Id="rId5" Type="http://schemas.openxmlformats.org/officeDocument/2006/relationships/image" Target="../media/image2.emf"/><Relationship Id="rId4" Type="http://schemas.openxmlformats.org/officeDocument/2006/relationships/oleObject" Target="../embeddings/oleObject14.bin"/><Relationship Id="rId9" Type="http://schemas.openxmlformats.org/officeDocument/2006/relationships/ctrlProp" Target="../ctrlProps/ctrlProp3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8.vml"/><Relationship Id="rId7" Type="http://schemas.openxmlformats.org/officeDocument/2006/relationships/ctrlProp" Target="../ctrlProps/ctrlProp36.xml"/><Relationship Id="rId2" Type="http://schemas.openxmlformats.org/officeDocument/2006/relationships/drawing" Target="../drawings/drawing9.xml"/><Relationship Id="rId1" Type="http://schemas.openxmlformats.org/officeDocument/2006/relationships/printerSettings" Target="../printerSettings/printerSettings18.bin"/><Relationship Id="rId6" Type="http://schemas.openxmlformats.org/officeDocument/2006/relationships/ctrlProp" Target="../ctrlProps/ctrlProp35.xml"/><Relationship Id="rId5" Type="http://schemas.openxmlformats.org/officeDocument/2006/relationships/image" Target="../media/image2.emf"/><Relationship Id="rId4" Type="http://schemas.openxmlformats.org/officeDocument/2006/relationships/oleObject" Target="../embeddings/oleObject15.bin"/><Relationship Id="rId9" Type="http://schemas.openxmlformats.org/officeDocument/2006/relationships/ctrlProp" Target="../ctrlProps/ctrlProp3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vmlDrawing" Target="../drawings/vmlDrawing9.vml"/><Relationship Id="rId7" Type="http://schemas.openxmlformats.org/officeDocument/2006/relationships/ctrlProp" Target="../ctrlProps/ctrlProp40.xml"/><Relationship Id="rId2" Type="http://schemas.openxmlformats.org/officeDocument/2006/relationships/drawing" Target="../drawings/drawing10.xml"/><Relationship Id="rId1" Type="http://schemas.openxmlformats.org/officeDocument/2006/relationships/printerSettings" Target="../printerSettings/printerSettings19.bin"/><Relationship Id="rId6" Type="http://schemas.openxmlformats.org/officeDocument/2006/relationships/ctrlProp" Target="../ctrlProps/ctrlProp39.xml"/><Relationship Id="rId5" Type="http://schemas.openxmlformats.org/officeDocument/2006/relationships/image" Target="../media/image2.emf"/><Relationship Id="rId4" Type="http://schemas.openxmlformats.org/officeDocument/2006/relationships/oleObject" Target="../embeddings/oleObject16.bin"/><Relationship Id="rId9"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printerSettings" Target="../printerSettings/printerSettings22.bin"/><Relationship Id="rId7" Type="http://schemas.openxmlformats.org/officeDocument/2006/relationships/image" Target="../media/image2.emf"/><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oleObject" Target="../embeddings/oleObject17.bin"/><Relationship Id="rId11" Type="http://schemas.openxmlformats.org/officeDocument/2006/relationships/ctrlProp" Target="../ctrlProps/ctrlProp46.xml"/><Relationship Id="rId5" Type="http://schemas.openxmlformats.org/officeDocument/2006/relationships/vmlDrawing" Target="../drawings/vmlDrawing10.vml"/><Relationship Id="rId10" Type="http://schemas.openxmlformats.org/officeDocument/2006/relationships/ctrlProp" Target="../ctrlProps/ctrlProp45.xml"/><Relationship Id="rId4" Type="http://schemas.openxmlformats.org/officeDocument/2006/relationships/drawing" Target="../drawings/drawing11.xml"/><Relationship Id="rId9" Type="http://schemas.openxmlformats.org/officeDocument/2006/relationships/ctrlProp" Target="../ctrlProps/ctrlProp4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8.xml"/><Relationship Id="rId2" Type="http://schemas.openxmlformats.org/officeDocument/2006/relationships/drawing" Target="../drawings/drawing12.xml"/><Relationship Id="rId1" Type="http://schemas.openxmlformats.org/officeDocument/2006/relationships/printerSettings" Target="../printerSettings/printerSettings23.bin"/><Relationship Id="rId6" Type="http://schemas.openxmlformats.org/officeDocument/2006/relationships/ctrlProp" Target="../ctrlProps/ctrlProp47.xml"/><Relationship Id="rId5" Type="http://schemas.openxmlformats.org/officeDocument/2006/relationships/image" Target="../media/image2.emf"/><Relationship Id="rId4" Type="http://schemas.openxmlformats.org/officeDocument/2006/relationships/oleObject" Target="../embeddings/oleObject1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24.bin"/><Relationship Id="rId5" Type="http://schemas.openxmlformats.org/officeDocument/2006/relationships/comments" Target="../comments1.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5" Type="http://schemas.openxmlformats.org/officeDocument/2006/relationships/comments" Target="../comments2.xml"/><Relationship Id="rId4"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51.xml"/><Relationship Id="rId2" Type="http://schemas.openxmlformats.org/officeDocument/2006/relationships/drawing" Target="../drawings/drawing14.xml"/><Relationship Id="rId1" Type="http://schemas.openxmlformats.org/officeDocument/2006/relationships/printerSettings" Target="../printerSettings/printerSettings29.bin"/><Relationship Id="rId6" Type="http://schemas.openxmlformats.org/officeDocument/2006/relationships/ctrlProp" Target="../ctrlProps/ctrlProp50.xml"/><Relationship Id="rId5" Type="http://schemas.openxmlformats.org/officeDocument/2006/relationships/image" Target="../media/image2.emf"/><Relationship Id="rId4" Type="http://schemas.openxmlformats.org/officeDocument/2006/relationships/oleObject" Target="../embeddings/oleObject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L40"/>
  <sheetViews>
    <sheetView showGridLines="0" showRowColHeaders="0" tabSelected="1" zoomScaleNormal="100" workbookViewId="0">
      <selection activeCell="K12" sqref="K12"/>
    </sheetView>
  </sheetViews>
  <sheetFormatPr defaultRowHeight="12.75" x14ac:dyDescent="0.2"/>
  <cols>
    <col min="10" max="10" width="10.28515625" customWidth="1"/>
    <col min="12" max="12" width="7.7109375" customWidth="1"/>
  </cols>
  <sheetData>
    <row r="1" spans="1:12" x14ac:dyDescent="0.2">
      <c r="A1" s="1"/>
      <c r="B1" s="1"/>
      <c r="C1" s="1"/>
      <c r="D1" s="1"/>
      <c r="E1" s="1"/>
      <c r="F1" s="1"/>
      <c r="G1" s="1"/>
      <c r="H1" s="1"/>
      <c r="I1" s="1"/>
      <c r="J1" s="1"/>
      <c r="K1" s="2"/>
      <c r="L1" s="1"/>
    </row>
    <row r="2" spans="1:12" x14ac:dyDescent="0.2">
      <c r="A2" s="1"/>
      <c r="B2" s="1"/>
      <c r="C2" s="1"/>
      <c r="D2" s="1"/>
      <c r="E2" s="1"/>
      <c r="F2" s="1"/>
      <c r="G2" s="1"/>
      <c r="H2" s="1"/>
      <c r="I2" s="1"/>
      <c r="J2" s="1"/>
      <c r="K2" s="3"/>
      <c r="L2" s="1"/>
    </row>
    <row r="3" spans="1:12" x14ac:dyDescent="0.2">
      <c r="A3" s="1"/>
      <c r="B3" s="1"/>
      <c r="C3" s="1"/>
      <c r="D3" s="1"/>
      <c r="E3" s="1"/>
      <c r="F3" s="1"/>
      <c r="G3" s="1"/>
      <c r="H3" s="1"/>
      <c r="I3" s="3" t="s">
        <v>250</v>
      </c>
      <c r="J3" s="368">
        <f>Data!A25</f>
        <v>44232</v>
      </c>
      <c r="K3" s="1"/>
      <c r="L3" s="1"/>
    </row>
    <row r="4" spans="1:12" x14ac:dyDescent="0.2">
      <c r="A4" s="1"/>
      <c r="B4" s="1"/>
      <c r="C4" s="1"/>
      <c r="D4" s="1"/>
      <c r="E4" s="1"/>
      <c r="F4" s="1"/>
      <c r="G4" s="1"/>
      <c r="H4" s="1"/>
      <c r="I4" s="1"/>
      <c r="J4" s="1"/>
      <c r="K4" s="1"/>
      <c r="L4" s="1"/>
    </row>
    <row r="5" spans="1:12" x14ac:dyDescent="0.2">
      <c r="A5" s="1"/>
      <c r="B5" s="1"/>
      <c r="C5" s="1"/>
      <c r="D5" s="1"/>
      <c r="E5" s="1"/>
      <c r="F5" s="1"/>
      <c r="G5" s="1"/>
      <c r="H5" s="1"/>
      <c r="I5" s="1"/>
      <c r="J5" s="1"/>
      <c r="K5" s="1"/>
      <c r="L5" s="1"/>
    </row>
    <row r="6" spans="1:12" x14ac:dyDescent="0.2">
      <c r="A6" s="1"/>
      <c r="B6" s="1"/>
      <c r="C6" s="1"/>
      <c r="D6" s="1"/>
      <c r="E6" s="1"/>
      <c r="F6" s="1"/>
      <c r="G6" s="1"/>
      <c r="H6" s="1"/>
      <c r="I6" s="1"/>
      <c r="J6" s="1"/>
      <c r="K6" s="1"/>
      <c r="L6" s="1"/>
    </row>
    <row r="7" spans="1:12" x14ac:dyDescent="0.2">
      <c r="A7" s="1"/>
      <c r="B7" s="1"/>
      <c r="C7" s="1"/>
      <c r="D7" s="1"/>
      <c r="E7" s="1"/>
      <c r="F7" s="1"/>
      <c r="G7" s="1"/>
      <c r="H7" s="1"/>
      <c r="I7" s="1"/>
      <c r="J7" s="1"/>
      <c r="K7" s="1"/>
      <c r="L7" s="1"/>
    </row>
    <row r="8" spans="1:12" x14ac:dyDescent="0.2">
      <c r="A8" s="1"/>
      <c r="B8" s="1"/>
      <c r="C8" s="1"/>
      <c r="D8" s="1"/>
      <c r="E8" s="1"/>
      <c r="F8" s="1"/>
      <c r="G8" s="1"/>
      <c r="H8" s="1"/>
      <c r="I8" s="1"/>
      <c r="J8" s="1"/>
      <c r="K8" s="1"/>
      <c r="L8" s="1"/>
    </row>
    <row r="9" spans="1:12" x14ac:dyDescent="0.2">
      <c r="A9" s="1"/>
      <c r="B9" s="1"/>
      <c r="C9" s="1"/>
      <c r="D9" s="1"/>
      <c r="E9" s="1"/>
      <c r="F9" s="1"/>
      <c r="G9" s="1"/>
      <c r="H9" s="1"/>
      <c r="I9" s="1"/>
      <c r="J9" s="1"/>
      <c r="K9" s="1"/>
      <c r="L9" s="1"/>
    </row>
    <row r="10" spans="1:12" x14ac:dyDescent="0.2">
      <c r="A10" s="1"/>
      <c r="B10" s="1"/>
      <c r="C10" s="1"/>
      <c r="D10" s="1"/>
      <c r="E10" s="1"/>
      <c r="F10" s="1"/>
      <c r="G10" s="1"/>
      <c r="H10" s="1"/>
      <c r="I10" s="1"/>
      <c r="J10" s="1"/>
      <c r="K10" s="1"/>
      <c r="L10" s="1"/>
    </row>
    <row r="11" spans="1:12" x14ac:dyDescent="0.2">
      <c r="A11" s="1"/>
      <c r="B11" s="1"/>
      <c r="C11" s="1"/>
      <c r="D11" s="1"/>
      <c r="E11" s="1"/>
      <c r="F11" s="1"/>
      <c r="G11" s="1"/>
      <c r="H11" s="1"/>
      <c r="I11" s="1"/>
      <c r="J11" s="1"/>
      <c r="K11" s="1"/>
      <c r="L11" s="1"/>
    </row>
    <row r="12" spans="1:12" x14ac:dyDescent="0.2">
      <c r="A12" s="1"/>
      <c r="B12" s="1"/>
      <c r="C12" s="1"/>
      <c r="D12" s="1"/>
      <c r="E12" s="1"/>
      <c r="F12" s="1"/>
      <c r="G12" s="1"/>
      <c r="H12" s="1"/>
      <c r="I12" s="1"/>
      <c r="J12" s="1"/>
      <c r="K12" s="1"/>
      <c r="L12" s="1"/>
    </row>
    <row r="13" spans="1:12" x14ac:dyDescent="0.2">
      <c r="A13" s="1"/>
      <c r="B13" s="1"/>
      <c r="C13" s="1"/>
      <c r="D13" s="1"/>
      <c r="E13" s="1"/>
      <c r="F13" s="1"/>
      <c r="G13" s="1"/>
      <c r="H13" s="1"/>
      <c r="I13" s="1"/>
      <c r="J13" s="1"/>
      <c r="K13" s="1"/>
      <c r="L13" s="1"/>
    </row>
    <row r="14" spans="1:12" x14ac:dyDescent="0.2">
      <c r="A14" s="1"/>
      <c r="B14" s="1"/>
      <c r="C14" s="1"/>
      <c r="D14" s="1"/>
      <c r="E14" s="1"/>
      <c r="F14" s="1"/>
      <c r="G14" s="1"/>
      <c r="H14" s="1"/>
      <c r="I14" s="1"/>
      <c r="J14" s="1"/>
      <c r="K14" s="1"/>
      <c r="L14" s="1"/>
    </row>
    <row r="15" spans="1:12" x14ac:dyDescent="0.2">
      <c r="A15" s="1"/>
      <c r="B15" s="1"/>
      <c r="C15" s="1"/>
      <c r="D15" s="1"/>
      <c r="E15" s="1"/>
      <c r="F15" s="1"/>
      <c r="G15" s="1"/>
      <c r="H15" s="1"/>
      <c r="I15" s="1"/>
      <c r="J15" s="1"/>
      <c r="K15" s="1"/>
      <c r="L15" s="1"/>
    </row>
    <row r="16" spans="1:12" x14ac:dyDescent="0.2">
      <c r="A16" s="1"/>
      <c r="B16" s="1"/>
      <c r="C16" s="1"/>
      <c r="D16" s="1"/>
      <c r="E16" s="1"/>
      <c r="F16" s="1"/>
      <c r="G16" s="1"/>
      <c r="H16" s="1"/>
      <c r="I16" s="1"/>
      <c r="J16" s="1"/>
      <c r="K16" s="1"/>
      <c r="L16" s="1"/>
    </row>
    <row r="17" spans="1:12" x14ac:dyDescent="0.2">
      <c r="A17" s="1"/>
      <c r="B17" s="1"/>
      <c r="C17" s="1"/>
      <c r="D17" s="1"/>
      <c r="E17" s="1"/>
      <c r="F17" s="4"/>
      <c r="G17" s="1"/>
      <c r="H17" s="1"/>
      <c r="I17" s="1"/>
      <c r="J17" s="1"/>
      <c r="K17" s="1"/>
      <c r="L17" s="1"/>
    </row>
    <row r="18" spans="1:12" x14ac:dyDescent="0.2">
      <c r="A18" s="1"/>
      <c r="B18" s="1"/>
      <c r="C18" s="1"/>
      <c r="D18" s="1"/>
      <c r="E18" s="1"/>
      <c r="F18" s="1"/>
      <c r="G18" s="1"/>
      <c r="H18" s="1"/>
      <c r="I18" s="1"/>
      <c r="J18" s="1"/>
      <c r="K18" s="1"/>
      <c r="L18" s="1"/>
    </row>
    <row r="19" spans="1:12" x14ac:dyDescent="0.2">
      <c r="A19" s="1"/>
      <c r="B19" s="1"/>
      <c r="C19" s="1"/>
      <c r="D19" s="1"/>
      <c r="E19" s="1"/>
      <c r="F19" s="1"/>
      <c r="G19" s="1"/>
      <c r="H19" s="1"/>
      <c r="I19" s="1"/>
      <c r="J19" s="1"/>
      <c r="K19" s="1"/>
      <c r="L19" s="1"/>
    </row>
    <row r="20" spans="1:12" x14ac:dyDescent="0.2">
      <c r="A20" s="1"/>
      <c r="B20" s="1"/>
      <c r="C20" s="1"/>
      <c r="D20" s="1"/>
      <c r="E20" s="1"/>
      <c r="F20" s="1"/>
      <c r="G20" s="1"/>
      <c r="H20" s="1"/>
      <c r="I20" s="1"/>
      <c r="J20" s="1"/>
      <c r="K20" s="1"/>
      <c r="L20" s="1"/>
    </row>
    <row r="21" spans="1:12" x14ac:dyDescent="0.2">
      <c r="A21" s="1"/>
      <c r="B21" s="1"/>
      <c r="C21" s="1"/>
      <c r="D21" s="1"/>
      <c r="E21" s="1"/>
      <c r="F21" s="1"/>
      <c r="G21" s="1"/>
      <c r="H21" s="1"/>
      <c r="I21" s="1"/>
      <c r="J21" s="1"/>
      <c r="K21" s="1"/>
      <c r="L21" s="1"/>
    </row>
    <row r="22" spans="1:12" x14ac:dyDescent="0.2">
      <c r="A22" s="1"/>
      <c r="B22" s="1"/>
      <c r="C22" s="1"/>
      <c r="D22" s="1"/>
      <c r="E22" s="1"/>
      <c r="F22" s="1"/>
      <c r="G22" s="1"/>
      <c r="H22" s="1"/>
      <c r="I22" s="1"/>
      <c r="J22" s="1"/>
      <c r="K22" s="1"/>
      <c r="L22" s="1"/>
    </row>
    <row r="23" spans="1:12" x14ac:dyDescent="0.2">
      <c r="A23" s="1"/>
      <c r="B23" s="1"/>
      <c r="C23" s="1"/>
      <c r="D23" s="1"/>
      <c r="E23" s="1"/>
      <c r="F23" s="1"/>
      <c r="G23" s="1"/>
      <c r="H23" s="1"/>
      <c r="I23" s="1"/>
      <c r="J23" s="1"/>
      <c r="K23" s="1"/>
      <c r="L23" s="1"/>
    </row>
    <row r="24" spans="1:12" x14ac:dyDescent="0.2">
      <c r="A24" s="1"/>
      <c r="B24" s="1"/>
      <c r="C24" s="1"/>
      <c r="D24" s="1"/>
      <c r="E24" s="1"/>
      <c r="F24" s="1"/>
      <c r="G24" s="1"/>
      <c r="H24" s="1"/>
      <c r="I24" s="1"/>
      <c r="J24" s="1"/>
      <c r="K24" s="1"/>
      <c r="L24" s="1"/>
    </row>
    <row r="40" spans="1:11" ht="44.25" customHeight="1" x14ac:dyDescent="0.2">
      <c r="A40" s="911" t="s">
        <v>471</v>
      </c>
      <c r="B40" s="912"/>
      <c r="C40" s="912"/>
      <c r="D40" s="912"/>
      <c r="E40" s="912"/>
      <c r="F40" s="912"/>
      <c r="G40" s="912"/>
      <c r="H40" s="912"/>
      <c r="I40" s="912"/>
      <c r="J40" s="912"/>
      <c r="K40" s="912"/>
    </row>
  </sheetData>
  <sheetProtection algorithmName="SHA-512" hashValue="2/cBsPxjTtXKBfIio9+5+YFDFUm3TjNg+fnikG+nW9vlWfNUhMDgPdjE1x8mmxnEnbPiiv5ZgAefIp/rnfWKLQ==" saltValue="cy2zDOyNXVMbtkdgO7JciA==" spinCount="100000" sheet="1" objects="1" scenarios="1"/>
  <customSheetViews>
    <customSheetView guid="{47743E36-E3F1-4AC8-AB28-1C3AD83F86F4}" showGridLines="0" showRowCol="0" showRuler="0">
      <pageMargins left="0.75" right="0.75" top="1" bottom="1" header="0.5" footer="0.5"/>
      <pageSetup paperSize="9" orientation="portrait" r:id="rId1"/>
      <headerFooter alignWithMargins="0"/>
    </customSheetView>
    <customSheetView guid="{878686E5-D823-11D7-9EB6-0000F6FFAA54}" showGridLines="0" showRowCol="0" showRuler="0">
      <pageMargins left="0.75" right="0.75" top="1" bottom="1" header="0.5" footer="0.5"/>
      <headerFooter alignWithMargins="0"/>
    </customSheetView>
  </customSheetViews>
  <mergeCells count="1">
    <mergeCell ref="A40:K40"/>
  </mergeCells>
  <phoneticPr fontId="27" type="noConversion"/>
  <pageMargins left="0.75" right="0.75" top="1" bottom="1" header="0.5" footer="0.5"/>
  <pageSetup paperSize="9" scale="80" orientation="portrait" r:id="rId2"/>
  <headerFooter alignWithMargins="0">
    <oddFooter>&amp;L&amp;1#&amp;"Arial"&amp;9&amp;K000000</oddFooter>
  </headerFooter>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O146"/>
  <sheetViews>
    <sheetView showGridLines="0" showRowColHeaders="0" topLeftCell="A73" workbookViewId="0"/>
  </sheetViews>
  <sheetFormatPr defaultRowHeight="12.75" x14ac:dyDescent="0.2"/>
  <cols>
    <col min="1" max="1" width="1.5703125" customWidth="1"/>
    <col min="7" max="7" width="10.7109375" customWidth="1"/>
    <col min="15" max="15" width="1.7109375" customWidth="1"/>
  </cols>
  <sheetData>
    <row r="1" spans="1:15" x14ac:dyDescent="0.2">
      <c r="A1" s="5"/>
      <c r="B1" s="6"/>
      <c r="C1" s="6"/>
      <c r="D1" s="6"/>
      <c r="E1" s="6"/>
      <c r="F1" s="6"/>
      <c r="G1" s="6"/>
      <c r="H1" s="6"/>
      <c r="I1" s="6"/>
      <c r="J1" s="6"/>
      <c r="K1" s="6"/>
      <c r="L1" s="6"/>
      <c r="M1" s="6"/>
      <c r="N1" s="6"/>
      <c r="O1" s="7"/>
    </row>
    <row r="2" spans="1:15" ht="18" x14ac:dyDescent="0.25">
      <c r="A2" s="8"/>
      <c r="B2" s="935" t="s">
        <v>0</v>
      </c>
      <c r="C2" s="935"/>
      <c r="D2" s="935"/>
      <c r="E2" s="935"/>
      <c r="F2" s="935"/>
      <c r="G2" s="935"/>
      <c r="H2" s="935"/>
      <c r="I2" s="935"/>
      <c r="J2" s="935"/>
      <c r="K2" s="935"/>
      <c r="L2" s="935"/>
      <c r="M2" s="935"/>
      <c r="N2" s="935"/>
      <c r="O2" s="10"/>
    </row>
    <row r="3" spans="1:15" x14ac:dyDescent="0.2">
      <c r="A3" s="8"/>
      <c r="B3" s="9"/>
      <c r="C3" s="9"/>
      <c r="D3" s="9"/>
      <c r="E3" s="9"/>
      <c r="F3" s="9"/>
      <c r="G3" s="9"/>
      <c r="H3" s="9"/>
      <c r="I3" s="9"/>
      <c r="J3" s="9"/>
      <c r="K3" s="9"/>
      <c r="L3" s="9"/>
      <c r="M3" s="9"/>
      <c r="N3" s="9"/>
      <c r="O3" s="10"/>
    </row>
    <row r="4" spans="1:15" ht="15.75" x14ac:dyDescent="0.25">
      <c r="A4" s="8"/>
      <c r="B4" s="11" t="s">
        <v>1</v>
      </c>
      <c r="C4" s="9"/>
      <c r="D4" s="9"/>
      <c r="E4" s="9"/>
      <c r="F4" s="9"/>
      <c r="G4" s="9"/>
      <c r="H4" s="9"/>
      <c r="I4" s="9"/>
      <c r="J4" s="9"/>
      <c r="K4" s="9"/>
      <c r="L4" s="9"/>
      <c r="M4" s="9"/>
      <c r="N4" s="9"/>
      <c r="O4" s="10"/>
    </row>
    <row r="5" spans="1:15" x14ac:dyDescent="0.2">
      <c r="A5" s="8"/>
      <c r="B5" s="9"/>
      <c r="C5" s="9"/>
      <c r="D5" s="9"/>
      <c r="E5" s="9"/>
      <c r="F5" s="9"/>
      <c r="G5" s="9"/>
      <c r="H5" s="9"/>
      <c r="I5" s="9"/>
      <c r="J5" s="9"/>
      <c r="K5" s="9"/>
      <c r="L5" s="9"/>
      <c r="M5" s="9"/>
      <c r="N5" s="9"/>
      <c r="O5" s="10"/>
    </row>
    <row r="6" spans="1:15" x14ac:dyDescent="0.2">
      <c r="A6" s="8"/>
      <c r="B6" s="12" t="s">
        <v>2</v>
      </c>
      <c r="C6" s="12"/>
      <c r="D6" s="12"/>
      <c r="E6" s="12"/>
      <c r="F6" s="12"/>
      <c r="G6" s="13"/>
      <c r="H6" s="12"/>
      <c r="I6" s="12"/>
      <c r="J6" s="12"/>
      <c r="K6" s="12"/>
      <c r="L6" s="12"/>
      <c r="M6" s="12"/>
      <c r="N6" s="12"/>
      <c r="O6" s="10"/>
    </row>
    <row r="7" spans="1:15" s="16" customFormat="1" x14ac:dyDescent="0.2">
      <c r="A7" s="14"/>
      <c r="B7" s="12" t="s">
        <v>3</v>
      </c>
      <c r="C7" s="12"/>
      <c r="D7" s="12"/>
      <c r="E7" s="12"/>
      <c r="F7" s="12"/>
      <c r="G7" s="12"/>
      <c r="H7" s="12"/>
      <c r="I7" s="12"/>
      <c r="J7" s="609"/>
      <c r="K7" s="12"/>
      <c r="L7" s="12"/>
      <c r="M7" s="12"/>
      <c r="N7" s="12"/>
      <c r="O7" s="15"/>
    </row>
    <row r="8" spans="1:15" s="16" customFormat="1" x14ac:dyDescent="0.2">
      <c r="A8" s="14"/>
      <c r="B8" s="12" t="s">
        <v>4</v>
      </c>
      <c r="C8" s="12"/>
      <c r="D8" s="12"/>
      <c r="E8" s="12"/>
      <c r="F8" s="12"/>
      <c r="G8" s="12"/>
      <c r="H8" s="12"/>
      <c r="I8" s="12"/>
      <c r="J8" s="12"/>
      <c r="K8" s="12"/>
      <c r="L8" s="17"/>
      <c r="M8" s="12"/>
      <c r="O8" s="15"/>
    </row>
    <row r="9" spans="1:15" x14ac:dyDescent="0.2">
      <c r="A9" s="8"/>
      <c r="B9" s="12" t="s">
        <v>5</v>
      </c>
      <c r="C9" s="12"/>
      <c r="D9" s="12"/>
      <c r="E9" s="12"/>
      <c r="F9" s="12"/>
      <c r="G9" s="12"/>
      <c r="H9" s="12"/>
      <c r="I9" s="12"/>
      <c r="J9" s="12"/>
      <c r="K9" s="12"/>
      <c r="L9" s="12"/>
      <c r="M9" s="12"/>
      <c r="N9" s="12"/>
      <c r="O9" s="10"/>
    </row>
    <row r="10" spans="1:15" x14ac:dyDescent="0.2">
      <c r="A10" s="8"/>
      <c r="B10" s="12" t="s">
        <v>6</v>
      </c>
      <c r="C10" s="12"/>
      <c r="D10" s="12"/>
      <c r="E10" s="12"/>
      <c r="F10" s="12"/>
      <c r="G10" s="12"/>
      <c r="H10" s="12"/>
      <c r="I10" s="12"/>
      <c r="J10" s="12"/>
      <c r="K10" s="12"/>
      <c r="L10" s="12"/>
      <c r="M10" s="12"/>
      <c r="N10" s="12"/>
      <c r="O10" s="10"/>
    </row>
    <row r="11" spans="1:15" x14ac:dyDescent="0.2">
      <c r="A11" s="8"/>
      <c r="B11" s="12" t="s">
        <v>7</v>
      </c>
      <c r="C11" s="12"/>
      <c r="D11" s="12"/>
      <c r="E11" s="12"/>
      <c r="F11" s="12"/>
      <c r="G11" s="12"/>
      <c r="H11" s="12"/>
      <c r="I11" s="12"/>
      <c r="J11" s="12"/>
      <c r="K11" s="12"/>
      <c r="L11" s="12"/>
      <c r="M11" s="12"/>
      <c r="N11" s="12"/>
      <c r="O11" s="10"/>
    </row>
    <row r="12" spans="1:15" x14ac:dyDescent="0.2">
      <c r="A12" s="8"/>
      <c r="B12" s="12" t="s">
        <v>8</v>
      </c>
      <c r="C12" s="12"/>
      <c r="D12" s="12"/>
      <c r="E12" s="12"/>
      <c r="F12" s="12"/>
      <c r="G12" s="12"/>
      <c r="H12" s="12"/>
      <c r="I12" s="12"/>
      <c r="J12" s="12"/>
      <c r="K12" s="12"/>
      <c r="L12" s="12"/>
      <c r="M12" s="12"/>
      <c r="N12" s="12"/>
      <c r="O12" s="10"/>
    </row>
    <row r="13" spans="1:15" x14ac:dyDescent="0.2">
      <c r="A13" s="8"/>
      <c r="B13" s="12" t="s">
        <v>9</v>
      </c>
      <c r="C13" s="12"/>
      <c r="D13" s="12"/>
      <c r="E13" s="12"/>
      <c r="F13" s="12"/>
      <c r="G13" s="12"/>
      <c r="H13" s="12"/>
      <c r="I13" s="12"/>
      <c r="J13" s="12"/>
      <c r="K13" s="12"/>
      <c r="L13" s="12"/>
      <c r="M13" s="12"/>
      <c r="N13" s="12"/>
      <c r="O13" s="10"/>
    </row>
    <row r="14" spans="1:15" x14ac:dyDescent="0.2">
      <c r="A14" s="8"/>
      <c r="B14" s="565" t="s">
        <v>379</v>
      </c>
      <c r="C14" s="12"/>
      <c r="D14" s="12"/>
      <c r="E14" s="12"/>
      <c r="F14" s="12"/>
      <c r="G14" s="12"/>
      <c r="H14" s="12"/>
      <c r="I14" s="12"/>
      <c r="J14" s="12"/>
      <c r="K14" s="12"/>
      <c r="L14" s="12"/>
      <c r="M14" s="12"/>
      <c r="N14" s="12"/>
      <c r="O14" s="10"/>
    </row>
    <row r="15" spans="1:15" x14ac:dyDescent="0.2">
      <c r="A15" s="8"/>
      <c r="B15" s="12" t="s">
        <v>10</v>
      </c>
      <c r="C15" s="12"/>
      <c r="D15" s="12"/>
      <c r="E15" s="12"/>
      <c r="F15" s="12"/>
      <c r="G15" s="12"/>
      <c r="H15" s="12"/>
      <c r="I15" s="12"/>
      <c r="J15" s="12"/>
      <c r="K15" s="12"/>
      <c r="L15" s="12"/>
      <c r="M15" s="12"/>
      <c r="N15" s="12"/>
      <c r="O15" s="10"/>
    </row>
    <row r="16" spans="1:15" ht="25.5" customHeight="1" x14ac:dyDescent="0.2">
      <c r="A16" s="8"/>
      <c r="B16" s="930" t="s">
        <v>361</v>
      </c>
      <c r="C16" s="931"/>
      <c r="D16" s="931"/>
      <c r="E16" s="931"/>
      <c r="F16" s="931"/>
      <c r="G16" s="931"/>
      <c r="H16" s="931"/>
      <c r="I16" s="931"/>
      <c r="J16" s="931"/>
      <c r="K16" s="931"/>
      <c r="L16" s="931"/>
      <c r="M16" s="931"/>
      <c r="N16" s="931"/>
      <c r="O16" s="10"/>
    </row>
    <row r="17" spans="1:15" x14ac:dyDescent="0.2">
      <c r="A17" s="8"/>
      <c r="B17" s="9"/>
      <c r="C17" s="9"/>
      <c r="D17" s="9"/>
      <c r="E17" s="9"/>
      <c r="F17" s="9"/>
      <c r="G17" s="9"/>
      <c r="H17" s="9"/>
      <c r="I17" s="9"/>
      <c r="J17" s="9"/>
      <c r="K17" s="9"/>
      <c r="L17" s="9"/>
      <c r="M17" s="9"/>
      <c r="N17" s="9"/>
      <c r="O17" s="10"/>
    </row>
    <row r="18" spans="1:15" x14ac:dyDescent="0.2">
      <c r="A18" s="8"/>
      <c r="B18" s="9"/>
      <c r="C18" s="9"/>
      <c r="D18" s="9"/>
      <c r="E18" s="9"/>
      <c r="F18" s="9"/>
      <c r="G18" s="9"/>
      <c r="H18" s="9"/>
      <c r="I18" s="9"/>
      <c r="J18" s="9"/>
      <c r="K18" s="9"/>
      <c r="L18" s="9"/>
      <c r="M18" s="9"/>
      <c r="N18" s="9"/>
      <c r="O18" s="10"/>
    </row>
    <row r="19" spans="1:15" ht="15.75" x14ac:dyDescent="0.25">
      <c r="A19" s="8"/>
      <c r="B19" s="11" t="s">
        <v>11</v>
      </c>
      <c r="C19" s="9"/>
      <c r="D19" s="9"/>
      <c r="E19" s="9"/>
      <c r="F19" s="9"/>
      <c r="G19" s="9"/>
      <c r="H19" s="9"/>
      <c r="I19" s="9"/>
      <c r="J19" s="9"/>
      <c r="K19" s="9"/>
      <c r="L19" s="9"/>
      <c r="M19" s="9"/>
      <c r="N19" s="9"/>
      <c r="O19" s="10"/>
    </row>
    <row r="20" spans="1:15" x14ac:dyDescent="0.2">
      <c r="A20" s="8"/>
      <c r="B20" s="9"/>
      <c r="C20" s="9"/>
      <c r="D20" s="9"/>
      <c r="E20" s="9"/>
      <c r="F20" s="9"/>
      <c r="G20" s="9"/>
      <c r="H20" s="9"/>
      <c r="I20" s="9"/>
      <c r="J20" s="9"/>
      <c r="K20" s="9"/>
      <c r="L20" s="9"/>
      <c r="M20" s="9"/>
      <c r="N20" s="9"/>
      <c r="O20" s="10"/>
    </row>
    <row r="21" spans="1:15" x14ac:dyDescent="0.2">
      <c r="A21" s="8"/>
      <c r="B21" s="931" t="s">
        <v>12</v>
      </c>
      <c r="C21" s="931"/>
      <c r="D21" s="931"/>
      <c r="E21" s="931"/>
      <c r="F21" s="931"/>
      <c r="G21" s="931"/>
      <c r="H21" s="931"/>
      <c r="I21" s="931"/>
      <c r="J21" s="931"/>
      <c r="K21" s="931"/>
      <c r="L21" s="931"/>
      <c r="M21" s="931"/>
      <c r="N21" s="931"/>
      <c r="O21" s="10"/>
    </row>
    <row r="22" spans="1:15" ht="12.75" customHeight="1" x14ac:dyDescent="0.2">
      <c r="A22" s="8"/>
      <c r="B22" s="931" t="s">
        <v>13</v>
      </c>
      <c r="C22" s="931"/>
      <c r="D22" s="931"/>
      <c r="E22" s="931"/>
      <c r="F22" s="931"/>
      <c r="G22" s="931"/>
      <c r="H22" s="931"/>
      <c r="I22" s="931"/>
      <c r="J22" s="931"/>
      <c r="K22" s="931"/>
      <c r="L22" s="931"/>
      <c r="M22" s="931"/>
      <c r="N22" s="931"/>
      <c r="O22" s="10"/>
    </row>
    <row r="23" spans="1:15" x14ac:dyDescent="0.2">
      <c r="A23" s="8"/>
      <c r="B23" s="9"/>
      <c r="C23" s="9"/>
      <c r="D23" s="9"/>
      <c r="E23" s="9"/>
      <c r="F23" s="9"/>
      <c r="G23" s="9"/>
      <c r="H23" s="9"/>
      <c r="I23" s="9"/>
      <c r="J23" s="9"/>
      <c r="K23" s="9"/>
      <c r="L23" s="9"/>
      <c r="M23" s="9"/>
      <c r="N23" s="9"/>
      <c r="O23" s="10"/>
    </row>
    <row r="24" spans="1:15" x14ac:dyDescent="0.2">
      <c r="A24" s="8"/>
      <c r="B24" s="9"/>
      <c r="C24" s="9"/>
      <c r="D24" s="9"/>
      <c r="E24" s="9"/>
      <c r="F24" s="9"/>
      <c r="G24" s="9"/>
      <c r="H24" s="9"/>
      <c r="I24" s="9"/>
      <c r="J24" s="9"/>
      <c r="K24" s="9"/>
      <c r="L24" s="9"/>
      <c r="M24" s="9"/>
      <c r="N24" s="9"/>
      <c r="O24" s="10"/>
    </row>
    <row r="25" spans="1:15" ht="15.75" x14ac:dyDescent="0.25">
      <c r="A25" s="8"/>
      <c r="B25" s="11" t="s">
        <v>347</v>
      </c>
      <c r="C25" s="9"/>
      <c r="D25" s="9"/>
      <c r="E25" s="9"/>
      <c r="F25" s="9"/>
      <c r="G25" s="9"/>
      <c r="H25" s="9"/>
      <c r="I25" s="9"/>
      <c r="J25" s="9"/>
      <c r="K25" s="9"/>
      <c r="L25" s="9"/>
      <c r="M25" s="9"/>
      <c r="N25" s="9"/>
      <c r="O25" s="10"/>
    </row>
    <row r="26" spans="1:15" x14ac:dyDescent="0.2">
      <c r="A26" s="8"/>
      <c r="B26" s="9"/>
      <c r="C26" s="9"/>
      <c r="D26" s="9"/>
      <c r="E26" s="9"/>
      <c r="F26" s="9"/>
      <c r="G26" s="9"/>
      <c r="H26" s="9"/>
      <c r="I26" s="9"/>
      <c r="J26" s="9"/>
      <c r="K26" s="9"/>
      <c r="L26" s="9"/>
      <c r="M26" s="9"/>
      <c r="N26" s="9"/>
      <c r="O26" s="10"/>
    </row>
    <row r="27" spans="1:15" x14ac:dyDescent="0.2">
      <c r="A27" s="8"/>
      <c r="B27" s="9" t="s">
        <v>14</v>
      </c>
      <c r="C27" s="9"/>
      <c r="D27" s="9"/>
      <c r="E27" s="9"/>
      <c r="F27" s="9"/>
      <c r="G27" s="9"/>
      <c r="H27" s="9"/>
      <c r="I27" s="9"/>
      <c r="J27" s="9"/>
      <c r="K27" s="9"/>
      <c r="L27" s="9"/>
      <c r="M27" s="9"/>
      <c r="N27" s="9"/>
      <c r="O27" s="10"/>
    </row>
    <row r="28" spans="1:15" x14ac:dyDescent="0.2">
      <c r="A28" s="8"/>
      <c r="B28" s="9" t="s">
        <v>15</v>
      </c>
      <c r="C28" s="9"/>
      <c r="D28" s="9"/>
      <c r="E28" s="9"/>
      <c r="F28" s="9"/>
      <c r="G28" s="9"/>
      <c r="H28" s="9"/>
      <c r="I28" s="9"/>
      <c r="J28" s="9"/>
      <c r="K28" s="9"/>
      <c r="L28" s="9"/>
      <c r="M28" s="9"/>
      <c r="N28" s="9"/>
      <c r="O28" s="10"/>
    </row>
    <row r="29" spans="1:15" ht="25.5" customHeight="1" x14ac:dyDescent="0.2">
      <c r="A29" s="8"/>
      <c r="B29" s="931" t="s">
        <v>16</v>
      </c>
      <c r="C29" s="931"/>
      <c r="D29" s="931"/>
      <c r="E29" s="931"/>
      <c r="F29" s="931"/>
      <c r="G29" s="931"/>
      <c r="H29" s="931"/>
      <c r="I29" s="931"/>
      <c r="J29" s="931"/>
      <c r="K29" s="931"/>
      <c r="L29" s="931"/>
      <c r="M29" s="931"/>
      <c r="N29" s="931"/>
      <c r="O29" s="10"/>
    </row>
    <row r="30" spans="1:15" x14ac:dyDescent="0.2">
      <c r="A30" s="8"/>
      <c r="B30" s="9"/>
      <c r="C30" s="9"/>
      <c r="D30" s="9"/>
      <c r="E30" s="9"/>
      <c r="F30" s="9"/>
      <c r="G30" s="9"/>
      <c r="H30" s="9"/>
      <c r="I30" s="9"/>
      <c r="J30" s="9"/>
      <c r="K30" s="9"/>
      <c r="L30" s="9"/>
      <c r="M30" s="9"/>
      <c r="N30" s="9"/>
      <c r="O30" s="10"/>
    </row>
    <row r="31" spans="1:15" x14ac:dyDescent="0.2">
      <c r="A31" s="8"/>
      <c r="B31" s="9"/>
      <c r="C31" s="9"/>
      <c r="D31" s="9"/>
      <c r="E31" s="9"/>
      <c r="F31" s="9"/>
      <c r="G31" s="9"/>
      <c r="H31" s="9"/>
      <c r="I31" s="9"/>
      <c r="J31" s="9"/>
      <c r="K31" s="9"/>
      <c r="L31" s="9"/>
      <c r="M31" s="9"/>
      <c r="N31" s="9"/>
      <c r="O31" s="10"/>
    </row>
    <row r="32" spans="1:15" ht="15.75" x14ac:dyDescent="0.25">
      <c r="A32" s="8"/>
      <c r="B32" s="11" t="s">
        <v>536</v>
      </c>
      <c r="C32" s="9"/>
      <c r="D32" s="9"/>
      <c r="E32" s="9"/>
      <c r="F32" s="9"/>
      <c r="G32" s="9"/>
      <c r="H32" s="9"/>
      <c r="I32" s="9"/>
      <c r="J32" s="9"/>
      <c r="K32" s="9"/>
      <c r="L32" s="9"/>
      <c r="M32" s="9"/>
      <c r="N32" s="9"/>
      <c r="O32" s="10"/>
    </row>
    <row r="33" spans="1:15" x14ac:dyDescent="0.2">
      <c r="A33" s="8"/>
      <c r="B33" s="9"/>
      <c r="C33" s="9"/>
      <c r="D33" s="9"/>
      <c r="E33" s="9"/>
      <c r="F33" s="9"/>
      <c r="G33" s="9"/>
      <c r="H33" s="9"/>
      <c r="I33" s="9"/>
      <c r="J33" s="9"/>
      <c r="K33" s="9"/>
      <c r="L33" s="9"/>
      <c r="M33" s="9"/>
      <c r="N33" s="9"/>
      <c r="O33" s="10"/>
    </row>
    <row r="34" spans="1:15" x14ac:dyDescent="0.2">
      <c r="A34" s="8"/>
      <c r="B34" s="390" t="s">
        <v>348</v>
      </c>
      <c r="C34" s="9"/>
      <c r="D34" s="9"/>
      <c r="E34" s="9"/>
      <c r="F34" s="9"/>
      <c r="G34" s="9"/>
      <c r="H34" s="9"/>
      <c r="I34" s="9"/>
      <c r="J34" s="9"/>
      <c r="K34" s="9"/>
      <c r="L34" s="9"/>
      <c r="M34" s="9"/>
      <c r="N34" s="9"/>
      <c r="O34" s="10"/>
    </row>
    <row r="35" spans="1:15" ht="25.5" customHeight="1" x14ac:dyDescent="0.2">
      <c r="A35" s="8"/>
      <c r="B35" s="931" t="s">
        <v>537</v>
      </c>
      <c r="C35" s="931"/>
      <c r="D35" s="931"/>
      <c r="E35" s="931"/>
      <c r="F35" s="931"/>
      <c r="G35" s="931"/>
      <c r="H35" s="931"/>
      <c r="I35" s="931"/>
      <c r="J35" s="931"/>
      <c r="K35" s="931"/>
      <c r="L35" s="931"/>
      <c r="M35" s="931"/>
      <c r="N35" s="931"/>
      <c r="O35" s="10"/>
    </row>
    <row r="36" spans="1:15" ht="25.5" customHeight="1" x14ac:dyDescent="0.2">
      <c r="A36" s="8"/>
      <c r="B36" s="9"/>
      <c r="C36" s="9"/>
      <c r="D36" s="9"/>
      <c r="E36" s="9"/>
      <c r="F36" s="9"/>
      <c r="G36" s="9"/>
      <c r="H36" s="9"/>
      <c r="I36" s="9"/>
      <c r="J36" s="9"/>
      <c r="K36" s="9"/>
      <c r="L36" s="9"/>
      <c r="M36" s="9"/>
      <c r="N36" s="9"/>
      <c r="O36" s="10"/>
    </row>
    <row r="37" spans="1:15" x14ac:dyDescent="0.2">
      <c r="A37" s="8"/>
      <c r="B37" s="9"/>
      <c r="C37" s="9"/>
      <c r="D37" s="9"/>
      <c r="E37" s="9"/>
      <c r="F37" s="9"/>
      <c r="G37" s="9"/>
      <c r="H37" s="9"/>
      <c r="I37" s="9"/>
      <c r="J37" s="9"/>
      <c r="K37" s="9"/>
      <c r="L37" s="9"/>
      <c r="M37" s="9"/>
      <c r="N37" s="9"/>
      <c r="O37" s="10"/>
    </row>
    <row r="38" spans="1:15" ht="15.75" x14ac:dyDescent="0.25">
      <c r="A38" s="8"/>
      <c r="B38" s="11" t="s">
        <v>538</v>
      </c>
      <c r="C38" s="9"/>
      <c r="D38" s="9"/>
      <c r="E38" s="9"/>
      <c r="F38" s="9"/>
      <c r="G38" s="9"/>
      <c r="H38" s="9"/>
      <c r="I38" s="9"/>
      <c r="J38" s="9"/>
      <c r="K38" s="9"/>
      <c r="L38" s="9"/>
      <c r="M38" s="9"/>
      <c r="N38" s="9"/>
      <c r="O38" s="10"/>
    </row>
    <row r="39" spans="1:15" x14ac:dyDescent="0.2">
      <c r="A39" s="8"/>
      <c r="B39" s="9"/>
      <c r="C39" s="9"/>
      <c r="D39" s="9"/>
      <c r="E39" s="9"/>
      <c r="F39" s="9"/>
      <c r="G39" s="9"/>
      <c r="H39" s="9"/>
      <c r="I39" s="9"/>
      <c r="J39" s="9"/>
      <c r="K39" s="9"/>
      <c r="L39" s="9"/>
      <c r="M39" s="9"/>
      <c r="N39" s="9"/>
      <c r="O39" s="10"/>
    </row>
    <row r="40" spans="1:15" x14ac:dyDescent="0.2">
      <c r="A40" s="8"/>
      <c r="B40" s="9" t="s">
        <v>14</v>
      </c>
      <c r="C40" s="9"/>
      <c r="D40" s="9"/>
      <c r="E40" s="9"/>
      <c r="F40" s="9"/>
      <c r="G40" s="9"/>
      <c r="H40" s="9"/>
      <c r="I40" s="9"/>
      <c r="J40" s="9"/>
      <c r="K40" s="9"/>
      <c r="L40" s="9"/>
      <c r="M40" s="9"/>
      <c r="N40" s="9"/>
      <c r="O40" s="10"/>
    </row>
    <row r="41" spans="1:15" x14ac:dyDescent="0.2">
      <c r="A41" s="8"/>
      <c r="B41" s="9" t="s">
        <v>15</v>
      </c>
      <c r="C41" s="9"/>
      <c r="D41" s="9"/>
      <c r="E41" s="9"/>
      <c r="F41" s="9"/>
      <c r="G41" s="9"/>
      <c r="H41" s="9"/>
      <c r="I41" s="9"/>
      <c r="J41" s="9"/>
      <c r="K41" s="9"/>
      <c r="L41" s="9"/>
      <c r="M41" s="9"/>
      <c r="N41" s="9"/>
      <c r="O41" s="10"/>
    </row>
    <row r="42" spans="1:15" ht="25.5" customHeight="1" x14ac:dyDescent="0.2">
      <c r="A42" s="8"/>
      <c r="B42" s="931" t="s">
        <v>16</v>
      </c>
      <c r="C42" s="931"/>
      <c r="D42" s="931"/>
      <c r="E42" s="931"/>
      <c r="F42" s="931"/>
      <c r="G42" s="931"/>
      <c r="H42" s="931"/>
      <c r="I42" s="931"/>
      <c r="J42" s="931"/>
      <c r="K42" s="931"/>
      <c r="L42" s="931"/>
      <c r="M42" s="931"/>
      <c r="N42" s="931"/>
      <c r="O42" s="10"/>
    </row>
    <row r="43" spans="1:15" x14ac:dyDescent="0.2">
      <c r="A43" s="8"/>
      <c r="B43" s="9"/>
      <c r="C43" s="9"/>
      <c r="D43" s="9"/>
      <c r="E43" s="9"/>
      <c r="F43" s="9"/>
      <c r="G43" s="9"/>
      <c r="H43" s="9"/>
      <c r="I43" s="9"/>
      <c r="J43" s="9"/>
      <c r="K43" s="9"/>
      <c r="L43" s="9"/>
      <c r="M43" s="9"/>
      <c r="N43" s="9"/>
      <c r="O43" s="10"/>
    </row>
    <row r="44" spans="1:15" x14ac:dyDescent="0.2">
      <c r="A44" s="8"/>
      <c r="B44" s="9"/>
      <c r="C44" s="9"/>
      <c r="D44" s="9"/>
      <c r="E44" s="9"/>
      <c r="F44" s="9"/>
      <c r="G44" s="9"/>
      <c r="H44" s="9"/>
      <c r="I44" s="9"/>
      <c r="J44" s="9"/>
      <c r="K44" s="9"/>
      <c r="L44" s="9"/>
      <c r="M44" s="9"/>
      <c r="N44" s="9"/>
      <c r="O44" s="10"/>
    </row>
    <row r="45" spans="1:15" ht="15.75" x14ac:dyDescent="0.25">
      <c r="A45" s="8"/>
      <c r="B45" s="11" t="s">
        <v>354</v>
      </c>
      <c r="C45" s="9"/>
      <c r="D45" s="9"/>
      <c r="E45" s="9"/>
      <c r="F45" s="9"/>
      <c r="G45" s="9"/>
      <c r="H45" s="9"/>
      <c r="I45" s="9"/>
      <c r="J45" s="9"/>
      <c r="K45" s="9"/>
      <c r="L45" s="9"/>
      <c r="M45" s="9"/>
      <c r="N45" s="9"/>
      <c r="O45" s="10"/>
    </row>
    <row r="46" spans="1:15" x14ac:dyDescent="0.2">
      <c r="A46" s="8"/>
      <c r="B46" s="9"/>
      <c r="C46" s="9"/>
      <c r="D46" s="9"/>
      <c r="E46" s="9"/>
      <c r="F46" s="9"/>
      <c r="G46" s="9"/>
      <c r="H46" s="9"/>
      <c r="I46" s="9"/>
      <c r="J46" s="9"/>
      <c r="K46" s="9"/>
      <c r="L46" s="9"/>
      <c r="M46" s="9"/>
      <c r="N46" s="9"/>
      <c r="O46" s="10"/>
    </row>
    <row r="47" spans="1:15" x14ac:dyDescent="0.2">
      <c r="A47" s="8"/>
      <c r="B47" s="9" t="s">
        <v>17</v>
      </c>
      <c r="C47" s="9"/>
      <c r="D47" s="9"/>
      <c r="E47" s="9"/>
      <c r="F47" s="9"/>
      <c r="G47" s="9"/>
      <c r="H47" s="9"/>
      <c r="I47" s="9"/>
      <c r="J47" s="9"/>
      <c r="K47" s="9"/>
      <c r="L47" s="9"/>
      <c r="M47" s="9"/>
      <c r="N47" s="9"/>
      <c r="O47" s="10"/>
    </row>
    <row r="48" spans="1:15" x14ac:dyDescent="0.2">
      <c r="A48" s="8"/>
      <c r="B48" s="931" t="s">
        <v>18</v>
      </c>
      <c r="C48" s="931"/>
      <c r="D48" s="931"/>
      <c r="E48" s="931"/>
      <c r="F48" s="931"/>
      <c r="G48" s="931"/>
      <c r="H48" s="931"/>
      <c r="I48" s="931"/>
      <c r="J48" s="931"/>
      <c r="K48" s="931"/>
      <c r="L48" s="931"/>
      <c r="M48" s="931"/>
      <c r="N48" s="931"/>
      <c r="O48" s="10"/>
    </row>
    <row r="49" spans="1:15" x14ac:dyDescent="0.2">
      <c r="A49" s="8"/>
      <c r="B49" s="9" t="s">
        <v>14</v>
      </c>
      <c r="C49" s="18"/>
      <c r="D49" s="18"/>
      <c r="E49" s="18"/>
      <c r="F49" s="18"/>
      <c r="G49" s="18"/>
      <c r="H49" s="18"/>
      <c r="I49" s="18"/>
      <c r="J49" s="18"/>
      <c r="K49" s="18"/>
      <c r="L49" s="18"/>
      <c r="M49" s="18"/>
      <c r="N49" s="18"/>
      <c r="O49" s="10"/>
    </row>
    <row r="50" spans="1:15" x14ac:dyDescent="0.2">
      <c r="A50" s="8"/>
      <c r="B50" s="9" t="s">
        <v>19</v>
      </c>
      <c r="C50" s="18"/>
      <c r="D50" s="18"/>
      <c r="E50" s="18"/>
      <c r="F50" s="18"/>
      <c r="G50" s="18"/>
      <c r="H50" s="18"/>
      <c r="I50" s="18"/>
      <c r="J50" s="18"/>
      <c r="K50" s="18"/>
      <c r="L50" s="18"/>
      <c r="M50" s="18"/>
      <c r="N50" s="18"/>
      <c r="O50" s="10"/>
    </row>
    <row r="51" spans="1:15" x14ac:dyDescent="0.2">
      <c r="A51" s="8"/>
      <c r="B51" s="9"/>
      <c r="C51" s="9"/>
      <c r="D51" s="9"/>
      <c r="E51" s="9"/>
      <c r="F51" s="9"/>
      <c r="G51" s="9"/>
      <c r="H51" s="9"/>
      <c r="I51" s="9"/>
      <c r="J51" s="9"/>
      <c r="K51" s="9"/>
      <c r="L51" s="9"/>
      <c r="M51" s="9"/>
      <c r="N51" s="9"/>
      <c r="O51" s="10"/>
    </row>
    <row r="52" spans="1:15" x14ac:dyDescent="0.2">
      <c r="A52" s="8"/>
      <c r="B52" s="9"/>
      <c r="C52" s="9"/>
      <c r="D52" s="9"/>
      <c r="E52" s="9"/>
      <c r="F52" s="9"/>
      <c r="G52" s="9"/>
      <c r="H52" s="9"/>
      <c r="I52" s="9"/>
      <c r="J52" s="9"/>
      <c r="K52" s="9"/>
      <c r="L52" s="9"/>
      <c r="M52" s="9"/>
      <c r="N52" s="9"/>
      <c r="O52" s="10"/>
    </row>
    <row r="53" spans="1:15" ht="15.75" x14ac:dyDescent="0.25">
      <c r="A53" s="8"/>
      <c r="B53" s="11" t="s">
        <v>20</v>
      </c>
      <c r="C53" s="9"/>
      <c r="D53" s="9"/>
      <c r="E53" s="9"/>
      <c r="F53" s="9"/>
      <c r="G53" s="9"/>
      <c r="H53" s="9"/>
      <c r="I53" s="9"/>
      <c r="J53" s="9"/>
      <c r="K53" s="9"/>
      <c r="L53" s="9"/>
      <c r="M53" s="9"/>
      <c r="N53" s="9"/>
      <c r="O53" s="10"/>
    </row>
    <row r="54" spans="1:15" x14ac:dyDescent="0.2">
      <c r="A54" s="8"/>
      <c r="B54" s="9"/>
      <c r="C54" s="9"/>
      <c r="D54" s="9"/>
      <c r="E54" s="9"/>
      <c r="F54" s="9"/>
      <c r="G54" s="9"/>
      <c r="H54" s="9"/>
      <c r="I54" s="9"/>
      <c r="J54" s="9"/>
      <c r="K54" s="9"/>
      <c r="L54" s="9"/>
      <c r="M54" s="9"/>
      <c r="N54" s="9"/>
      <c r="O54" s="10"/>
    </row>
    <row r="55" spans="1:15" x14ac:dyDescent="0.2">
      <c r="A55" s="8"/>
      <c r="B55" s="936" t="s">
        <v>21</v>
      </c>
      <c r="C55" s="937"/>
      <c r="D55" s="937"/>
      <c r="E55" s="937"/>
      <c r="F55" s="938"/>
      <c r="G55" s="19" t="s">
        <v>22</v>
      </c>
      <c r="H55" s="936" t="s">
        <v>23</v>
      </c>
      <c r="I55" s="937"/>
      <c r="J55" s="937"/>
      <c r="K55" s="937"/>
      <c r="L55" s="937"/>
      <c r="M55" s="937"/>
      <c r="N55" s="938"/>
      <c r="O55" s="10"/>
    </row>
    <row r="56" spans="1:15" ht="12.75" customHeight="1" x14ac:dyDescent="0.2">
      <c r="A56" s="8"/>
      <c r="B56" s="916" t="s">
        <v>24</v>
      </c>
      <c r="C56" s="917"/>
      <c r="D56" s="917"/>
      <c r="E56" s="917"/>
      <c r="F56" s="918"/>
      <c r="G56" s="20" t="s">
        <v>25</v>
      </c>
      <c r="H56" s="916" t="s">
        <v>26</v>
      </c>
      <c r="I56" s="917"/>
      <c r="J56" s="917"/>
      <c r="K56" s="917"/>
      <c r="L56" s="917"/>
      <c r="M56" s="917"/>
      <c r="N56" s="918"/>
      <c r="O56" s="10"/>
    </row>
    <row r="57" spans="1:15" ht="76.5" customHeight="1" x14ac:dyDescent="0.2">
      <c r="A57" s="8"/>
      <c r="B57" s="916" t="s">
        <v>27</v>
      </c>
      <c r="C57" s="917"/>
      <c r="D57" s="917"/>
      <c r="E57" s="917"/>
      <c r="F57" s="918"/>
      <c r="G57" s="20" t="s">
        <v>28</v>
      </c>
      <c r="H57" s="916" t="s">
        <v>248</v>
      </c>
      <c r="I57" s="917"/>
      <c r="J57" s="917"/>
      <c r="K57" s="917"/>
      <c r="L57" s="917"/>
      <c r="M57" s="917"/>
      <c r="N57" s="918"/>
      <c r="O57" s="10"/>
    </row>
    <row r="58" spans="1:15" ht="25.5" customHeight="1" x14ac:dyDescent="0.2">
      <c r="A58" s="8"/>
      <c r="B58" s="916" t="s">
        <v>30</v>
      </c>
      <c r="C58" s="917"/>
      <c r="D58" s="917"/>
      <c r="E58" s="917"/>
      <c r="F58" s="918"/>
      <c r="G58" s="20" t="s">
        <v>28</v>
      </c>
      <c r="H58" s="916" t="s">
        <v>31</v>
      </c>
      <c r="I58" s="917"/>
      <c r="J58" s="917"/>
      <c r="K58" s="917"/>
      <c r="L58" s="917"/>
      <c r="M58" s="917"/>
      <c r="N58" s="918"/>
      <c r="O58" s="10"/>
    </row>
    <row r="59" spans="1:15" ht="25.5" customHeight="1" x14ac:dyDescent="0.2">
      <c r="A59" s="8"/>
      <c r="B59" s="916" t="s">
        <v>32</v>
      </c>
      <c r="C59" s="917"/>
      <c r="D59" s="917"/>
      <c r="E59" s="917"/>
      <c r="F59" s="918"/>
      <c r="G59" s="20" t="s">
        <v>25</v>
      </c>
      <c r="H59" s="916" t="s">
        <v>33</v>
      </c>
      <c r="I59" s="917"/>
      <c r="J59" s="917"/>
      <c r="K59" s="917"/>
      <c r="L59" s="917"/>
      <c r="M59" s="917"/>
      <c r="N59" s="918"/>
      <c r="O59" s="10"/>
    </row>
    <row r="60" spans="1:15" ht="51" customHeight="1" x14ac:dyDescent="0.2">
      <c r="A60" s="8"/>
      <c r="B60" s="919" t="s">
        <v>359</v>
      </c>
      <c r="C60" s="923"/>
      <c r="D60" s="923"/>
      <c r="E60" s="923"/>
      <c r="F60" s="924"/>
      <c r="G60" s="608" t="s">
        <v>28</v>
      </c>
      <c r="H60" s="919" t="s">
        <v>435</v>
      </c>
      <c r="I60" s="923"/>
      <c r="J60" s="923"/>
      <c r="K60" s="923"/>
      <c r="L60" s="923"/>
      <c r="M60" s="923"/>
      <c r="N60" s="924"/>
      <c r="O60" s="10"/>
    </row>
    <row r="61" spans="1:15" x14ac:dyDescent="0.2">
      <c r="A61" s="8"/>
      <c r="B61" s="335" t="s">
        <v>11</v>
      </c>
      <c r="C61" s="336"/>
      <c r="D61" s="336"/>
      <c r="E61" s="336"/>
      <c r="F61" s="337"/>
      <c r="G61" s="20"/>
      <c r="H61" s="919"/>
      <c r="I61" s="917"/>
      <c r="J61" s="917"/>
      <c r="K61" s="917"/>
      <c r="L61" s="917"/>
      <c r="M61" s="917"/>
      <c r="N61" s="918"/>
      <c r="O61" s="10"/>
    </row>
    <row r="62" spans="1:15" x14ac:dyDescent="0.2">
      <c r="A62" s="8"/>
      <c r="B62" s="332" t="s">
        <v>371</v>
      </c>
      <c r="C62" s="333"/>
      <c r="D62" s="333"/>
      <c r="E62" s="333"/>
      <c r="F62" s="334"/>
      <c r="G62" s="20" t="s">
        <v>25</v>
      </c>
      <c r="H62" s="919" t="s">
        <v>372</v>
      </c>
      <c r="I62" s="917"/>
      <c r="J62" s="917"/>
      <c r="K62" s="917"/>
      <c r="L62" s="917"/>
      <c r="M62" s="917"/>
      <c r="N62" s="918"/>
      <c r="O62" s="10"/>
    </row>
    <row r="63" spans="1:15" ht="24.75" customHeight="1" x14ac:dyDescent="0.2">
      <c r="A63" s="8"/>
      <c r="B63" s="332" t="s">
        <v>369</v>
      </c>
      <c r="C63" s="333"/>
      <c r="D63" s="333"/>
      <c r="E63" s="333"/>
      <c r="F63" s="334"/>
      <c r="G63" s="20" t="s">
        <v>25</v>
      </c>
      <c r="H63" s="919" t="s">
        <v>414</v>
      </c>
      <c r="I63" s="917"/>
      <c r="J63" s="917"/>
      <c r="K63" s="917"/>
      <c r="L63" s="917"/>
      <c r="M63" s="917"/>
      <c r="N63" s="918"/>
      <c r="O63" s="10"/>
    </row>
    <row r="64" spans="1:15" ht="25.5" customHeight="1" x14ac:dyDescent="0.2">
      <c r="A64" s="8"/>
      <c r="B64" s="332" t="s">
        <v>270</v>
      </c>
      <c r="C64" s="333"/>
      <c r="D64" s="333"/>
      <c r="E64" s="333"/>
      <c r="F64" s="334"/>
      <c r="G64" s="20" t="s">
        <v>25</v>
      </c>
      <c r="H64" s="919" t="s">
        <v>415</v>
      </c>
      <c r="I64" s="917"/>
      <c r="J64" s="917"/>
      <c r="K64" s="917"/>
      <c r="L64" s="917"/>
      <c r="M64" s="917"/>
      <c r="N64" s="918"/>
      <c r="O64" s="10"/>
    </row>
    <row r="65" spans="1:15" ht="76.5" customHeight="1" x14ac:dyDescent="0.2">
      <c r="A65" s="8"/>
      <c r="B65" s="607" t="s">
        <v>427</v>
      </c>
      <c r="C65" s="333"/>
      <c r="D65" s="333"/>
      <c r="E65" s="333"/>
      <c r="F65" s="334"/>
      <c r="G65" s="20" t="s">
        <v>25</v>
      </c>
      <c r="H65" s="919" t="s">
        <v>418</v>
      </c>
      <c r="I65" s="917"/>
      <c r="J65" s="917"/>
      <c r="K65" s="917"/>
      <c r="L65" s="917"/>
      <c r="M65" s="917"/>
      <c r="N65" s="918"/>
      <c r="O65" s="10"/>
    </row>
    <row r="66" spans="1:15" ht="25.5" customHeight="1" x14ac:dyDescent="0.2">
      <c r="A66" s="8"/>
      <c r="B66" s="332" t="s">
        <v>36</v>
      </c>
      <c r="C66" s="333"/>
      <c r="D66" s="333"/>
      <c r="E66" s="333"/>
      <c r="F66" s="334"/>
      <c r="G66" s="20" t="s">
        <v>25</v>
      </c>
      <c r="H66" s="919" t="s">
        <v>416</v>
      </c>
      <c r="I66" s="917"/>
      <c r="J66" s="917"/>
      <c r="K66" s="917"/>
      <c r="L66" s="917"/>
      <c r="M66" s="917"/>
      <c r="N66" s="918"/>
      <c r="O66" s="10"/>
    </row>
    <row r="67" spans="1:15" ht="12.75" customHeight="1" x14ac:dyDescent="0.2">
      <c r="A67" s="8"/>
      <c r="B67" s="332" t="s">
        <v>37</v>
      </c>
      <c r="C67" s="333"/>
      <c r="D67" s="333"/>
      <c r="E67" s="333"/>
      <c r="F67" s="334"/>
      <c r="G67" s="20" t="s">
        <v>25</v>
      </c>
      <c r="H67" s="916" t="s">
        <v>38</v>
      </c>
      <c r="I67" s="917"/>
      <c r="J67" s="917"/>
      <c r="K67" s="917"/>
      <c r="L67" s="917"/>
      <c r="M67" s="917"/>
      <c r="N67" s="918"/>
      <c r="O67" s="10"/>
    </row>
    <row r="68" spans="1:15" x14ac:dyDescent="0.2">
      <c r="A68" s="8"/>
      <c r="B68" s="332" t="s">
        <v>39</v>
      </c>
      <c r="C68" s="333"/>
      <c r="D68" s="333"/>
      <c r="E68" s="333"/>
      <c r="F68" s="334"/>
      <c r="G68" s="20" t="s">
        <v>25</v>
      </c>
      <c r="H68" s="916" t="s">
        <v>40</v>
      </c>
      <c r="I68" s="917"/>
      <c r="J68" s="917"/>
      <c r="K68" s="917"/>
      <c r="L68" s="917"/>
      <c r="M68" s="917"/>
      <c r="N68" s="918"/>
      <c r="O68" s="10"/>
    </row>
    <row r="69" spans="1:15" ht="12.75" customHeight="1" x14ac:dyDescent="0.2">
      <c r="A69" s="8"/>
      <c r="B69" s="332" t="s">
        <v>41</v>
      </c>
      <c r="C69" s="333"/>
      <c r="D69" s="333"/>
      <c r="E69" s="333"/>
      <c r="F69" s="334"/>
      <c r="G69" s="20" t="s">
        <v>42</v>
      </c>
      <c r="H69" s="916" t="s">
        <v>43</v>
      </c>
      <c r="I69" s="917"/>
      <c r="J69" s="917"/>
      <c r="K69" s="917"/>
      <c r="L69" s="917"/>
      <c r="M69" s="917"/>
      <c r="N69" s="918"/>
      <c r="O69" s="10"/>
    </row>
    <row r="70" spans="1:15" ht="12.75" customHeight="1" x14ac:dyDescent="0.2">
      <c r="A70" s="8"/>
      <c r="B70" s="332" t="s">
        <v>44</v>
      </c>
      <c r="C70" s="333"/>
      <c r="D70" s="333"/>
      <c r="E70" s="333"/>
      <c r="F70" s="334"/>
      <c r="G70" s="20" t="s">
        <v>42</v>
      </c>
      <c r="H70" s="916" t="s">
        <v>45</v>
      </c>
      <c r="I70" s="917"/>
      <c r="J70" s="917"/>
      <c r="K70" s="917"/>
      <c r="L70" s="917"/>
      <c r="M70" s="917"/>
      <c r="N70" s="918"/>
      <c r="O70" s="10"/>
    </row>
    <row r="71" spans="1:15" ht="12.75" customHeight="1" x14ac:dyDescent="0.2">
      <c r="A71" s="8"/>
      <c r="B71" s="332" t="s">
        <v>46</v>
      </c>
      <c r="C71" s="333"/>
      <c r="D71" s="333"/>
      <c r="E71" s="333"/>
      <c r="F71" s="334"/>
      <c r="G71" s="20" t="s">
        <v>42</v>
      </c>
      <c r="H71" s="916" t="s">
        <v>47</v>
      </c>
      <c r="I71" s="917"/>
      <c r="J71" s="917"/>
      <c r="K71" s="917"/>
      <c r="L71" s="917"/>
      <c r="M71" s="917"/>
      <c r="N71" s="918"/>
      <c r="O71" s="10"/>
    </row>
    <row r="72" spans="1:15" ht="12.75" customHeight="1" x14ac:dyDescent="0.2">
      <c r="A72" s="8"/>
      <c r="B72" s="332" t="s">
        <v>48</v>
      </c>
      <c r="C72" s="333"/>
      <c r="D72" s="333"/>
      <c r="E72" s="333"/>
      <c r="F72" s="334"/>
      <c r="G72" s="20" t="s">
        <v>42</v>
      </c>
      <c r="H72" s="916" t="s">
        <v>49</v>
      </c>
      <c r="I72" s="917"/>
      <c r="J72" s="917"/>
      <c r="K72" s="917"/>
      <c r="L72" s="917"/>
      <c r="M72" s="917"/>
      <c r="N72" s="918"/>
      <c r="O72" s="10"/>
    </row>
    <row r="73" spans="1:15" ht="12.75" customHeight="1" x14ac:dyDescent="0.2">
      <c r="A73" s="8"/>
      <c r="B73" s="332" t="s">
        <v>50</v>
      </c>
      <c r="C73" s="333"/>
      <c r="D73" s="333"/>
      <c r="E73" s="333"/>
      <c r="F73" s="334"/>
      <c r="G73" s="20" t="s">
        <v>42</v>
      </c>
      <c r="H73" s="916" t="s">
        <v>51</v>
      </c>
      <c r="I73" s="917"/>
      <c r="J73" s="917"/>
      <c r="K73" s="917"/>
      <c r="L73" s="917"/>
      <c r="M73" s="917"/>
      <c r="N73" s="918"/>
      <c r="O73" s="10"/>
    </row>
    <row r="74" spans="1:15" ht="12.75" customHeight="1" x14ac:dyDescent="0.2">
      <c r="A74" s="8"/>
      <c r="B74" s="332" t="s">
        <v>52</v>
      </c>
      <c r="C74" s="333"/>
      <c r="D74" s="333"/>
      <c r="E74" s="333"/>
      <c r="F74" s="334"/>
      <c r="G74" s="20" t="s">
        <v>25</v>
      </c>
      <c r="H74" s="916" t="s">
        <v>53</v>
      </c>
      <c r="I74" s="917"/>
      <c r="J74" s="917"/>
      <c r="K74" s="917"/>
      <c r="L74" s="917"/>
      <c r="M74" s="917"/>
      <c r="N74" s="918"/>
      <c r="O74" s="10"/>
    </row>
    <row r="75" spans="1:15" ht="12.75" customHeight="1" x14ac:dyDescent="0.2">
      <c r="A75" s="8"/>
      <c r="B75" s="332" t="s">
        <v>54</v>
      </c>
      <c r="C75" s="333"/>
      <c r="D75" s="333"/>
      <c r="E75" s="333"/>
      <c r="F75" s="334"/>
      <c r="G75" s="20" t="s">
        <v>42</v>
      </c>
      <c r="H75" s="916" t="s">
        <v>55</v>
      </c>
      <c r="I75" s="917"/>
      <c r="J75" s="917"/>
      <c r="K75" s="917"/>
      <c r="L75" s="917"/>
      <c r="M75" s="917"/>
      <c r="N75" s="918"/>
      <c r="O75" s="10"/>
    </row>
    <row r="76" spans="1:15" ht="25.5" customHeight="1" x14ac:dyDescent="0.2">
      <c r="A76" s="8"/>
      <c r="B76" s="332" t="s">
        <v>100</v>
      </c>
      <c r="C76" s="333"/>
      <c r="D76" s="333"/>
      <c r="E76" s="333"/>
      <c r="F76" s="334"/>
      <c r="G76" s="20" t="s">
        <v>25</v>
      </c>
      <c r="H76" s="916" t="s">
        <v>363</v>
      </c>
      <c r="I76" s="917"/>
      <c r="J76" s="917"/>
      <c r="K76" s="917"/>
      <c r="L76" s="917"/>
      <c r="M76" s="917"/>
      <c r="N76" s="918"/>
      <c r="O76" s="10"/>
    </row>
    <row r="77" spans="1:15" ht="12.75" customHeight="1" x14ac:dyDescent="0.2">
      <c r="A77" s="8"/>
      <c r="B77" s="932" t="s">
        <v>347</v>
      </c>
      <c r="C77" s="933"/>
      <c r="D77" s="933"/>
      <c r="E77" s="933"/>
      <c r="F77" s="933"/>
      <c r="G77" s="934"/>
      <c r="H77" s="920" t="s">
        <v>350</v>
      </c>
      <c r="I77" s="921"/>
      <c r="J77" s="921"/>
      <c r="K77" s="921"/>
      <c r="L77" s="921"/>
      <c r="M77" s="921"/>
      <c r="N77" s="922"/>
      <c r="O77" s="10"/>
    </row>
    <row r="78" spans="1:15" ht="25.5" customHeight="1" x14ac:dyDescent="0.2">
      <c r="A78" s="8"/>
      <c r="B78" s="607" t="s">
        <v>56</v>
      </c>
      <c r="C78" s="333"/>
      <c r="D78" s="333"/>
      <c r="E78" s="333"/>
      <c r="F78" s="334"/>
      <c r="G78" s="608" t="s">
        <v>28</v>
      </c>
      <c r="H78" s="919" t="s">
        <v>57</v>
      </c>
      <c r="I78" s="917"/>
      <c r="J78" s="917"/>
      <c r="K78" s="917"/>
      <c r="L78" s="917"/>
      <c r="M78" s="917"/>
      <c r="N78" s="918"/>
      <c r="O78" s="10"/>
    </row>
    <row r="79" spans="1:15" ht="25.5" customHeight="1" x14ac:dyDescent="0.2">
      <c r="A79" s="8"/>
      <c r="B79" s="607" t="s">
        <v>267</v>
      </c>
      <c r="C79" s="333"/>
      <c r="D79" s="333"/>
      <c r="E79" s="333"/>
      <c r="F79" s="334"/>
      <c r="G79" s="608" t="s">
        <v>28</v>
      </c>
      <c r="H79" s="919" t="s">
        <v>349</v>
      </c>
      <c r="I79" s="923"/>
      <c r="J79" s="923"/>
      <c r="K79" s="923"/>
      <c r="L79" s="923"/>
      <c r="M79" s="923"/>
      <c r="N79" s="924"/>
      <c r="O79" s="10"/>
    </row>
    <row r="80" spans="1:15" ht="24" customHeight="1" x14ac:dyDescent="0.2">
      <c r="A80" s="8"/>
      <c r="B80" s="332" t="s">
        <v>58</v>
      </c>
      <c r="C80" s="333"/>
      <c r="D80" s="333"/>
      <c r="E80" s="333"/>
      <c r="F80" s="334"/>
      <c r="G80" s="20" t="s">
        <v>25</v>
      </c>
      <c r="H80" s="919" t="s">
        <v>417</v>
      </c>
      <c r="I80" s="917"/>
      <c r="J80" s="917"/>
      <c r="K80" s="917"/>
      <c r="L80" s="917"/>
      <c r="M80" s="917"/>
      <c r="N80" s="918"/>
      <c r="O80" s="10"/>
    </row>
    <row r="81" spans="1:15" ht="25.5" customHeight="1" x14ac:dyDescent="0.2">
      <c r="A81" s="8"/>
      <c r="B81" s="332" t="s">
        <v>59</v>
      </c>
      <c r="C81" s="333"/>
      <c r="D81" s="333"/>
      <c r="E81" s="333"/>
      <c r="F81" s="334"/>
      <c r="G81" s="20" t="s">
        <v>28</v>
      </c>
      <c r="H81" s="919" t="s">
        <v>380</v>
      </c>
      <c r="I81" s="917"/>
      <c r="J81" s="917"/>
      <c r="K81" s="917"/>
      <c r="L81" s="917"/>
      <c r="M81" s="917"/>
      <c r="N81" s="918"/>
      <c r="O81" s="10"/>
    </row>
    <row r="82" spans="1:15" ht="25.5" customHeight="1" x14ac:dyDescent="0.2">
      <c r="A82" s="8"/>
      <c r="B82" s="607" t="s">
        <v>496</v>
      </c>
      <c r="C82" s="333"/>
      <c r="D82" s="333"/>
      <c r="E82" s="333"/>
      <c r="F82" s="334"/>
      <c r="G82" s="608" t="s">
        <v>28</v>
      </c>
      <c r="H82" s="927" t="s">
        <v>498</v>
      </c>
      <c r="I82" s="928"/>
      <c r="J82" s="928"/>
      <c r="K82" s="928"/>
      <c r="L82" s="928"/>
      <c r="M82" s="928"/>
      <c r="N82" s="929"/>
      <c r="O82" s="10"/>
    </row>
    <row r="83" spans="1:15" ht="25.5" customHeight="1" x14ac:dyDescent="0.2">
      <c r="A83" s="8"/>
      <c r="B83" s="750" t="s">
        <v>495</v>
      </c>
      <c r="C83" s="842"/>
      <c r="D83" s="842"/>
      <c r="E83" s="842"/>
      <c r="F83" s="843"/>
      <c r="G83" s="844" t="s">
        <v>28</v>
      </c>
      <c r="H83" s="913" t="s">
        <v>499</v>
      </c>
      <c r="I83" s="925"/>
      <c r="J83" s="925"/>
      <c r="K83" s="925"/>
      <c r="L83" s="925"/>
      <c r="M83" s="925"/>
      <c r="N83" s="926"/>
      <c r="O83" s="10"/>
    </row>
    <row r="84" spans="1:15" ht="38.25" customHeight="1" x14ac:dyDescent="0.2">
      <c r="A84" s="8"/>
      <c r="B84" s="750" t="s">
        <v>426</v>
      </c>
      <c r="C84" s="747"/>
      <c r="D84" s="747"/>
      <c r="E84" s="747"/>
      <c r="F84" s="748"/>
      <c r="G84" s="749" t="s">
        <v>351</v>
      </c>
      <c r="H84" s="913" t="s">
        <v>436</v>
      </c>
      <c r="I84" s="914"/>
      <c r="J84" s="914"/>
      <c r="K84" s="914"/>
      <c r="L84" s="914"/>
      <c r="M84" s="914"/>
      <c r="N84" s="915"/>
      <c r="O84" s="10"/>
    </row>
    <row r="85" spans="1:15" ht="25.5" customHeight="1" x14ac:dyDescent="0.2">
      <c r="A85" s="8"/>
      <c r="B85" s="332" t="s">
        <v>61</v>
      </c>
      <c r="C85" s="333"/>
      <c r="D85" s="333"/>
      <c r="E85" s="333"/>
      <c r="F85" s="334"/>
      <c r="G85" s="608" t="s">
        <v>351</v>
      </c>
      <c r="H85" s="919" t="s">
        <v>511</v>
      </c>
      <c r="I85" s="923"/>
      <c r="J85" s="923"/>
      <c r="K85" s="923"/>
      <c r="L85" s="923"/>
      <c r="M85" s="923"/>
      <c r="N85" s="924"/>
      <c r="O85" s="10"/>
    </row>
    <row r="86" spans="1:15" ht="38.25" customHeight="1" x14ac:dyDescent="0.2">
      <c r="A86" s="8"/>
      <c r="B86" s="332" t="s">
        <v>62</v>
      </c>
      <c r="C86" s="333"/>
      <c r="D86" s="333"/>
      <c r="E86" s="333"/>
      <c r="F86" s="334"/>
      <c r="G86" s="608" t="s">
        <v>351</v>
      </c>
      <c r="H86" s="919" t="s">
        <v>539</v>
      </c>
      <c r="I86" s="923"/>
      <c r="J86" s="923"/>
      <c r="K86" s="923"/>
      <c r="L86" s="923"/>
      <c r="M86" s="923"/>
      <c r="N86" s="924"/>
      <c r="O86" s="10"/>
    </row>
    <row r="87" spans="1:15" ht="25.5" customHeight="1" x14ac:dyDescent="0.2">
      <c r="A87" s="8"/>
      <c r="B87" s="332" t="s">
        <v>63</v>
      </c>
      <c r="C87" s="333"/>
      <c r="D87" s="333"/>
      <c r="E87" s="333"/>
      <c r="F87" s="334"/>
      <c r="G87" s="608" t="s">
        <v>28</v>
      </c>
      <c r="H87" s="919" t="s">
        <v>352</v>
      </c>
      <c r="I87" s="923"/>
      <c r="J87" s="923"/>
      <c r="K87" s="923"/>
      <c r="L87" s="923"/>
      <c r="M87" s="923"/>
      <c r="N87" s="924"/>
      <c r="O87" s="10"/>
    </row>
    <row r="88" spans="1:15" x14ac:dyDescent="0.2">
      <c r="A88" s="8"/>
      <c r="B88" s="332" t="s">
        <v>65</v>
      </c>
      <c r="C88" s="333"/>
      <c r="D88" s="333"/>
      <c r="E88" s="333"/>
      <c r="F88" s="334"/>
      <c r="G88" s="20" t="s">
        <v>42</v>
      </c>
      <c r="H88" s="916" t="s">
        <v>66</v>
      </c>
      <c r="I88" s="917"/>
      <c r="J88" s="917"/>
      <c r="K88" s="917"/>
      <c r="L88" s="917"/>
      <c r="M88" s="917"/>
      <c r="N88" s="918"/>
      <c r="O88" s="10"/>
    </row>
    <row r="89" spans="1:15" ht="12.75" customHeight="1" x14ac:dyDescent="0.2">
      <c r="A89" s="8"/>
      <c r="B89" s="335" t="s">
        <v>542</v>
      </c>
      <c r="C89" s="333"/>
      <c r="D89" s="333"/>
      <c r="E89" s="333"/>
      <c r="F89" s="334"/>
      <c r="G89" s="20"/>
      <c r="H89" s="604"/>
      <c r="I89" s="605"/>
      <c r="J89" s="605"/>
      <c r="K89" s="605"/>
      <c r="L89" s="605"/>
      <c r="M89" s="605"/>
      <c r="N89" s="606"/>
      <c r="O89" s="10"/>
    </row>
    <row r="90" spans="1:15" ht="12.75" customHeight="1" x14ac:dyDescent="0.2">
      <c r="A90" s="8"/>
      <c r="B90" s="607" t="s">
        <v>335</v>
      </c>
      <c r="C90" s="333"/>
      <c r="D90" s="333"/>
      <c r="E90" s="333"/>
      <c r="F90" s="334"/>
      <c r="G90" s="608" t="s">
        <v>28</v>
      </c>
      <c r="H90" s="919" t="s">
        <v>338</v>
      </c>
      <c r="I90" s="923"/>
      <c r="J90" s="923"/>
      <c r="K90" s="923"/>
      <c r="L90" s="923"/>
      <c r="M90" s="923"/>
      <c r="N90" s="924"/>
      <c r="O90" s="10"/>
    </row>
    <row r="91" spans="1:15" ht="12.75" customHeight="1" x14ac:dyDescent="0.2">
      <c r="A91" s="8"/>
      <c r="B91" s="332" t="s">
        <v>299</v>
      </c>
      <c r="C91" s="333"/>
      <c r="D91" s="333"/>
      <c r="E91" s="333"/>
      <c r="F91" s="334"/>
      <c r="G91" s="608" t="s">
        <v>28</v>
      </c>
      <c r="H91" s="919" t="s">
        <v>339</v>
      </c>
      <c r="I91" s="923"/>
      <c r="J91" s="923"/>
      <c r="K91" s="923"/>
      <c r="L91" s="923"/>
      <c r="M91" s="923"/>
      <c r="N91" s="924"/>
      <c r="O91" s="10"/>
    </row>
    <row r="92" spans="1:15" ht="12.75" customHeight="1" x14ac:dyDescent="0.2">
      <c r="A92" s="8"/>
      <c r="B92" s="332" t="s">
        <v>301</v>
      </c>
      <c r="C92" s="333"/>
      <c r="D92" s="333"/>
      <c r="E92" s="333"/>
      <c r="F92" s="334"/>
      <c r="G92" s="608" t="s">
        <v>28</v>
      </c>
      <c r="H92" s="919" t="s">
        <v>64</v>
      </c>
      <c r="I92" s="923"/>
      <c r="J92" s="923"/>
      <c r="K92" s="923"/>
      <c r="L92" s="923"/>
      <c r="M92" s="923"/>
      <c r="N92" s="924"/>
      <c r="O92" s="10"/>
    </row>
    <row r="93" spans="1:15" ht="25.5" customHeight="1" x14ac:dyDescent="0.2">
      <c r="A93" s="8"/>
      <c r="B93" s="607" t="s">
        <v>527</v>
      </c>
      <c r="C93" s="333"/>
      <c r="D93" s="333"/>
      <c r="E93" s="333"/>
      <c r="F93" s="334"/>
      <c r="G93" s="608" t="s">
        <v>28</v>
      </c>
      <c r="H93" s="919" t="s">
        <v>540</v>
      </c>
      <c r="I93" s="917"/>
      <c r="J93" s="917"/>
      <c r="K93" s="917"/>
      <c r="L93" s="917"/>
      <c r="M93" s="917"/>
      <c r="N93" s="918"/>
      <c r="O93" s="10"/>
    </row>
    <row r="94" spans="1:15" ht="24.95" customHeight="1" x14ac:dyDescent="0.2">
      <c r="A94" s="8"/>
      <c r="B94" s="332" t="s">
        <v>304</v>
      </c>
      <c r="C94" s="333"/>
      <c r="D94" s="333"/>
      <c r="E94" s="333"/>
      <c r="F94" s="334"/>
      <c r="G94" s="608" t="s">
        <v>25</v>
      </c>
      <c r="H94" s="916" t="s">
        <v>342</v>
      </c>
      <c r="I94" s="917"/>
      <c r="J94" s="917"/>
      <c r="K94" s="917"/>
      <c r="L94" s="917"/>
      <c r="M94" s="917"/>
      <c r="N94" s="918"/>
      <c r="O94" s="10"/>
    </row>
    <row r="95" spans="1:15" ht="12.75" customHeight="1" x14ac:dyDescent="0.2">
      <c r="A95" s="8"/>
      <c r="B95" s="332" t="s">
        <v>298</v>
      </c>
      <c r="C95" s="333"/>
      <c r="D95" s="333"/>
      <c r="E95" s="333"/>
      <c r="F95" s="334"/>
      <c r="G95" s="608" t="s">
        <v>28</v>
      </c>
      <c r="H95" s="919" t="s">
        <v>341</v>
      </c>
      <c r="I95" s="923"/>
      <c r="J95" s="923"/>
      <c r="K95" s="923"/>
      <c r="L95" s="923"/>
      <c r="M95" s="923"/>
      <c r="N95" s="924"/>
      <c r="O95" s="10"/>
    </row>
    <row r="96" spans="1:15" ht="25.5" customHeight="1" x14ac:dyDescent="0.2">
      <c r="A96" s="8"/>
      <c r="B96" s="332" t="s">
        <v>300</v>
      </c>
      <c r="C96" s="333"/>
      <c r="D96" s="333"/>
      <c r="E96" s="333"/>
      <c r="F96" s="334"/>
      <c r="G96" s="608" t="s">
        <v>42</v>
      </c>
      <c r="H96" s="919" t="s">
        <v>340</v>
      </c>
      <c r="I96" s="923"/>
      <c r="J96" s="923"/>
      <c r="K96" s="923"/>
      <c r="L96" s="923"/>
      <c r="M96" s="923"/>
      <c r="N96" s="924"/>
      <c r="O96" s="10"/>
    </row>
    <row r="97" spans="1:15" ht="25.5" customHeight="1" x14ac:dyDescent="0.2">
      <c r="A97" s="8"/>
      <c r="B97" s="332" t="s">
        <v>302</v>
      </c>
      <c r="C97" s="333"/>
      <c r="D97" s="333"/>
      <c r="E97" s="333"/>
      <c r="F97" s="334"/>
      <c r="G97" s="608" t="s">
        <v>28</v>
      </c>
      <c r="H97" s="919" t="s">
        <v>541</v>
      </c>
      <c r="I97" s="923"/>
      <c r="J97" s="923"/>
      <c r="K97" s="923"/>
      <c r="L97" s="923"/>
      <c r="M97" s="923"/>
      <c r="N97" s="924"/>
      <c r="O97" s="10"/>
    </row>
    <row r="98" spans="1:15" ht="38.25" customHeight="1" x14ac:dyDescent="0.2">
      <c r="A98" s="8"/>
      <c r="B98" s="332" t="s">
        <v>303</v>
      </c>
      <c r="C98" s="333"/>
      <c r="D98" s="333"/>
      <c r="E98" s="333"/>
      <c r="F98" s="334"/>
      <c r="G98" s="608" t="s">
        <v>42</v>
      </c>
      <c r="H98" s="919" t="s">
        <v>345</v>
      </c>
      <c r="I98" s="923"/>
      <c r="J98" s="923"/>
      <c r="K98" s="923"/>
      <c r="L98" s="923"/>
      <c r="M98" s="923"/>
      <c r="N98" s="924"/>
      <c r="O98" s="10"/>
    </row>
    <row r="99" spans="1:15" ht="37.5" customHeight="1" x14ac:dyDescent="0.2">
      <c r="A99" s="8"/>
      <c r="B99" s="607" t="s">
        <v>528</v>
      </c>
      <c r="C99" s="333"/>
      <c r="D99" s="333"/>
      <c r="E99" s="333"/>
      <c r="F99" s="334"/>
      <c r="G99" s="608" t="s">
        <v>42</v>
      </c>
      <c r="H99" s="919" t="s">
        <v>346</v>
      </c>
      <c r="I99" s="923"/>
      <c r="J99" s="923"/>
      <c r="K99" s="923"/>
      <c r="L99" s="923"/>
      <c r="M99" s="923"/>
      <c r="N99" s="924"/>
      <c r="O99" s="10"/>
    </row>
    <row r="100" spans="1:15" ht="45" customHeight="1" x14ac:dyDescent="0.2">
      <c r="A100" s="8"/>
      <c r="B100" s="899" t="s">
        <v>512</v>
      </c>
      <c r="C100" s="842"/>
      <c r="D100" s="842"/>
      <c r="E100" s="842"/>
      <c r="F100" s="843"/>
      <c r="G100" s="900" t="s">
        <v>28</v>
      </c>
      <c r="H100" s="913" t="s">
        <v>543</v>
      </c>
      <c r="I100" s="958"/>
      <c r="J100" s="958"/>
      <c r="K100" s="958"/>
      <c r="L100" s="958"/>
      <c r="M100" s="958"/>
      <c r="N100" s="959"/>
      <c r="O100" s="10"/>
    </row>
    <row r="101" spans="1:15" ht="47.1" customHeight="1" x14ac:dyDescent="0.2">
      <c r="A101" s="8"/>
      <c r="B101" s="899" t="s">
        <v>544</v>
      </c>
      <c r="C101" s="842"/>
      <c r="D101" s="842"/>
      <c r="E101" s="842"/>
      <c r="F101" s="843"/>
      <c r="G101" s="900" t="s">
        <v>28</v>
      </c>
      <c r="H101" s="913" t="s">
        <v>545</v>
      </c>
      <c r="I101" s="958"/>
      <c r="J101" s="958"/>
      <c r="K101" s="958"/>
      <c r="L101" s="958"/>
      <c r="M101" s="958"/>
      <c r="N101" s="959"/>
      <c r="O101" s="10"/>
    </row>
    <row r="102" spans="1:15" ht="52.5" customHeight="1" x14ac:dyDescent="0.2">
      <c r="A102" s="8"/>
      <c r="B102" s="899" t="s">
        <v>514</v>
      </c>
      <c r="C102" s="842"/>
      <c r="D102" s="842"/>
      <c r="E102" s="842"/>
      <c r="F102" s="843"/>
      <c r="G102" s="900" t="s">
        <v>546</v>
      </c>
      <c r="H102" s="955" t="s">
        <v>547</v>
      </c>
      <c r="I102" s="956"/>
      <c r="J102" s="956"/>
      <c r="K102" s="956"/>
      <c r="L102" s="956"/>
      <c r="M102" s="956"/>
      <c r="N102" s="957"/>
      <c r="O102" s="10"/>
    </row>
    <row r="103" spans="1:15" ht="52.5" customHeight="1" x14ac:dyDescent="0.2">
      <c r="A103" s="8"/>
      <c r="B103" s="899" t="s">
        <v>548</v>
      </c>
      <c r="C103" s="842"/>
      <c r="D103" s="842"/>
      <c r="E103" s="842"/>
      <c r="F103" s="843"/>
      <c r="G103" s="900" t="s">
        <v>546</v>
      </c>
      <c r="H103" s="955" t="s">
        <v>549</v>
      </c>
      <c r="I103" s="956"/>
      <c r="J103" s="956"/>
      <c r="K103" s="956"/>
      <c r="L103" s="956"/>
      <c r="M103" s="956"/>
      <c r="N103" s="957"/>
      <c r="O103" s="10"/>
    </row>
    <row r="104" spans="1:15" ht="52.5" customHeight="1" x14ac:dyDescent="0.2">
      <c r="A104" s="8"/>
      <c r="B104" s="899" t="s">
        <v>515</v>
      </c>
      <c r="C104" s="842"/>
      <c r="D104" s="842"/>
      <c r="E104" s="842"/>
      <c r="F104" s="843"/>
      <c r="G104" s="900" t="s">
        <v>546</v>
      </c>
      <c r="H104" s="955" t="s">
        <v>550</v>
      </c>
      <c r="I104" s="956"/>
      <c r="J104" s="956"/>
      <c r="K104" s="956"/>
      <c r="L104" s="956"/>
      <c r="M104" s="956"/>
      <c r="N104" s="957"/>
      <c r="O104" s="10"/>
    </row>
    <row r="105" spans="1:15" ht="52.5" customHeight="1" x14ac:dyDescent="0.2">
      <c r="A105" s="8"/>
      <c r="B105" s="899" t="s">
        <v>516</v>
      </c>
      <c r="C105" s="842"/>
      <c r="D105" s="842"/>
      <c r="E105" s="842"/>
      <c r="F105" s="843"/>
      <c r="G105" s="900" t="s">
        <v>546</v>
      </c>
      <c r="H105" s="955" t="s">
        <v>551</v>
      </c>
      <c r="I105" s="956"/>
      <c r="J105" s="956"/>
      <c r="K105" s="956"/>
      <c r="L105" s="956"/>
      <c r="M105" s="956"/>
      <c r="N105" s="957"/>
      <c r="O105" s="10"/>
    </row>
    <row r="106" spans="1:15" ht="52.5" customHeight="1" x14ac:dyDescent="0.2">
      <c r="A106" s="8"/>
      <c r="B106" s="750" t="s">
        <v>552</v>
      </c>
      <c r="C106" s="842"/>
      <c r="D106" s="842"/>
      <c r="E106" s="842"/>
      <c r="F106" s="843"/>
      <c r="G106" s="900" t="s">
        <v>546</v>
      </c>
      <c r="H106" s="955" t="s">
        <v>553</v>
      </c>
      <c r="I106" s="956"/>
      <c r="J106" s="956"/>
      <c r="K106" s="956"/>
      <c r="L106" s="956"/>
      <c r="M106" s="956"/>
      <c r="N106" s="957"/>
      <c r="O106" s="10"/>
    </row>
    <row r="107" spans="1:15" ht="12.75" customHeight="1" x14ac:dyDescent="0.2">
      <c r="A107" s="8"/>
      <c r="B107" s="335" t="s">
        <v>538</v>
      </c>
      <c r="C107" s="336"/>
      <c r="D107" s="336"/>
      <c r="E107" s="336"/>
      <c r="F107" s="337"/>
      <c r="G107" s="20"/>
      <c r="H107" s="604"/>
      <c r="I107" s="605"/>
      <c r="J107" s="605"/>
      <c r="K107" s="605"/>
      <c r="L107" s="605"/>
      <c r="M107" s="605"/>
      <c r="N107" s="606"/>
      <c r="O107" s="10"/>
    </row>
    <row r="108" spans="1:15" ht="25.5" customHeight="1" x14ac:dyDescent="0.2">
      <c r="A108" s="8"/>
      <c r="B108" s="332" t="s">
        <v>56</v>
      </c>
      <c r="C108" s="333"/>
      <c r="D108" s="333"/>
      <c r="E108" s="333"/>
      <c r="F108" s="334"/>
      <c r="G108" s="608" t="s">
        <v>28</v>
      </c>
      <c r="H108" s="916" t="s">
        <v>57</v>
      </c>
      <c r="I108" s="917"/>
      <c r="J108" s="917"/>
      <c r="K108" s="917"/>
      <c r="L108" s="917"/>
      <c r="M108" s="917"/>
      <c r="N108" s="918"/>
      <c r="O108" s="10"/>
    </row>
    <row r="109" spans="1:15" ht="25.5" customHeight="1" x14ac:dyDescent="0.2">
      <c r="A109" s="8"/>
      <c r="B109" s="607" t="s">
        <v>267</v>
      </c>
      <c r="C109" s="333"/>
      <c r="D109" s="333"/>
      <c r="E109" s="333"/>
      <c r="F109" s="334"/>
      <c r="G109" s="608" t="s">
        <v>28</v>
      </c>
      <c r="H109" s="919" t="s">
        <v>349</v>
      </c>
      <c r="I109" s="923"/>
      <c r="J109" s="923"/>
      <c r="K109" s="923"/>
      <c r="L109" s="923"/>
      <c r="M109" s="923"/>
      <c r="N109" s="924"/>
      <c r="O109" s="10"/>
    </row>
    <row r="110" spans="1:15" ht="25.5" customHeight="1" x14ac:dyDescent="0.2">
      <c r="A110" s="8"/>
      <c r="B110" s="332" t="s">
        <v>58</v>
      </c>
      <c r="C110" s="333"/>
      <c r="D110" s="333"/>
      <c r="E110" s="333"/>
      <c r="F110" s="334"/>
      <c r="G110" s="20" t="s">
        <v>25</v>
      </c>
      <c r="H110" s="919" t="s">
        <v>417</v>
      </c>
      <c r="I110" s="917"/>
      <c r="J110" s="917"/>
      <c r="K110" s="917"/>
      <c r="L110" s="917"/>
      <c r="M110" s="917"/>
      <c r="N110" s="918"/>
      <c r="O110" s="10"/>
    </row>
    <row r="111" spans="1:15" ht="25.5" customHeight="1" x14ac:dyDescent="0.2">
      <c r="A111" s="8"/>
      <c r="B111" s="332" t="s">
        <v>60</v>
      </c>
      <c r="C111" s="333"/>
      <c r="D111" s="333"/>
      <c r="E111" s="333"/>
      <c r="F111" s="334"/>
      <c r="G111" s="608" t="s">
        <v>28</v>
      </c>
      <c r="H111" s="927" t="s">
        <v>360</v>
      </c>
      <c r="I111" s="960"/>
      <c r="J111" s="960"/>
      <c r="K111" s="960"/>
      <c r="L111" s="960"/>
      <c r="M111" s="960"/>
      <c r="N111" s="961"/>
      <c r="O111" s="10"/>
    </row>
    <row r="112" spans="1:15" ht="25.5" customHeight="1" x14ac:dyDescent="0.2">
      <c r="A112" s="8"/>
      <c r="B112" s="332" t="s">
        <v>67</v>
      </c>
      <c r="C112" s="333"/>
      <c r="D112" s="333"/>
      <c r="E112" s="333"/>
      <c r="F112" s="334"/>
      <c r="G112" s="608" t="s">
        <v>28</v>
      </c>
      <c r="H112" s="919" t="s">
        <v>336</v>
      </c>
      <c r="I112" s="923"/>
      <c r="J112" s="923"/>
      <c r="K112" s="923"/>
      <c r="L112" s="923"/>
      <c r="M112" s="923"/>
      <c r="N112" s="924"/>
      <c r="O112" s="10"/>
    </row>
    <row r="113" spans="1:15" ht="24.95" customHeight="1" x14ac:dyDescent="0.2">
      <c r="A113" s="8"/>
      <c r="B113" s="607" t="s">
        <v>271</v>
      </c>
      <c r="C113" s="333"/>
      <c r="D113" s="333"/>
      <c r="E113" s="333"/>
      <c r="F113" s="334"/>
      <c r="G113" s="608" t="s">
        <v>25</v>
      </c>
      <c r="H113" s="919" t="s">
        <v>337</v>
      </c>
      <c r="I113" s="923"/>
      <c r="J113" s="923"/>
      <c r="K113" s="923"/>
      <c r="L113" s="923"/>
      <c r="M113" s="923"/>
      <c r="N113" s="924"/>
      <c r="O113" s="10"/>
    </row>
    <row r="114" spans="1:15" ht="12.75" customHeight="1" x14ac:dyDescent="0.2">
      <c r="A114" s="8"/>
      <c r="B114" s="332" t="s">
        <v>68</v>
      </c>
      <c r="C114" s="333"/>
      <c r="D114" s="333"/>
      <c r="E114" s="333"/>
      <c r="F114" s="334"/>
      <c r="G114" s="608" t="s">
        <v>28</v>
      </c>
      <c r="H114" s="916" t="s">
        <v>69</v>
      </c>
      <c r="I114" s="917"/>
      <c r="J114" s="917"/>
      <c r="K114" s="917"/>
      <c r="L114" s="917"/>
      <c r="M114" s="917"/>
      <c r="N114" s="918"/>
      <c r="O114" s="10"/>
    </row>
    <row r="115" spans="1:15" ht="12.75" customHeight="1" x14ac:dyDescent="0.2">
      <c r="A115" s="8"/>
      <c r="B115" s="332" t="s">
        <v>196</v>
      </c>
      <c r="C115" s="333"/>
      <c r="D115" s="333"/>
      <c r="E115" s="333"/>
      <c r="F115" s="334"/>
      <c r="G115" s="20" t="s">
        <v>25</v>
      </c>
      <c r="H115" s="916" t="s">
        <v>70</v>
      </c>
      <c r="I115" s="917"/>
      <c r="J115" s="917"/>
      <c r="K115" s="917"/>
      <c r="L115" s="917"/>
      <c r="M115" s="917"/>
      <c r="N115" s="918"/>
      <c r="O115" s="10"/>
    </row>
    <row r="116" spans="1:15" ht="12.75" customHeight="1" x14ac:dyDescent="0.2">
      <c r="A116" s="8"/>
      <c r="B116" s="332" t="s">
        <v>63</v>
      </c>
      <c r="C116" s="333"/>
      <c r="D116" s="333"/>
      <c r="E116" s="333"/>
      <c r="F116" s="334"/>
      <c r="G116" s="608" t="s">
        <v>28</v>
      </c>
      <c r="H116" s="916" t="s">
        <v>64</v>
      </c>
      <c r="I116" s="917"/>
      <c r="J116" s="917"/>
      <c r="K116" s="917"/>
      <c r="L116" s="917"/>
      <c r="M116" s="917"/>
      <c r="N116" s="918"/>
      <c r="O116" s="10"/>
    </row>
    <row r="117" spans="1:15" x14ac:dyDescent="0.2">
      <c r="A117" s="8"/>
      <c r="B117" s="332" t="s">
        <v>71</v>
      </c>
      <c r="C117" s="333"/>
      <c r="D117" s="333"/>
      <c r="E117" s="333"/>
      <c r="F117" s="334"/>
      <c r="G117" s="20" t="s">
        <v>42</v>
      </c>
      <c r="H117" s="916" t="s">
        <v>66</v>
      </c>
      <c r="I117" s="917"/>
      <c r="J117" s="917"/>
      <c r="K117" s="917"/>
      <c r="L117" s="917"/>
      <c r="M117" s="917"/>
      <c r="N117" s="918"/>
      <c r="O117" s="10"/>
    </row>
    <row r="118" spans="1:15" ht="12.75" customHeight="1" x14ac:dyDescent="0.2">
      <c r="A118" s="8"/>
      <c r="B118" s="332"/>
      <c r="C118" s="333"/>
      <c r="D118" s="333"/>
      <c r="E118" s="333"/>
      <c r="F118" s="334"/>
      <c r="G118" s="20"/>
      <c r="H118" s="916"/>
      <c r="I118" s="917"/>
      <c r="J118" s="917"/>
      <c r="K118" s="917"/>
      <c r="L118" s="917"/>
      <c r="M118" s="917"/>
      <c r="N118" s="918"/>
      <c r="O118" s="10"/>
    </row>
    <row r="119" spans="1:15" ht="12.75" customHeight="1" x14ac:dyDescent="0.2">
      <c r="A119" s="8"/>
      <c r="B119" s="332" t="s">
        <v>72</v>
      </c>
      <c r="C119" s="333"/>
      <c r="D119" s="333"/>
      <c r="E119" s="333"/>
      <c r="F119" s="334"/>
      <c r="G119" s="20" t="s">
        <v>42</v>
      </c>
      <c r="H119" s="916" t="s">
        <v>73</v>
      </c>
      <c r="I119" s="917"/>
      <c r="J119" s="917"/>
      <c r="K119" s="917"/>
      <c r="L119" s="917"/>
      <c r="M119" s="917"/>
      <c r="N119" s="918"/>
      <c r="O119" s="10"/>
    </row>
    <row r="120" spans="1:15" ht="25.5" customHeight="1" x14ac:dyDescent="0.2">
      <c r="A120" s="8"/>
      <c r="B120" s="332" t="s">
        <v>74</v>
      </c>
      <c r="C120" s="333"/>
      <c r="D120" s="333"/>
      <c r="E120" s="333"/>
      <c r="F120" s="334"/>
      <c r="G120" s="20" t="s">
        <v>42</v>
      </c>
      <c r="H120" s="916" t="s">
        <v>75</v>
      </c>
      <c r="I120" s="917"/>
      <c r="J120" s="917"/>
      <c r="K120" s="917"/>
      <c r="L120" s="917"/>
      <c r="M120" s="917"/>
      <c r="N120" s="918"/>
      <c r="O120" s="10"/>
    </row>
    <row r="121" spans="1:15" ht="51" customHeight="1" x14ac:dyDescent="0.2">
      <c r="A121" s="8"/>
      <c r="B121" s="607" t="s">
        <v>343</v>
      </c>
      <c r="C121" s="333"/>
      <c r="D121" s="333"/>
      <c r="E121" s="333"/>
      <c r="F121" s="334"/>
      <c r="G121" s="608" t="s">
        <v>42</v>
      </c>
      <c r="H121" s="919" t="s">
        <v>344</v>
      </c>
      <c r="I121" s="923"/>
      <c r="J121" s="923"/>
      <c r="K121" s="923"/>
      <c r="L121" s="923"/>
      <c r="M121" s="923"/>
      <c r="N121" s="924"/>
      <c r="O121" s="10"/>
    </row>
    <row r="122" spans="1:15" ht="12.75" customHeight="1" x14ac:dyDescent="0.2">
      <c r="A122" s="8"/>
      <c r="B122" s="932" t="s">
        <v>353</v>
      </c>
      <c r="C122" s="933"/>
      <c r="D122" s="933"/>
      <c r="E122" s="933"/>
      <c r="F122" s="933"/>
      <c r="G122" s="933"/>
      <c r="H122" s="933"/>
      <c r="I122" s="933"/>
      <c r="J122" s="933"/>
      <c r="K122" s="933"/>
      <c r="L122" s="933"/>
      <c r="M122" s="933"/>
      <c r="N122" s="934"/>
      <c r="O122" s="10"/>
    </row>
    <row r="123" spans="1:15" ht="38.25" customHeight="1" x14ac:dyDescent="0.2">
      <c r="A123" s="8"/>
      <c r="B123" s="920" t="s">
        <v>249</v>
      </c>
      <c r="C123" s="921"/>
      <c r="D123" s="921"/>
      <c r="E123" s="921"/>
      <c r="F123" s="921"/>
      <c r="G123" s="921"/>
      <c r="H123" s="921"/>
      <c r="I123" s="921"/>
      <c r="J123" s="921"/>
      <c r="K123" s="921"/>
      <c r="L123" s="921"/>
      <c r="M123" s="921"/>
      <c r="N123" s="922"/>
      <c r="O123" s="10"/>
    </row>
    <row r="124" spans="1:15" ht="12.75" customHeight="1" x14ac:dyDescent="0.2">
      <c r="A124" s="8"/>
      <c r="B124" s="332" t="s">
        <v>56</v>
      </c>
      <c r="C124" s="333"/>
      <c r="D124" s="333"/>
      <c r="E124" s="333"/>
      <c r="F124" s="334"/>
      <c r="G124" s="608" t="s">
        <v>28</v>
      </c>
      <c r="H124" s="916" t="s">
        <v>57</v>
      </c>
      <c r="I124" s="917"/>
      <c r="J124" s="917"/>
      <c r="K124" s="917"/>
      <c r="L124" s="917"/>
      <c r="M124" s="917"/>
      <c r="N124" s="918"/>
      <c r="O124" s="10"/>
    </row>
    <row r="125" spans="1:15" ht="25.5" customHeight="1" x14ac:dyDescent="0.2">
      <c r="A125" s="8"/>
      <c r="B125" s="332" t="s">
        <v>246</v>
      </c>
      <c r="C125" s="333"/>
      <c r="D125" s="333"/>
      <c r="E125" s="333"/>
      <c r="F125" s="334"/>
      <c r="G125" s="20" t="s">
        <v>25</v>
      </c>
      <c r="H125" s="919" t="s">
        <v>417</v>
      </c>
      <c r="I125" s="917"/>
      <c r="J125" s="917"/>
      <c r="K125" s="917"/>
      <c r="L125" s="917"/>
      <c r="M125" s="917"/>
      <c r="N125" s="918"/>
      <c r="O125" s="10"/>
    </row>
    <row r="126" spans="1:15" ht="12.75" customHeight="1" x14ac:dyDescent="0.2">
      <c r="A126" s="8"/>
      <c r="B126" s="332" t="s">
        <v>76</v>
      </c>
      <c r="C126" s="333"/>
      <c r="D126" s="333"/>
      <c r="E126" s="333"/>
      <c r="F126" s="334"/>
      <c r="G126" s="20" t="s">
        <v>42</v>
      </c>
      <c r="H126" s="916" t="s">
        <v>77</v>
      </c>
      <c r="I126" s="917"/>
      <c r="J126" s="917"/>
      <c r="K126" s="917"/>
      <c r="L126" s="917"/>
      <c r="M126" s="917"/>
      <c r="N126" s="918"/>
      <c r="O126" s="10"/>
    </row>
    <row r="127" spans="1:15" ht="12.75" customHeight="1" x14ac:dyDescent="0.2">
      <c r="A127" s="8"/>
      <c r="B127" s="332" t="s">
        <v>67</v>
      </c>
      <c r="C127" s="333"/>
      <c r="D127" s="333"/>
      <c r="E127" s="333"/>
      <c r="F127" s="334"/>
      <c r="G127" s="20" t="s">
        <v>25</v>
      </c>
      <c r="H127" s="919" t="s">
        <v>336</v>
      </c>
      <c r="I127" s="923"/>
      <c r="J127" s="923"/>
      <c r="K127" s="923"/>
      <c r="L127" s="923"/>
      <c r="M127" s="923"/>
      <c r="N127" s="924"/>
      <c r="O127" s="10"/>
    </row>
    <row r="128" spans="1:15" ht="12.75" customHeight="1" x14ac:dyDescent="0.2">
      <c r="A128" s="8"/>
      <c r="B128" s="332" t="s">
        <v>68</v>
      </c>
      <c r="C128" s="333"/>
      <c r="D128" s="333"/>
      <c r="E128" s="333"/>
      <c r="F128" s="334"/>
      <c r="G128" s="20" t="s">
        <v>25</v>
      </c>
      <c r="H128" s="916" t="s">
        <v>69</v>
      </c>
      <c r="I128" s="917"/>
      <c r="J128" s="917"/>
      <c r="K128" s="917"/>
      <c r="L128" s="917"/>
      <c r="M128" s="917"/>
      <c r="N128" s="918"/>
      <c r="O128" s="10"/>
    </row>
    <row r="129" spans="1:15" ht="12.75" customHeight="1" x14ac:dyDescent="0.2">
      <c r="A129" s="8"/>
      <c r="B129" s="332" t="s">
        <v>196</v>
      </c>
      <c r="C129" s="333"/>
      <c r="D129" s="333"/>
      <c r="E129" s="333"/>
      <c r="F129" s="334"/>
      <c r="G129" s="20" t="s">
        <v>25</v>
      </c>
      <c r="H129" s="916" t="s">
        <v>70</v>
      </c>
      <c r="I129" s="917"/>
      <c r="J129" s="917"/>
      <c r="K129" s="917"/>
      <c r="L129" s="917"/>
      <c r="M129" s="917"/>
      <c r="N129" s="918"/>
      <c r="O129" s="10"/>
    </row>
    <row r="130" spans="1:15" ht="12.75" customHeight="1" x14ac:dyDescent="0.2">
      <c r="A130" s="8"/>
      <c r="B130" s="332" t="s">
        <v>63</v>
      </c>
      <c r="C130" s="333"/>
      <c r="D130" s="333"/>
      <c r="E130" s="333"/>
      <c r="F130" s="334"/>
      <c r="G130" s="20" t="s">
        <v>25</v>
      </c>
      <c r="H130" s="916" t="s">
        <v>64</v>
      </c>
      <c r="I130" s="917"/>
      <c r="J130" s="917"/>
      <c r="K130" s="917"/>
      <c r="L130" s="917"/>
      <c r="M130" s="917"/>
      <c r="N130" s="918"/>
      <c r="O130" s="10"/>
    </row>
    <row r="131" spans="1:15" x14ac:dyDescent="0.2">
      <c r="A131" s="8"/>
      <c r="B131" s="332" t="s">
        <v>71</v>
      </c>
      <c r="C131" s="333"/>
      <c r="D131" s="333"/>
      <c r="E131" s="333"/>
      <c r="F131" s="334"/>
      <c r="G131" s="20" t="s">
        <v>42</v>
      </c>
      <c r="H131" s="916" t="s">
        <v>66</v>
      </c>
      <c r="I131" s="917"/>
      <c r="J131" s="917"/>
      <c r="K131" s="917"/>
      <c r="L131" s="917"/>
      <c r="M131" s="917"/>
      <c r="N131" s="918"/>
      <c r="O131" s="10"/>
    </row>
    <row r="132" spans="1:15" x14ac:dyDescent="0.2">
      <c r="A132" s="8"/>
      <c r="B132" s="951" t="s">
        <v>492</v>
      </c>
      <c r="C132" s="951"/>
      <c r="D132" s="951"/>
      <c r="E132" s="951"/>
      <c r="F132" s="951"/>
      <c r="G132" s="951"/>
      <c r="H132" s="951"/>
      <c r="I132" s="951"/>
      <c r="J132" s="951"/>
      <c r="K132" s="951"/>
      <c r="L132" s="951"/>
      <c r="M132" s="951"/>
      <c r="N132" s="951"/>
      <c r="O132" s="10"/>
    </row>
    <row r="133" spans="1:15" x14ac:dyDescent="0.2">
      <c r="A133" s="8"/>
      <c r="B133" s="952" t="s">
        <v>473</v>
      </c>
      <c r="C133" s="953"/>
      <c r="D133" s="953"/>
      <c r="E133" s="953"/>
      <c r="F133" s="954"/>
      <c r="G133" s="952" t="s">
        <v>474</v>
      </c>
      <c r="H133" s="953"/>
      <c r="I133" s="953"/>
      <c r="J133" s="953"/>
      <c r="K133" s="953"/>
      <c r="L133" s="953"/>
      <c r="M133" s="953"/>
      <c r="N133" s="954"/>
      <c r="O133" s="10"/>
    </row>
    <row r="134" spans="1:15" ht="37.5" customHeight="1" x14ac:dyDescent="0.2">
      <c r="A134" s="8"/>
      <c r="B134" s="942" t="s">
        <v>472</v>
      </c>
      <c r="C134" s="942"/>
      <c r="D134" s="942"/>
      <c r="E134" s="942"/>
      <c r="F134" s="942"/>
      <c r="G134" s="946" t="s">
        <v>475</v>
      </c>
      <c r="H134" s="947"/>
      <c r="I134" s="947"/>
      <c r="J134" s="947"/>
      <c r="K134" s="947"/>
      <c r="L134" s="947"/>
      <c r="M134" s="947"/>
      <c r="N134" s="948"/>
      <c r="O134" s="10"/>
    </row>
    <row r="135" spans="1:15" x14ac:dyDescent="0.2">
      <c r="A135" s="8"/>
      <c r="B135" s="942" t="s">
        <v>476</v>
      </c>
      <c r="C135" s="943"/>
      <c r="D135" s="943"/>
      <c r="E135" s="943"/>
      <c r="F135" s="943"/>
      <c r="G135" s="944" t="s">
        <v>485</v>
      </c>
      <c r="H135" s="945"/>
      <c r="I135" s="945"/>
      <c r="J135" s="945"/>
      <c r="K135" s="945"/>
      <c r="L135" s="945"/>
      <c r="M135" s="945"/>
      <c r="N135" s="945"/>
      <c r="O135" s="10"/>
    </row>
    <row r="136" spans="1:15" x14ac:dyDescent="0.2">
      <c r="A136" s="8"/>
      <c r="B136" s="939" t="s">
        <v>477</v>
      </c>
      <c r="C136" s="940"/>
      <c r="D136" s="940"/>
      <c r="E136" s="940"/>
      <c r="F136" s="941"/>
      <c r="G136" s="944" t="s">
        <v>486</v>
      </c>
      <c r="H136" s="944"/>
      <c r="I136" s="944"/>
      <c r="J136" s="944"/>
      <c r="K136" s="944"/>
      <c r="L136" s="944"/>
      <c r="M136" s="944"/>
      <c r="N136" s="944"/>
      <c r="O136" s="10"/>
    </row>
    <row r="137" spans="1:15" x14ac:dyDescent="0.2">
      <c r="A137" s="8"/>
      <c r="B137" s="942" t="s">
        <v>478</v>
      </c>
      <c r="C137" s="943"/>
      <c r="D137" s="943"/>
      <c r="E137" s="943"/>
      <c r="F137" s="943"/>
      <c r="G137" s="944" t="s">
        <v>487</v>
      </c>
      <c r="H137" s="945"/>
      <c r="I137" s="945"/>
      <c r="J137" s="945"/>
      <c r="K137" s="945"/>
      <c r="L137" s="945"/>
      <c r="M137" s="945"/>
      <c r="N137" s="945"/>
      <c r="O137" s="10"/>
    </row>
    <row r="138" spans="1:15" ht="30" customHeight="1" x14ac:dyDescent="0.2">
      <c r="A138" s="8"/>
      <c r="B138" s="942" t="s">
        <v>479</v>
      </c>
      <c r="C138" s="943"/>
      <c r="D138" s="943"/>
      <c r="E138" s="943"/>
      <c r="F138" s="943"/>
      <c r="G138" s="944" t="s">
        <v>488</v>
      </c>
      <c r="H138" s="945"/>
      <c r="I138" s="945"/>
      <c r="J138" s="945"/>
      <c r="K138" s="945"/>
      <c r="L138" s="945"/>
      <c r="M138" s="945"/>
      <c r="N138" s="945"/>
      <c r="O138" s="10"/>
    </row>
    <row r="139" spans="1:15" x14ac:dyDescent="0.2">
      <c r="A139" s="8"/>
      <c r="B139" s="942" t="s">
        <v>480</v>
      </c>
      <c r="C139" s="943"/>
      <c r="D139" s="943"/>
      <c r="E139" s="943"/>
      <c r="F139" s="943"/>
      <c r="G139" s="949" t="s">
        <v>494</v>
      </c>
      <c r="H139" s="950"/>
      <c r="I139" s="950"/>
      <c r="J139" s="950"/>
      <c r="K139" s="950"/>
      <c r="L139" s="950"/>
      <c r="M139" s="950"/>
      <c r="N139" s="950"/>
      <c r="O139" s="10"/>
    </row>
    <row r="140" spans="1:15" x14ac:dyDescent="0.2">
      <c r="A140" s="8"/>
      <c r="B140" s="942" t="s">
        <v>481</v>
      </c>
      <c r="C140" s="943"/>
      <c r="D140" s="943"/>
      <c r="E140" s="943"/>
      <c r="F140" s="943"/>
      <c r="G140" s="946" t="s">
        <v>489</v>
      </c>
      <c r="H140" s="947"/>
      <c r="I140" s="947"/>
      <c r="J140" s="947"/>
      <c r="K140" s="947"/>
      <c r="L140" s="947"/>
      <c r="M140" s="947"/>
      <c r="N140" s="948"/>
      <c r="O140" s="10"/>
    </row>
    <row r="141" spans="1:15" x14ac:dyDescent="0.2">
      <c r="A141" s="8"/>
      <c r="B141" s="942" t="s">
        <v>482</v>
      </c>
      <c r="C141" s="943"/>
      <c r="D141" s="943"/>
      <c r="E141" s="943"/>
      <c r="F141" s="943"/>
      <c r="G141" s="944" t="s">
        <v>490</v>
      </c>
      <c r="H141" s="945"/>
      <c r="I141" s="945"/>
      <c r="J141" s="945"/>
      <c r="K141" s="945"/>
      <c r="L141" s="945"/>
      <c r="M141" s="945"/>
      <c r="N141" s="945"/>
      <c r="O141" s="10"/>
    </row>
    <row r="142" spans="1:15" x14ac:dyDescent="0.2">
      <c r="A142" s="8"/>
      <c r="B142" s="939" t="s">
        <v>483</v>
      </c>
      <c r="C142" s="940"/>
      <c r="D142" s="940"/>
      <c r="E142" s="940"/>
      <c r="F142" s="941"/>
      <c r="G142" s="944" t="s">
        <v>491</v>
      </c>
      <c r="H142" s="945"/>
      <c r="I142" s="945"/>
      <c r="J142" s="945"/>
      <c r="K142" s="945"/>
      <c r="L142" s="945"/>
      <c r="M142" s="945"/>
      <c r="N142" s="945"/>
      <c r="O142" s="10"/>
    </row>
    <row r="143" spans="1:15" ht="25.5" customHeight="1" x14ac:dyDescent="0.2">
      <c r="A143" s="8"/>
      <c r="B143" s="942" t="s">
        <v>484</v>
      </c>
      <c r="C143" s="943"/>
      <c r="D143" s="943"/>
      <c r="E143" s="943"/>
      <c r="F143" s="943"/>
      <c r="G143" s="944" t="s">
        <v>493</v>
      </c>
      <c r="H143" s="945"/>
      <c r="I143" s="945"/>
      <c r="J143" s="945"/>
      <c r="K143" s="945"/>
      <c r="L143" s="945"/>
      <c r="M143" s="945"/>
      <c r="N143" s="945"/>
      <c r="O143" s="10"/>
    </row>
    <row r="144" spans="1:15" x14ac:dyDescent="0.2">
      <c r="A144" s="8"/>
      <c r="B144" s="9"/>
      <c r="C144" s="9"/>
      <c r="D144" s="9"/>
      <c r="E144" s="9"/>
      <c r="F144" s="9"/>
      <c r="G144" s="9"/>
      <c r="H144" s="9"/>
      <c r="I144" s="9"/>
      <c r="J144" s="9"/>
      <c r="K144" s="9"/>
      <c r="L144" s="9"/>
      <c r="M144" s="9"/>
      <c r="N144" s="9"/>
      <c r="O144" s="10"/>
    </row>
    <row r="145" spans="1:15" x14ac:dyDescent="0.2">
      <c r="A145" s="8"/>
      <c r="B145" s="9"/>
      <c r="C145" s="9"/>
      <c r="D145" s="9"/>
      <c r="E145" s="9"/>
      <c r="F145" s="9"/>
      <c r="G145" s="9"/>
      <c r="H145" s="9"/>
      <c r="I145" s="9"/>
      <c r="J145" s="9"/>
      <c r="K145" s="9"/>
      <c r="L145" s="9"/>
      <c r="M145" s="9"/>
      <c r="N145" s="9"/>
      <c r="O145" s="10"/>
    </row>
    <row r="146" spans="1:15" x14ac:dyDescent="0.2">
      <c r="A146" s="274"/>
      <c r="B146" s="21"/>
      <c r="C146" s="21"/>
      <c r="D146" s="21"/>
      <c r="E146" s="21"/>
      <c r="F146" s="21"/>
      <c r="G146" s="21"/>
      <c r="H146" s="21"/>
      <c r="I146" s="21"/>
      <c r="J146" s="21"/>
      <c r="K146" s="21"/>
      <c r="L146" s="21"/>
      <c r="M146" s="21"/>
      <c r="N146" s="21"/>
      <c r="O146" s="276"/>
    </row>
  </sheetData>
  <sheetProtection algorithmName="SHA-512" hashValue="2hNAWFFRqkHo85SIIln7mMNAj5o7it20yG3JhtS5Tsen+Yt2gU8/FcpejSttxwwKSYPH4Y1l9ovbY2SLH42SaQ==" saltValue="d3cw9CyNqxJMsCXMiTbs6g==" spinCount="100000" sheet="1" objects="1" scenarios="1"/>
  <customSheetViews>
    <customSheetView guid="{47743E36-E3F1-4AC8-AB28-1C3AD83F86F4}" showGridLines="0" showRowCol="0" fitToPage="1" showRuler="0">
      <pageMargins left="0.19685039370078741" right="0.19685039370078741" top="0.19685039370078741" bottom="0.19685039370078741" header="0.51181102362204722" footer="0.23622047244094491"/>
      <printOptions horizontalCentered="1"/>
      <pageSetup paperSize="9" fitToHeight="2" orientation="portrait" r:id="rId1"/>
      <headerFooter alignWithMargins="0">
        <oddFooter>&amp;RLast modified: 21/11/2005</oddFooter>
      </headerFooter>
    </customSheetView>
    <customSheetView guid="{878686E5-D823-11D7-9EB6-0000F6FFAA54}" showGridLines="0" showRowCol="0" fitToPage="1" showRuler="0">
      <pageMargins left="0.19685039370078741" right="0.19685039370078741" top="0.19685039370078741" bottom="0.19685039370078741" header="0.51181102362204722" footer="0.23622047244094491"/>
      <printOptions horizontalCentered="1"/>
      <pageSetup paperSize="9" fitToHeight="2" orientation="portrait" r:id="rId2"/>
      <headerFooter alignWithMargins="0">
        <oddFooter>&amp;RLast modified: 03/03/2004</oddFooter>
      </headerFooter>
    </customSheetView>
  </customSheetViews>
  <mergeCells count="113">
    <mergeCell ref="B140:F140"/>
    <mergeCell ref="H126:N126"/>
    <mergeCell ref="H125:N125"/>
    <mergeCell ref="H127:N127"/>
    <mergeCell ref="H128:N128"/>
    <mergeCell ref="H129:N129"/>
    <mergeCell ref="B123:N123"/>
    <mergeCell ref="B122:N122"/>
    <mergeCell ref="H111:N111"/>
    <mergeCell ref="H112:N112"/>
    <mergeCell ref="H118:N118"/>
    <mergeCell ref="H119:N119"/>
    <mergeCell ref="H113:N113"/>
    <mergeCell ref="H114:N114"/>
    <mergeCell ref="H115:N115"/>
    <mergeCell ref="H116:N116"/>
    <mergeCell ref="H120:N120"/>
    <mergeCell ref="H110:N110"/>
    <mergeCell ref="H130:N130"/>
    <mergeCell ref="H131:N131"/>
    <mergeCell ref="H124:N124"/>
    <mergeCell ref="H106:N106"/>
    <mergeCell ref="B35:N35"/>
    <mergeCell ref="H100:N100"/>
    <mergeCell ref="H101:N101"/>
    <mergeCell ref="H102:N102"/>
    <mergeCell ref="H103:N103"/>
    <mergeCell ref="H104:N104"/>
    <mergeCell ref="H105:N105"/>
    <mergeCell ref="H55:N55"/>
    <mergeCell ref="B59:F59"/>
    <mergeCell ref="H59:N59"/>
    <mergeCell ref="B58:F58"/>
    <mergeCell ref="H58:N58"/>
    <mergeCell ref="B56:F56"/>
    <mergeCell ref="H56:N56"/>
    <mergeCell ref="H90:N90"/>
    <mergeCell ref="H81:N81"/>
    <mergeCell ref="H86:N86"/>
    <mergeCell ref="H88:N88"/>
    <mergeCell ref="H87:N87"/>
    <mergeCell ref="H66:N66"/>
    <mergeCell ref="B142:F142"/>
    <mergeCell ref="B143:F143"/>
    <mergeCell ref="G135:N135"/>
    <mergeCell ref="G136:N136"/>
    <mergeCell ref="G137:N137"/>
    <mergeCell ref="G138:N138"/>
    <mergeCell ref="G140:N140"/>
    <mergeCell ref="G139:N139"/>
    <mergeCell ref="G141:N141"/>
    <mergeCell ref="G142:N142"/>
    <mergeCell ref="G143:N143"/>
    <mergeCell ref="B135:F135"/>
    <mergeCell ref="B136:F136"/>
    <mergeCell ref="B137:F137"/>
    <mergeCell ref="B138:F138"/>
    <mergeCell ref="B139:F139"/>
    <mergeCell ref="B141:F141"/>
    <mergeCell ref="B132:N132"/>
    <mergeCell ref="G133:N133"/>
    <mergeCell ref="B133:F133"/>
    <mergeCell ref="B134:F134"/>
    <mergeCell ref="G134:N134"/>
    <mergeCell ref="H121:N121"/>
    <mergeCell ref="H85:N85"/>
    <mergeCell ref="B16:N16"/>
    <mergeCell ref="B77:G77"/>
    <mergeCell ref="B2:N2"/>
    <mergeCell ref="H79:N79"/>
    <mergeCell ref="B57:F57"/>
    <mergeCell ref="H57:N57"/>
    <mergeCell ref="B22:N22"/>
    <mergeCell ref="H69:N69"/>
    <mergeCell ref="H60:N60"/>
    <mergeCell ref="B21:N21"/>
    <mergeCell ref="H61:N61"/>
    <mergeCell ref="H62:N62"/>
    <mergeCell ref="H65:N65"/>
    <mergeCell ref="H64:N64"/>
    <mergeCell ref="B42:N42"/>
    <mergeCell ref="B29:N29"/>
    <mergeCell ref="B48:N48"/>
    <mergeCell ref="B55:F55"/>
    <mergeCell ref="B60:F60"/>
    <mergeCell ref="H70:N70"/>
    <mergeCell ref="H71:N71"/>
    <mergeCell ref="H72:N72"/>
    <mergeCell ref="H73:N73"/>
    <mergeCell ref="H84:N84"/>
    <mergeCell ref="H117:N117"/>
    <mergeCell ref="H67:N67"/>
    <mergeCell ref="H68:N68"/>
    <mergeCell ref="H63:N63"/>
    <mergeCell ref="H74:N74"/>
    <mergeCell ref="H75:N75"/>
    <mergeCell ref="H77:N77"/>
    <mergeCell ref="H78:N78"/>
    <mergeCell ref="H109:N109"/>
    <mergeCell ref="H91:N91"/>
    <mergeCell ref="H96:N96"/>
    <mergeCell ref="H97:N97"/>
    <mergeCell ref="H98:N98"/>
    <mergeCell ref="H95:N95"/>
    <mergeCell ref="H94:N94"/>
    <mergeCell ref="H92:N92"/>
    <mergeCell ref="H93:N93"/>
    <mergeCell ref="H99:N99"/>
    <mergeCell ref="H108:N108"/>
    <mergeCell ref="H83:N83"/>
    <mergeCell ref="H80:N80"/>
    <mergeCell ref="H76:N76"/>
    <mergeCell ref="H82:N82"/>
  </mergeCells>
  <phoneticPr fontId="27" type="noConversion"/>
  <printOptions horizontalCentered="1"/>
  <pageMargins left="0.19685039370078741" right="0.19685039370078741" top="0.19685039370078741" bottom="0.19685039370078741" header="0.51181102362204722" footer="0.23622047244094491"/>
  <pageSetup paperSize="9" fitToHeight="2" orientation="portrait" r:id="rId3"/>
  <headerFooter alignWithMargins="0">
    <oddFooter>&amp;L&amp;1#&amp;"Arial"&amp;9&amp;K000000&amp;RLast modified: 5 Feb 2021</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cmdMenu">
                <anchor moveWithCells="1" sizeWithCells="1">
                  <from>
                    <xdr:col>12</xdr:col>
                    <xdr:colOff>161925</xdr:colOff>
                    <xdr:row>2</xdr:row>
                    <xdr:rowOff>0</xdr:rowOff>
                  </from>
                  <to>
                    <xdr:col>14</xdr:col>
                    <xdr:colOff>0</xdr:colOff>
                    <xdr:row>3</xdr:row>
                    <xdr:rowOff>171450</xdr:rowOff>
                  </to>
                </anchor>
              </controlPr>
            </control>
          </mc:Choice>
        </mc:AlternateContent>
        <mc:AlternateContent xmlns:mc="http://schemas.openxmlformats.org/markup-compatibility/2006">
          <mc:Choice Requires="x14">
            <control shapeId="2050" r:id="rId7" name="Button 2">
              <controlPr defaultSize="0" print="0" autoFill="0" autoPict="0" macro="[0]!cmdMenu">
                <anchor moveWithCells="1" sizeWithCells="1">
                  <from>
                    <xdr:col>1</xdr:col>
                    <xdr:colOff>0</xdr:colOff>
                    <xdr:row>143</xdr:row>
                    <xdr:rowOff>76200</xdr:rowOff>
                  </from>
                  <to>
                    <xdr:col>2</xdr:col>
                    <xdr:colOff>447675</xdr:colOff>
                    <xdr:row>145</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fitToPage="1"/>
  </sheetPr>
  <dimension ref="A1:Q72"/>
  <sheetViews>
    <sheetView showGridLines="0" showRowColHeaders="0" zoomScaleNormal="100" workbookViewId="0">
      <selection activeCell="A65" sqref="A65"/>
    </sheetView>
  </sheetViews>
  <sheetFormatPr defaultRowHeight="12.75" x14ac:dyDescent="0.2"/>
  <cols>
    <col min="1" max="1" width="1.7109375" customWidth="1"/>
    <col min="2" max="2" width="45.42578125" customWidth="1"/>
    <col min="3" max="3" width="14.85546875" bestFit="1" customWidth="1"/>
    <col min="4" max="4" width="10.28515625" customWidth="1"/>
    <col min="5" max="5" width="15.7109375" customWidth="1"/>
    <col min="6" max="6" width="11.7109375" customWidth="1"/>
    <col min="7" max="10" width="13.140625" customWidth="1"/>
    <col min="11" max="11" width="14.140625" customWidth="1"/>
    <col min="12" max="12" width="17.7109375" customWidth="1"/>
    <col min="13" max="13" width="1.7109375" customWidth="1"/>
    <col min="15" max="15" width="0" hidden="1" customWidth="1"/>
  </cols>
  <sheetData>
    <row r="1" spans="1:16" ht="13.5" thickBot="1" x14ac:dyDescent="0.25">
      <c r="A1" s="255"/>
      <c r="B1" s="256"/>
      <c r="C1" s="706"/>
      <c r="D1" s="256"/>
      <c r="E1" s="256"/>
      <c r="F1" s="256"/>
      <c r="G1" s="256"/>
      <c r="H1" s="256"/>
      <c r="I1" s="256"/>
      <c r="J1" s="256"/>
      <c r="K1" s="256"/>
      <c r="L1" s="256"/>
      <c r="M1" s="257"/>
      <c r="P1" s="849">
        <f>Data!G32</f>
        <v>5.0999999999999997E-2</v>
      </c>
    </row>
    <row r="2" spans="1:16" ht="24" customHeight="1" thickBot="1" x14ac:dyDescent="0.25">
      <c r="A2" s="265"/>
      <c r="B2" s="23" t="s">
        <v>78</v>
      </c>
      <c r="C2" s="392"/>
      <c r="D2" s="392"/>
      <c r="E2" s="392"/>
      <c r="F2" s="24"/>
      <c r="G2" s="24"/>
      <c r="H2" s="24"/>
      <c r="I2" s="24"/>
      <c r="J2" s="25"/>
      <c r="K2" s="9"/>
      <c r="L2" s="266"/>
      <c r="M2" s="26"/>
      <c r="P2" s="850">
        <f>Data!G33</f>
        <v>2.5000000000000001E-2</v>
      </c>
    </row>
    <row r="3" spans="1:16" ht="18" customHeight="1" x14ac:dyDescent="0.2">
      <c r="A3" s="265"/>
      <c r="B3" s="27"/>
      <c r="C3" s="27"/>
      <c r="D3" s="27"/>
      <c r="E3" s="27"/>
      <c r="F3" s="28"/>
      <c r="G3" s="28"/>
      <c r="H3" s="28"/>
      <c r="I3" s="28"/>
      <c r="J3" s="28"/>
      <c r="K3" s="28"/>
      <c r="L3" s="266"/>
      <c r="M3" s="26"/>
    </row>
    <row r="4" spans="1:16" x14ac:dyDescent="0.2">
      <c r="A4" s="265"/>
      <c r="B4" s="30"/>
      <c r="C4" s="30"/>
      <c r="D4" s="30"/>
      <c r="E4" s="30" t="s">
        <v>79</v>
      </c>
      <c r="F4" s="966"/>
      <c r="G4" s="967"/>
      <c r="H4" s="9"/>
      <c r="I4" s="30" t="s">
        <v>80</v>
      </c>
      <c r="J4" s="966"/>
      <c r="K4" s="967"/>
      <c r="L4" s="266"/>
      <c r="M4" s="26"/>
    </row>
    <row r="5" spans="1:16" x14ac:dyDescent="0.2">
      <c r="A5" s="265"/>
      <c r="B5" s="31"/>
      <c r="C5" s="31"/>
      <c r="D5" s="31"/>
      <c r="E5" s="31" t="s">
        <v>81</v>
      </c>
      <c r="F5" s="968"/>
      <c r="G5" s="969"/>
      <c r="H5" s="9"/>
      <c r="I5" s="31" t="s">
        <v>82</v>
      </c>
      <c r="J5" s="968"/>
      <c r="K5" s="969"/>
      <c r="L5" s="266"/>
      <c r="M5" s="26"/>
    </row>
    <row r="6" spans="1:16" x14ac:dyDescent="0.2">
      <c r="A6" s="265"/>
      <c r="B6" s="28"/>
      <c r="C6" s="28"/>
      <c r="D6" s="28"/>
      <c r="E6" s="28"/>
      <c r="F6" s="28"/>
      <c r="G6" s="28"/>
      <c r="H6" s="28"/>
      <c r="I6" s="32"/>
      <c r="J6" s="32"/>
      <c r="K6" s="28"/>
      <c r="L6" s="266"/>
      <c r="M6" s="26"/>
    </row>
    <row r="7" spans="1:16" x14ac:dyDescent="0.2">
      <c r="A7" s="265"/>
      <c r="B7" s="28" t="s">
        <v>27</v>
      </c>
      <c r="C7" s="28"/>
      <c r="D7" s="28"/>
      <c r="E7" s="28"/>
      <c r="F7" s="28"/>
      <c r="G7" s="28"/>
      <c r="H7" s="33"/>
      <c r="I7" s="9"/>
      <c r="K7" s="818" t="str">
        <f>IF(H7&gt;COUNT(H10:K10),"must be at least one adult residing in each household",IF(AND(H7&gt;L16,H7=COUNTA(G16:J16)),"Each household must have an applicant assigned",IF(H7&gt;COUNTA(G16:J16),"There cannot be more households than applicants",IF(COUNTA(G16:J16)&gt;SUM(H10:K10)," Number of applicants cannot be more than the total number of adults           ",""))))</f>
        <v/>
      </c>
      <c r="L7" s="266"/>
      <c r="M7" s="26"/>
    </row>
    <row r="8" spans="1:16" ht="25.5" hidden="1" customHeight="1" x14ac:dyDescent="0.2">
      <c r="A8" s="265"/>
      <c r="B8" s="962" t="s">
        <v>29</v>
      </c>
      <c r="C8" s="962"/>
      <c r="D8" s="962"/>
      <c r="E8" s="962"/>
      <c r="F8" s="962"/>
      <c r="G8" s="963"/>
      <c r="H8" s="34"/>
      <c r="I8" s="9"/>
      <c r="K8" s="818" t="str">
        <f>IF(H8&gt;COUNT(H11:K11),"must be at least one adult residing in each household",IF(AND(H8&gt;L17,H8=COUNTA(G17:J17)),"Each household must have an applicant assigned",IF(H8&gt;COUNTA(G17:J17),"There cannot be more households than applicants",IF(COUNTA(G17:J17)&gt;SUM(H11:K11)," Number of applicants cannot be more than the total number of adults",""))))</f>
        <v/>
      </c>
      <c r="L8" s="266"/>
      <c r="M8" s="26"/>
    </row>
    <row r="9" spans="1:16" x14ac:dyDescent="0.2">
      <c r="A9" s="265"/>
      <c r="B9" s="28"/>
      <c r="C9" s="28"/>
      <c r="D9" s="28"/>
      <c r="E9" s="28"/>
      <c r="F9" s="28"/>
      <c r="G9" s="28"/>
      <c r="H9" s="35" t="s">
        <v>83</v>
      </c>
      <c r="I9" s="92" t="str">
        <f>IF(H7&gt;1,"Household 2","")</f>
        <v/>
      </c>
      <c r="J9" s="92" t="str">
        <f>IF(H7&gt;2,"Household 3","")</f>
        <v/>
      </c>
      <c r="K9" s="92" t="str">
        <f>IF(H7&gt;3,"Household 4","")</f>
        <v/>
      </c>
      <c r="L9" s="266"/>
      <c r="M9" s="26"/>
    </row>
    <row r="10" spans="1:16" x14ac:dyDescent="0.2">
      <c r="A10" s="265"/>
      <c r="B10" s="28" t="s">
        <v>30</v>
      </c>
      <c r="C10" s="28"/>
      <c r="D10" s="28"/>
      <c r="E10" s="28"/>
      <c r="F10" s="28"/>
      <c r="G10" s="28"/>
      <c r="H10" s="33"/>
      <c r="I10" s="344"/>
      <c r="J10" s="344"/>
      <c r="K10" s="344"/>
      <c r="L10" s="266"/>
      <c r="M10" s="26"/>
    </row>
    <row r="11" spans="1:16" x14ac:dyDescent="0.2">
      <c r="A11" s="265"/>
      <c r="B11" s="28" t="s">
        <v>32</v>
      </c>
      <c r="C11" s="28"/>
      <c r="D11" s="28"/>
      <c r="E11" s="28"/>
      <c r="F11" s="28"/>
      <c r="G11" s="28"/>
      <c r="H11" s="33"/>
      <c r="I11" s="344"/>
      <c r="J11" s="344"/>
      <c r="K11" s="344"/>
      <c r="L11" s="266"/>
      <c r="M11" s="26"/>
    </row>
    <row r="12" spans="1:16" x14ac:dyDescent="0.2">
      <c r="A12" s="265"/>
      <c r="B12" s="379" t="s">
        <v>362</v>
      </c>
      <c r="C12" s="379"/>
      <c r="D12" s="28"/>
      <c r="E12" s="28"/>
      <c r="F12" s="28"/>
      <c r="G12" s="28"/>
      <c r="H12" s="611"/>
      <c r="I12" s="612"/>
      <c r="J12" s="612"/>
      <c r="K12" s="612"/>
      <c r="L12" s="266"/>
      <c r="M12" s="26"/>
    </row>
    <row r="13" spans="1:16" x14ac:dyDescent="0.2">
      <c r="A13" s="265"/>
      <c r="B13" s="28"/>
      <c r="C13" s="28"/>
      <c r="D13" s="28"/>
      <c r="E13" s="28"/>
      <c r="F13" s="28"/>
      <c r="G13" s="28"/>
      <c r="H13" s="28"/>
      <c r="I13" s="32"/>
      <c r="J13" s="32"/>
      <c r="K13" s="28"/>
      <c r="L13" s="28"/>
      <c r="M13" s="26"/>
    </row>
    <row r="14" spans="1:16" ht="24" customHeight="1" x14ac:dyDescent="0.2">
      <c r="A14" s="265"/>
      <c r="B14" s="36" t="s">
        <v>84</v>
      </c>
      <c r="C14" s="819"/>
      <c r="D14" s="37"/>
      <c r="E14" s="37"/>
      <c r="F14" s="342"/>
      <c r="G14" s="38" t="s">
        <v>85</v>
      </c>
      <c r="H14" s="39" t="s">
        <v>86</v>
      </c>
      <c r="I14" s="39" t="s">
        <v>87</v>
      </c>
      <c r="J14" s="39" t="s">
        <v>88</v>
      </c>
      <c r="K14" s="343"/>
      <c r="L14" s="40" t="s">
        <v>89</v>
      </c>
      <c r="M14" s="26"/>
    </row>
    <row r="15" spans="1:16" x14ac:dyDescent="0.2">
      <c r="A15" s="265"/>
      <c r="B15" s="28"/>
      <c r="C15" s="28"/>
      <c r="D15" s="28"/>
      <c r="E15" s="28"/>
      <c r="F15" s="28"/>
      <c r="G15" s="28"/>
      <c r="H15" s="28"/>
      <c r="I15" s="28"/>
      <c r="J15" s="28"/>
      <c r="K15" s="28"/>
      <c r="L15" s="28"/>
      <c r="M15" s="26"/>
    </row>
    <row r="16" spans="1:16" x14ac:dyDescent="0.2">
      <c r="A16" s="265"/>
      <c r="B16" s="379" t="s">
        <v>468</v>
      </c>
      <c r="C16" s="379"/>
      <c r="D16" s="28"/>
      <c r="E16" s="28"/>
      <c r="F16" s="28"/>
      <c r="G16" s="797"/>
      <c r="H16" s="798"/>
      <c r="I16" s="799"/>
      <c r="J16" s="800"/>
      <c r="K16" s="28"/>
      <c r="L16" s="809">
        <f>IF(COUNTIF(G16:J16,"Household 1")&gt;0,1,0)+IF(COUNTIF(G16:J16,"Household 2")&gt;0,1,0)+IF(COUNTIF(G16:J16,"Household 3")&gt;0,1,0)+IF(COUNTIF(G16:J16,"Household 4")&gt;0,1,0)</f>
        <v>0</v>
      </c>
      <c r="M16" s="26"/>
      <c r="N16" s="816"/>
    </row>
    <row r="17" spans="1:13" x14ac:dyDescent="0.2">
      <c r="A17" s="265"/>
      <c r="B17" s="379" t="s">
        <v>371</v>
      </c>
      <c r="C17" s="379"/>
      <c r="D17" s="41"/>
      <c r="E17" s="41"/>
      <c r="F17" s="9"/>
      <c r="G17" s="376"/>
      <c r="H17" s="43"/>
      <c r="I17" s="42"/>
      <c r="J17" s="44"/>
      <c r="K17" s="45" t="s">
        <v>91</v>
      </c>
      <c r="L17" s="351">
        <f>SUM(G17:J17)</f>
        <v>0</v>
      </c>
      <c r="M17" s="26"/>
    </row>
    <row r="18" spans="1:13" x14ac:dyDescent="0.2">
      <c r="A18" s="265"/>
      <c r="B18" s="379" t="s">
        <v>369</v>
      </c>
      <c r="C18" s="379"/>
      <c r="D18" s="41"/>
      <c r="E18" s="41"/>
      <c r="F18" s="9"/>
      <c r="G18" s="376"/>
      <c r="H18" s="43"/>
      <c r="I18" s="42"/>
      <c r="J18" s="44"/>
      <c r="K18" s="45" t="s">
        <v>91</v>
      </c>
      <c r="L18" s="351">
        <f>SUM(G18:J18)*Data!C20</f>
        <v>0</v>
      </c>
      <c r="M18" s="26"/>
    </row>
    <row r="19" spans="1:13" x14ac:dyDescent="0.2">
      <c r="A19" s="265"/>
      <c r="B19" s="379" t="s">
        <v>270</v>
      </c>
      <c r="C19" s="379"/>
      <c r="D19" s="379"/>
      <c r="E19" s="379"/>
      <c r="F19" s="9"/>
      <c r="G19" s="376"/>
      <c r="H19" s="43"/>
      <c r="I19" s="42"/>
      <c r="J19" s="44"/>
      <c r="K19" s="45" t="s">
        <v>91</v>
      </c>
      <c r="L19" s="351">
        <f>SUM(G19:J19)*Data!C21</f>
        <v>0</v>
      </c>
      <c r="M19" s="26"/>
    </row>
    <row r="20" spans="1:13" x14ac:dyDescent="0.2">
      <c r="A20" s="265"/>
      <c r="B20" s="28" t="s">
        <v>34</v>
      </c>
      <c r="C20" s="28"/>
      <c r="D20" s="28"/>
      <c r="E20" s="28"/>
      <c r="F20" s="9"/>
      <c r="G20" s="716">
        <f>'Rental Yield'!F54</f>
        <v>0</v>
      </c>
      <c r="H20" s="716">
        <f>'Rental Yield'!G54</f>
        <v>0</v>
      </c>
      <c r="I20" s="716">
        <f>'Rental Yield'!H54</f>
        <v>0</v>
      </c>
      <c r="J20" s="716">
        <f>'Rental Yield'!I54</f>
        <v>0</v>
      </c>
      <c r="K20" s="45"/>
      <c r="L20" s="351">
        <f>SUM(G20:J20)</f>
        <v>0</v>
      </c>
      <c r="M20" s="26"/>
    </row>
    <row r="21" spans="1:13" x14ac:dyDescent="0.2">
      <c r="A21" s="265"/>
      <c r="B21" s="28" t="s">
        <v>35</v>
      </c>
      <c r="C21" s="28"/>
      <c r="D21" s="28"/>
      <c r="E21" s="28"/>
      <c r="F21" s="9"/>
      <c r="G21" s="717">
        <f>'Rental Yield'!F55</f>
        <v>0</v>
      </c>
      <c r="H21" s="717">
        <f>'Rental Yield'!G55</f>
        <v>0</v>
      </c>
      <c r="I21" s="717">
        <f>'Rental Yield'!H55</f>
        <v>0</v>
      </c>
      <c r="J21" s="717">
        <f>'Rental Yield'!I55</f>
        <v>0</v>
      </c>
      <c r="K21" s="45"/>
      <c r="L21" s="351">
        <f>SUM(G21:J21)</f>
        <v>0</v>
      </c>
      <c r="M21" s="26"/>
    </row>
    <row r="22" spans="1:13" x14ac:dyDescent="0.2">
      <c r="A22" s="265"/>
      <c r="B22" s="28" t="s">
        <v>36</v>
      </c>
      <c r="C22" s="28"/>
      <c r="D22" s="28"/>
      <c r="E22" s="28"/>
      <c r="F22" s="9"/>
      <c r="G22" s="42"/>
      <c r="H22" s="46"/>
      <c r="I22" s="42"/>
      <c r="J22" s="44"/>
      <c r="K22" s="45" t="s">
        <v>91</v>
      </c>
      <c r="L22" s="351">
        <f>SUM(G22:J22)*Data!C22</f>
        <v>0</v>
      </c>
      <c r="M22" s="26"/>
    </row>
    <row r="23" spans="1:13" x14ac:dyDescent="0.2">
      <c r="A23" s="265"/>
      <c r="B23" s="28" t="s">
        <v>37</v>
      </c>
      <c r="C23" s="28"/>
      <c r="D23" s="28"/>
      <c r="E23" s="28"/>
      <c r="F23" s="9"/>
      <c r="G23" s="42"/>
      <c r="H23" s="46"/>
      <c r="I23" s="42"/>
      <c r="J23" s="44"/>
      <c r="K23" s="45" t="s">
        <v>91</v>
      </c>
      <c r="L23" s="351">
        <f>SUM(G23:J23)*Data!G30</f>
        <v>0</v>
      </c>
      <c r="M23" s="26"/>
    </row>
    <row r="24" spans="1:13" x14ac:dyDescent="0.2">
      <c r="A24" s="265"/>
      <c r="B24" s="28" t="s">
        <v>39</v>
      </c>
      <c r="C24" s="28"/>
      <c r="D24" s="28"/>
      <c r="E24" s="28"/>
      <c r="F24" s="9"/>
      <c r="G24" s="42"/>
      <c r="H24" s="46"/>
      <c r="I24" s="42"/>
      <c r="J24" s="44"/>
      <c r="K24" s="45" t="s">
        <v>91</v>
      </c>
      <c r="L24" s="351">
        <f>SUM(G24:J24)</f>
        <v>0</v>
      </c>
      <c r="M24" s="26"/>
    </row>
    <row r="25" spans="1:13" x14ac:dyDescent="0.2">
      <c r="A25" s="265"/>
      <c r="B25" s="28" t="s">
        <v>41</v>
      </c>
      <c r="C25" s="28"/>
      <c r="D25" s="28"/>
      <c r="E25" s="28"/>
      <c r="F25" s="9"/>
      <c r="G25" s="47">
        <f>'Self Employed'!J10+'Self Employed'!J15+'Self Employed'!J17</f>
        <v>0</v>
      </c>
      <c r="H25" s="47">
        <f>'Self Employed'!J30+'Self Employed'!J35+'Self Employed'!J37</f>
        <v>0</v>
      </c>
      <c r="I25" s="47">
        <f>'Self Employed'!J50+'Self Employed'!J55+'Self Employed'!J57</f>
        <v>0</v>
      </c>
      <c r="J25" s="47">
        <f>'Self Employed'!J70+'Self Employed'!J75+'Self Employed'!J77</f>
        <v>0</v>
      </c>
      <c r="K25" s="9"/>
      <c r="L25" s="351">
        <f>SUM(G25:J25)</f>
        <v>0</v>
      </c>
      <c r="M25" s="26"/>
    </row>
    <row r="26" spans="1:13" x14ac:dyDescent="0.2">
      <c r="A26" s="265"/>
      <c r="B26" s="48" t="s">
        <v>44</v>
      </c>
      <c r="C26" s="48"/>
      <c r="D26" s="48"/>
      <c r="E26" s="48"/>
      <c r="F26" s="9"/>
      <c r="G26" s="49">
        <f>SUM(G17:G25)</f>
        <v>0</v>
      </c>
      <c r="H26" s="49">
        <f>SUM(H17:H25)</f>
        <v>0</v>
      </c>
      <c r="I26" s="49">
        <f>SUM(I17:I25)</f>
        <v>0</v>
      </c>
      <c r="J26" s="49">
        <f>SUM(J17:J25)</f>
        <v>0</v>
      </c>
      <c r="K26" s="9"/>
      <c r="L26" s="351">
        <f>SUM(L17:L25)</f>
        <v>0</v>
      </c>
      <c r="M26" s="26"/>
    </row>
    <row r="27" spans="1:13" x14ac:dyDescent="0.2">
      <c r="A27" s="265"/>
      <c r="B27" s="379" t="s">
        <v>561</v>
      </c>
      <c r="C27" s="28"/>
      <c r="D27" s="28"/>
      <c r="E27" s="28"/>
      <c r="F27" s="9"/>
      <c r="G27" s="50">
        <f>Calculations!C13-Calculations!C15-Calculations!C16</f>
        <v>0</v>
      </c>
      <c r="H27" s="50">
        <f>Calculations!G13-Calculations!G15-Calculations!G16</f>
        <v>0</v>
      </c>
      <c r="I27" s="50">
        <f>Calculations!K13-Calculations!K15-Calculations!K16</f>
        <v>0</v>
      </c>
      <c r="J27" s="50">
        <f>Calculations!O13-Calculations!O15-Calculations!O16</f>
        <v>0</v>
      </c>
      <c r="K27" s="9"/>
      <c r="L27" s="351">
        <f>G27+H27+I27+J27</f>
        <v>0</v>
      </c>
      <c r="M27" s="26"/>
    </row>
    <row r="28" spans="1:13" x14ac:dyDescent="0.2">
      <c r="A28" s="265"/>
      <c r="B28" s="28" t="s">
        <v>48</v>
      </c>
      <c r="C28" s="28"/>
      <c r="D28" s="28"/>
      <c r="E28" s="28"/>
      <c r="F28" s="9"/>
      <c r="G28" s="50">
        <f>Calculations!C14</f>
        <v>0</v>
      </c>
      <c r="H28" s="50">
        <f>Calculations!G14</f>
        <v>0</v>
      </c>
      <c r="I28" s="50">
        <f>Calculations!K14</f>
        <v>0</v>
      </c>
      <c r="J28" s="50">
        <f>Calculations!O14</f>
        <v>0</v>
      </c>
      <c r="K28" s="9"/>
      <c r="L28" s="351">
        <f>ROUND((Calculations!C14+Calculations!G14+Calculations!K14+Calculations!O14),0)</f>
        <v>0</v>
      </c>
      <c r="M28" s="26"/>
    </row>
    <row r="29" spans="1:13" x14ac:dyDescent="0.2">
      <c r="A29" s="265"/>
      <c r="B29" s="28" t="s">
        <v>50</v>
      </c>
      <c r="C29" s="28"/>
      <c r="D29" s="28"/>
      <c r="E29" s="28"/>
      <c r="F29" s="9"/>
      <c r="G29" s="51">
        <f>Calculations!C29</f>
        <v>0</v>
      </c>
      <c r="H29" s="51">
        <f>Calculations!G29</f>
        <v>0</v>
      </c>
      <c r="I29" s="51">
        <f>Calculations!K29</f>
        <v>0</v>
      </c>
      <c r="J29" s="51">
        <f>Calculations!O29</f>
        <v>0</v>
      </c>
      <c r="K29" s="9"/>
      <c r="L29" s="351">
        <f>ROUND((Calculations!C17+Calculations!G17+Calculations!K17+Calculations!O17)-(Calculations!C25+Calculations!G25+Calculations!K25+Calculations!O25),0)</f>
        <v>0</v>
      </c>
      <c r="M29" s="26"/>
    </row>
    <row r="30" spans="1:13" x14ac:dyDescent="0.2">
      <c r="A30" s="265"/>
      <c r="B30" s="28" t="s">
        <v>97</v>
      </c>
      <c r="C30" s="28"/>
      <c r="D30" s="28"/>
      <c r="E30" s="28"/>
      <c r="F30" s="9"/>
      <c r="G30" s="42"/>
      <c r="H30" s="46"/>
      <c r="I30" s="42"/>
      <c r="J30" s="44"/>
      <c r="K30" s="45" t="s">
        <v>91</v>
      </c>
      <c r="L30" s="351">
        <f>SUM(G30:J30)*Data!G28</f>
        <v>0</v>
      </c>
      <c r="M30" s="26"/>
    </row>
    <row r="31" spans="1:13" ht="13.5" thickBot="1" x14ac:dyDescent="0.25">
      <c r="A31" s="265"/>
      <c r="B31" s="28" t="s">
        <v>54</v>
      </c>
      <c r="C31" s="28"/>
      <c r="D31" s="28"/>
      <c r="E31" s="28"/>
      <c r="F31" s="28"/>
      <c r="G31" s="52">
        <f>'Self Employed'!J19-'Self Employed'!J15-'Self Employed'!J17</f>
        <v>0</v>
      </c>
      <c r="H31" s="52">
        <f>'Self Employed'!J39-'Self Employed'!J35-'Self Employed'!J37</f>
        <v>0</v>
      </c>
      <c r="I31" s="53">
        <f>'Self Employed'!J59-'Self Employed'!J55-'Self Employed'!J57</f>
        <v>0</v>
      </c>
      <c r="J31" s="331">
        <f>'Self Employed'!J79-'Self Employed'!J75-'Self Employed'!J77</f>
        <v>0</v>
      </c>
      <c r="K31" s="30"/>
      <c r="L31" s="352">
        <f>SUM(G31:J31)</f>
        <v>0</v>
      </c>
      <c r="M31" s="26"/>
    </row>
    <row r="32" spans="1:13" s="56" customFormat="1" ht="13.5" thickBot="1" x14ac:dyDescent="0.25">
      <c r="A32" s="265"/>
      <c r="B32" s="266"/>
      <c r="C32" s="266"/>
      <c r="D32" s="266"/>
      <c r="E32" s="266"/>
      <c r="F32" s="266"/>
      <c r="G32" s="266"/>
      <c r="H32" s="266"/>
      <c r="I32" s="266"/>
      <c r="J32" s="54" t="s">
        <v>98</v>
      </c>
      <c r="K32" s="266"/>
      <c r="L32" s="353">
        <f>L26-L27-L28+L29+L30+L31</f>
        <v>0</v>
      </c>
      <c r="M32" s="55"/>
    </row>
    <row r="33" spans="1:17" ht="13.5" thickBot="1" x14ac:dyDescent="0.25">
      <c r="A33" s="265"/>
      <c r="B33" s="266"/>
      <c r="C33" s="266"/>
      <c r="D33" s="266"/>
      <c r="E33" s="266"/>
      <c r="F33" s="266"/>
      <c r="G33" s="266"/>
      <c r="H33" s="266"/>
      <c r="I33" s="266"/>
      <c r="J33" s="54" t="s">
        <v>99</v>
      </c>
      <c r="K33" s="266"/>
      <c r="L33" s="353">
        <f>L32/12</f>
        <v>0</v>
      </c>
      <c r="M33" s="26"/>
    </row>
    <row r="34" spans="1:17" x14ac:dyDescent="0.2">
      <c r="A34" s="265"/>
      <c r="B34" s="266"/>
      <c r="C34" s="266"/>
      <c r="D34" s="266"/>
      <c r="E34" s="266"/>
      <c r="F34" s="266"/>
      <c r="G34" s="266"/>
      <c r="H34" s="266"/>
      <c r="I34" s="266"/>
      <c r="J34" s="54" t="s">
        <v>100</v>
      </c>
      <c r="K34" s="266"/>
      <c r="L34" s="354"/>
      <c r="M34" s="26"/>
    </row>
    <row r="35" spans="1:17" x14ac:dyDescent="0.2">
      <c r="A35" s="265"/>
      <c r="B35" s="266"/>
      <c r="C35" s="266"/>
      <c r="D35" s="266"/>
      <c r="E35" s="266"/>
      <c r="F35" s="266"/>
      <c r="G35" s="266"/>
      <c r="H35" s="266"/>
      <c r="I35" s="266"/>
      <c r="J35" s="32"/>
      <c r="K35" s="28"/>
      <c r="L35" s="28"/>
      <c r="M35" s="26"/>
    </row>
    <row r="36" spans="1:17" ht="24" customHeight="1" x14ac:dyDescent="0.2">
      <c r="A36" s="265"/>
      <c r="B36" s="36" t="s">
        <v>101</v>
      </c>
      <c r="C36" s="819"/>
      <c r="D36" s="37"/>
      <c r="E36" s="37"/>
      <c r="F36" s="37"/>
      <c r="G36" s="37"/>
      <c r="H36" s="37"/>
      <c r="I36" s="37"/>
      <c r="J36" s="37"/>
      <c r="K36" s="37"/>
      <c r="L36" s="57"/>
      <c r="M36" s="26"/>
    </row>
    <row r="37" spans="1:17" x14ac:dyDescent="0.2">
      <c r="A37" s="265"/>
      <c r="B37" s="28"/>
      <c r="C37" s="28"/>
      <c r="D37" s="28"/>
      <c r="E37" s="28"/>
      <c r="F37" s="28"/>
      <c r="G37" s="28"/>
      <c r="H37" s="28"/>
      <c r="I37" s="28"/>
      <c r="J37" s="28"/>
      <c r="K37" s="28"/>
      <c r="L37" s="28"/>
      <c r="M37" s="26"/>
    </row>
    <row r="38" spans="1:17" ht="51" customHeight="1" x14ac:dyDescent="0.2">
      <c r="A38" s="265"/>
      <c r="B38" s="58" t="s">
        <v>56</v>
      </c>
      <c r="C38" s="728" t="s">
        <v>267</v>
      </c>
      <c r="D38" s="58" t="s">
        <v>246</v>
      </c>
      <c r="E38" s="58" t="s">
        <v>59</v>
      </c>
      <c r="F38" s="393" t="s">
        <v>496</v>
      </c>
      <c r="G38" s="820" t="s">
        <v>495</v>
      </c>
      <c r="H38" s="740" t="s">
        <v>426</v>
      </c>
      <c r="I38" s="58" t="s">
        <v>61</v>
      </c>
      <c r="J38" s="58" t="s">
        <v>62</v>
      </c>
      <c r="K38" s="58" t="s">
        <v>63</v>
      </c>
      <c r="L38" s="20" t="s">
        <v>65</v>
      </c>
      <c r="M38" s="26"/>
    </row>
    <row r="39" spans="1:17" x14ac:dyDescent="0.2">
      <c r="A39" s="265"/>
      <c r="B39" s="59"/>
      <c r="C39" s="727"/>
      <c r="D39" s="381"/>
      <c r="E39" s="381"/>
      <c r="F39" s="61"/>
      <c r="G39" s="824"/>
      <c r="H39" s="745"/>
      <c r="I39" s="395"/>
      <c r="J39" s="367"/>
      <c r="K39" s="367"/>
      <c r="L39" s="357">
        <f>Calculations!S8</f>
        <v>0</v>
      </c>
      <c r="M39" s="26"/>
      <c r="O39" t="b">
        <f>IF(OR(B39="CBA Variable Rate Home Loan",B39="CBA Fixed Rate Home Loan",B39="CBA Line of Credit"),NOT(Calculations!U8),FALSE)</f>
        <v>0</v>
      </c>
    </row>
    <row r="40" spans="1:17" x14ac:dyDescent="0.2">
      <c r="A40" s="265"/>
      <c r="B40" s="59"/>
      <c r="C40" s="730"/>
      <c r="D40" s="60"/>
      <c r="E40" s="381"/>
      <c r="F40" s="61"/>
      <c r="G40" s="825"/>
      <c r="H40" s="745"/>
      <c r="I40" s="395"/>
      <c r="J40" s="367"/>
      <c r="K40" s="367"/>
      <c r="L40" s="357">
        <f>Calculations!S9</f>
        <v>0</v>
      </c>
      <c r="M40" s="26"/>
      <c r="O40" t="b">
        <f>IF(OR(B40="CBA Variable Rate Home Loan",B40="CBA Fixed Rate Home Loan",B40="CBA Line of Credit"),NOT(Calculations!U9),FALSE)</f>
        <v>0</v>
      </c>
    </row>
    <row r="41" spans="1:17" x14ac:dyDescent="0.2">
      <c r="A41" s="265"/>
      <c r="B41" s="59"/>
      <c r="C41" s="730"/>
      <c r="D41" s="381"/>
      <c r="E41" s="381"/>
      <c r="F41" s="61"/>
      <c r="G41" s="825"/>
      <c r="H41" s="745"/>
      <c r="I41" s="395"/>
      <c r="J41" s="367"/>
      <c r="K41" s="367"/>
      <c r="L41" s="357">
        <f>Calculations!S10</f>
        <v>0</v>
      </c>
      <c r="M41" s="26"/>
      <c r="O41" t="b">
        <f>IF(OR(B41="CBA Variable Rate Home Loan",B41="CBA Fixed Rate Home Loan",B41="CBA Line of Credit"),NOT(Calculations!U10),FALSE)</f>
        <v>0</v>
      </c>
    </row>
    <row r="42" spans="1:17" x14ac:dyDescent="0.2">
      <c r="A42" s="265"/>
      <c r="B42" s="59"/>
      <c r="C42" s="730"/>
      <c r="D42" s="60"/>
      <c r="E42" s="381"/>
      <c r="F42" s="61"/>
      <c r="G42" s="825"/>
      <c r="H42" s="745"/>
      <c r="I42" s="395"/>
      <c r="J42" s="367"/>
      <c r="K42" s="367"/>
      <c r="L42" s="357">
        <f>Calculations!S11</f>
        <v>0</v>
      </c>
      <c r="M42" s="26"/>
      <c r="O42" t="b">
        <f>IF(OR(B42="CBA Variable Rate Home Loan",B42="CBA Fixed Rate Home Loan",B42="CBA Line of Credit"),NOT(Calculations!U11),FALSE)</f>
        <v>0</v>
      </c>
    </row>
    <row r="43" spans="1:17" x14ac:dyDescent="0.2">
      <c r="A43" s="265"/>
      <c r="B43" s="59"/>
      <c r="C43" s="730"/>
      <c r="D43" s="60"/>
      <c r="E43" s="381"/>
      <c r="F43" s="61"/>
      <c r="G43" s="825"/>
      <c r="H43" s="745"/>
      <c r="I43" s="395"/>
      <c r="J43" s="367"/>
      <c r="K43" s="367"/>
      <c r="L43" s="357">
        <f>Calculations!S12</f>
        <v>0</v>
      </c>
      <c r="M43" s="26"/>
      <c r="O43" t="b">
        <f>IF(OR(B43="CBA Variable Rate Home Loan",B43="CBA Fixed Rate Home Loan",B43="CBA Line of Credit"),NOT(Calculations!U12),FALSE)</f>
        <v>0</v>
      </c>
      <c r="Q43" s="826"/>
    </row>
    <row r="44" spans="1:17" x14ac:dyDescent="0.2">
      <c r="A44" s="265"/>
      <c r="B44" s="380"/>
      <c r="C44" s="727"/>
      <c r="D44" s="60"/>
      <c r="E44" s="381"/>
      <c r="F44" s="61"/>
      <c r="G44" s="825"/>
      <c r="H44" s="745"/>
      <c r="I44" s="395"/>
      <c r="J44" s="367"/>
      <c r="K44" s="367"/>
      <c r="L44" s="357">
        <f>Calculations!S13</f>
        <v>0</v>
      </c>
      <c r="M44" s="26"/>
      <c r="O44" t="b">
        <f>IF(OR(B44="CBA Variable Rate Home Loan",B44="CBA Fixed Rate Home Loan",B44="CBA Line of Credit"),NOT(Calculations!U13),FALSE)</f>
        <v>0</v>
      </c>
    </row>
    <row r="45" spans="1:17" ht="13.5" thickBot="1" x14ac:dyDescent="0.25">
      <c r="A45" s="265"/>
      <c r="B45" s="59"/>
      <c r="C45" s="727"/>
      <c r="D45" s="60"/>
      <c r="E45" s="60"/>
      <c r="F45" s="61"/>
      <c r="G45" s="825"/>
      <c r="H45" s="745"/>
      <c r="I45" s="395"/>
      <c r="J45" s="367"/>
      <c r="K45" s="367"/>
      <c r="L45" s="357">
        <f>Calculations!S14</f>
        <v>0</v>
      </c>
      <c r="M45" s="26"/>
      <c r="O45" t="b">
        <f>IF(OR(B45="CBA Variable Rate Home Loan",B45="CBA Fixed Rate Home Loan",B45="CBA Line of Credit"),NOT(Calculations!U14),FALSE)</f>
        <v>0</v>
      </c>
    </row>
    <row r="46" spans="1:17" ht="13.5" thickBot="1" x14ac:dyDescent="0.25">
      <c r="A46" s="265"/>
      <c r="B46" s="970" t="str">
        <f>IF(AND(Calculations!V15,NOT(Calculations!W15)),"Click ""Negative Gearing"" button to input details.","")</f>
        <v/>
      </c>
      <c r="C46" s="971"/>
      <c r="D46" s="970"/>
      <c r="E46" s="970"/>
      <c r="F46" s="266"/>
      <c r="G46" s="266"/>
      <c r="H46" s="266"/>
      <c r="I46" s="266"/>
      <c r="J46" s="62" t="s">
        <v>102</v>
      </c>
      <c r="K46" s="9"/>
      <c r="L46" s="358">
        <f>SUM(L39:L45)</f>
        <v>0</v>
      </c>
      <c r="M46" s="26"/>
      <c r="O46" s="205" t="b">
        <f>OR(O39:O45)</f>
        <v>0</v>
      </c>
    </row>
    <row r="47" spans="1:17" ht="25.5" customHeight="1" x14ac:dyDescent="0.2">
      <c r="A47" s="265"/>
      <c r="B47" s="972" t="str">
        <f>IF(AND(O46,Calculations!U15=FALSE),". Enter the current interest rate for this product. Refer CommBroker for more information","")</f>
        <v/>
      </c>
      <c r="C47" s="972"/>
      <c r="D47" s="972"/>
      <c r="E47" s="972"/>
      <c r="F47" s="972"/>
      <c r="G47" s="972"/>
      <c r="H47" s="266"/>
      <c r="I47" s="266"/>
      <c r="J47" s="266"/>
      <c r="K47" s="266"/>
      <c r="L47" s="266"/>
      <c r="M47" s="26"/>
    </row>
    <row r="48" spans="1:17" x14ac:dyDescent="0.2">
      <c r="A48" s="265"/>
      <c r="B48" s="266"/>
      <c r="C48" s="266"/>
      <c r="D48" s="266"/>
      <c r="E48" s="266"/>
      <c r="F48" s="266"/>
      <c r="G48" s="266"/>
      <c r="H48" s="266"/>
      <c r="I48" s="266"/>
      <c r="J48" s="266"/>
      <c r="K48" s="266"/>
      <c r="L48" s="266"/>
      <c r="M48" s="26"/>
    </row>
    <row r="49" spans="1:13" ht="24" customHeight="1" x14ac:dyDescent="0.2">
      <c r="A49" s="265"/>
      <c r="B49" s="36" t="s">
        <v>103</v>
      </c>
      <c r="C49" s="819"/>
      <c r="D49" s="37"/>
      <c r="E49" s="37"/>
      <c r="F49" s="63"/>
      <c r="G49" s="63"/>
      <c r="H49" s="63"/>
      <c r="I49" s="64"/>
      <c r="J49" s="65"/>
      <c r="K49" s="63"/>
      <c r="L49" s="66"/>
      <c r="M49" s="26"/>
    </row>
    <row r="50" spans="1:13" s="56" customFormat="1" x14ac:dyDescent="0.2">
      <c r="A50" s="265"/>
      <c r="B50" s="266"/>
      <c r="C50" s="266"/>
      <c r="D50" s="266"/>
      <c r="E50" s="266"/>
      <c r="F50" s="266"/>
      <c r="G50" s="266"/>
      <c r="H50" s="266"/>
      <c r="I50" s="266"/>
      <c r="J50" s="266"/>
      <c r="K50" s="266"/>
      <c r="L50" s="266"/>
      <c r="M50" s="67"/>
    </row>
    <row r="51" spans="1:13" ht="39" customHeight="1" x14ac:dyDescent="0.2">
      <c r="A51" s="265"/>
      <c r="B51" s="973" t="s">
        <v>56</v>
      </c>
      <c r="C51" s="974"/>
      <c r="D51" s="975"/>
      <c r="E51" s="393" t="s">
        <v>267</v>
      </c>
      <c r="F51" s="58" t="s">
        <v>246</v>
      </c>
      <c r="G51" s="58" t="s">
        <v>76</v>
      </c>
      <c r="H51" s="393" t="s">
        <v>67</v>
      </c>
      <c r="I51" s="58" t="s">
        <v>68</v>
      </c>
      <c r="J51" s="58" t="s">
        <v>196</v>
      </c>
      <c r="K51" s="58" t="s">
        <v>63</v>
      </c>
      <c r="L51" s="20" t="s">
        <v>71</v>
      </c>
      <c r="M51" s="26"/>
    </row>
    <row r="52" spans="1:13" x14ac:dyDescent="0.2">
      <c r="A52" s="265"/>
      <c r="B52" s="976"/>
      <c r="C52" s="977"/>
      <c r="D52" s="978"/>
      <c r="E52" s="380"/>
      <c r="F52" s="381"/>
      <c r="G52" s="61"/>
      <c r="H52" s="395"/>
      <c r="I52" s="68"/>
      <c r="J52" s="68"/>
      <c r="K52" s="366"/>
      <c r="L52" s="357">
        <f>Calculations!S17</f>
        <v>0</v>
      </c>
      <c r="M52" s="26"/>
    </row>
    <row r="53" spans="1:13" x14ac:dyDescent="0.2">
      <c r="A53" s="265"/>
      <c r="B53" s="979"/>
      <c r="C53" s="980"/>
      <c r="D53" s="981"/>
      <c r="E53" s="380"/>
      <c r="F53" s="381"/>
      <c r="G53" s="61"/>
      <c r="H53" s="395"/>
      <c r="I53" s="68"/>
      <c r="J53" s="68"/>
      <c r="K53" s="366"/>
      <c r="L53" s="357">
        <f>Calculations!S18</f>
        <v>0</v>
      </c>
      <c r="M53" s="26"/>
    </row>
    <row r="54" spans="1:13" x14ac:dyDescent="0.2">
      <c r="A54" s="265"/>
      <c r="B54" s="976"/>
      <c r="C54" s="977"/>
      <c r="D54" s="978"/>
      <c r="E54" s="380"/>
      <c r="F54" s="381"/>
      <c r="G54" s="61"/>
      <c r="H54" s="395"/>
      <c r="I54" s="68"/>
      <c r="J54" s="68"/>
      <c r="K54" s="366"/>
      <c r="L54" s="357">
        <f>Calculations!S19</f>
        <v>0</v>
      </c>
      <c r="M54" s="26"/>
    </row>
    <row r="55" spans="1:13" ht="12.75" customHeight="1" x14ac:dyDescent="0.2">
      <c r="A55" s="265"/>
      <c r="B55" s="976"/>
      <c r="C55" s="977"/>
      <c r="D55" s="978"/>
      <c r="E55" s="380"/>
      <c r="F55" s="381"/>
      <c r="G55" s="61"/>
      <c r="H55" s="395"/>
      <c r="I55" s="68"/>
      <c r="J55" s="68"/>
      <c r="K55" s="366"/>
      <c r="L55" s="357">
        <f>Calculations!S20</f>
        <v>0</v>
      </c>
      <c r="M55" s="26"/>
    </row>
    <row r="56" spans="1:13" x14ac:dyDescent="0.2">
      <c r="A56" s="265"/>
      <c r="B56" s="976"/>
      <c r="C56" s="977"/>
      <c r="D56" s="978"/>
      <c r="E56" s="380"/>
      <c r="F56" s="381"/>
      <c r="G56" s="61"/>
      <c r="H56" s="395"/>
      <c r="I56" s="68"/>
      <c r="J56" s="68"/>
      <c r="K56" s="366"/>
      <c r="L56" s="357">
        <f>Calculations!S21</f>
        <v>0</v>
      </c>
      <c r="M56" s="26"/>
    </row>
    <row r="57" spans="1:13" ht="13.5" customHeight="1" thickBot="1" x14ac:dyDescent="0.25">
      <c r="A57" s="265"/>
      <c r="B57" s="976"/>
      <c r="C57" s="977"/>
      <c r="D57" s="978"/>
      <c r="E57" s="380"/>
      <c r="F57" s="381"/>
      <c r="G57" s="61"/>
      <c r="H57" s="395"/>
      <c r="I57" s="68"/>
      <c r="J57" s="68"/>
      <c r="K57" s="366"/>
      <c r="L57" s="357">
        <f>Calculations!S22</f>
        <v>0</v>
      </c>
      <c r="M57" s="26"/>
    </row>
    <row r="58" spans="1:13" ht="13.5" thickBot="1" x14ac:dyDescent="0.25">
      <c r="A58" s="265"/>
      <c r="B58" s="986" t="str">
        <f>IF(AND(Calculations!V23,NOT(Calculations!W23)),"Click ""Negative Gearing"" button to input details.","")</f>
        <v/>
      </c>
      <c r="C58" s="987"/>
      <c r="D58" s="986"/>
      <c r="E58" s="986"/>
      <c r="F58" s="9"/>
      <c r="G58" s="9"/>
      <c r="H58" s="266"/>
      <c r="I58" s="266"/>
      <c r="J58" s="62" t="s">
        <v>251</v>
      </c>
      <c r="K58" s="9"/>
      <c r="L58" s="358">
        <f>Calculations!S24</f>
        <v>0</v>
      </c>
      <c r="M58" s="26"/>
    </row>
    <row r="59" spans="1:13" ht="13.5" thickBot="1" x14ac:dyDescent="0.25">
      <c r="A59" s="265"/>
      <c r="B59" s="266"/>
      <c r="C59" s="266"/>
      <c r="D59" s="266"/>
      <c r="E59" s="266"/>
      <c r="F59" s="266"/>
      <c r="G59" s="266"/>
      <c r="H59" s="266"/>
      <c r="I59" s="266"/>
      <c r="J59" s="266"/>
      <c r="K59" s="266"/>
      <c r="L59" s="266"/>
      <c r="M59" s="26"/>
    </row>
    <row r="60" spans="1:13" s="74" customFormat="1" ht="16.5" customHeight="1" thickBot="1" x14ac:dyDescent="0.25">
      <c r="A60" s="265"/>
      <c r="D60" s="69"/>
      <c r="E60" s="69" t="s">
        <v>104</v>
      </c>
      <c r="F60" s="964" t="str">
        <f>IF(Calculations!V5,Calculations!G44,"Input Incomplete")</f>
        <v>Input Incomplete</v>
      </c>
      <c r="G60" s="965"/>
      <c r="H60" s="70"/>
      <c r="I60" s="69" t="s">
        <v>105</v>
      </c>
      <c r="J60" s="71" t="str">
        <f>IF(Calculations!V5,Calculations!S26,"")</f>
        <v/>
      </c>
      <c r="K60" s="70"/>
      <c r="L60" s="70"/>
      <c r="M60" s="72"/>
    </row>
    <row r="61" spans="1:13" s="75" customFormat="1" ht="16.5" customHeight="1" thickBot="1" x14ac:dyDescent="0.25">
      <c r="A61" s="265"/>
      <c r="B61" s="313"/>
      <c r="C61" s="313"/>
      <c r="D61" s="313"/>
      <c r="E61" s="69" t="s">
        <v>500</v>
      </c>
      <c r="F61" s="997" t="str">
        <f>IF(Calculations!V5,Calculations!B53,"")</f>
        <v/>
      </c>
      <c r="G61" s="998"/>
      <c r="H61" s="41"/>
      <c r="I61" s="54" t="s">
        <v>265</v>
      </c>
      <c r="J61" s="377">
        <f>Calculations!S33</f>
        <v>0</v>
      </c>
      <c r="K61" s="41"/>
      <c r="L61" s="41"/>
      <c r="M61" s="67"/>
    </row>
    <row r="62" spans="1:13" s="75" customFormat="1" ht="25.5" customHeight="1" x14ac:dyDescent="0.2">
      <c r="A62" s="265"/>
      <c r="B62" s="266"/>
      <c r="C62" s="266"/>
      <c r="D62" s="865" t="str">
        <f>IF(OR(F61&lt;=6,F61=""), " "," The debt to income ratio is high. Ensure all income sources and account variations are captured accurately.")</f>
        <v xml:space="preserve"> </v>
      </c>
      <c r="E62" s="266"/>
      <c r="F62" s="266"/>
      <c r="G62" s="266"/>
      <c r="H62" s="266"/>
      <c r="I62" s="266"/>
      <c r="J62" s="266"/>
      <c r="K62" s="266"/>
      <c r="L62" s="266"/>
      <c r="M62" s="67"/>
    </row>
    <row r="63" spans="1:13" ht="24" customHeight="1" x14ac:dyDescent="0.2">
      <c r="A63" s="265"/>
      <c r="B63" s="36" t="s">
        <v>226</v>
      </c>
      <c r="C63" s="819"/>
      <c r="D63" s="37"/>
      <c r="E63" s="37"/>
      <c r="F63" s="76"/>
      <c r="G63" s="76"/>
      <c r="H63" s="76"/>
      <c r="I63" s="76"/>
      <c r="J63" s="76"/>
      <c r="K63" s="76"/>
      <c r="L63" s="77"/>
      <c r="M63" s="26"/>
    </row>
    <row r="64" spans="1:13" x14ac:dyDescent="0.2">
      <c r="A64" s="265"/>
      <c r="B64" s="266"/>
      <c r="C64" s="266"/>
      <c r="D64" s="266"/>
      <c r="E64" s="266"/>
      <c r="F64" s="266"/>
      <c r="G64" s="266"/>
      <c r="H64" s="266"/>
      <c r="I64" s="266"/>
      <c r="J64" s="266"/>
      <c r="K64" s="266"/>
      <c r="L64" s="266"/>
      <c r="M64" s="10"/>
    </row>
    <row r="65" spans="1:13" ht="39" customHeight="1" x14ac:dyDescent="0.2">
      <c r="A65" s="265"/>
      <c r="B65" s="988" t="s">
        <v>56</v>
      </c>
      <c r="C65" s="989"/>
      <c r="D65" s="990"/>
      <c r="E65" s="394" t="s">
        <v>267</v>
      </c>
      <c r="F65" s="20" t="s">
        <v>246</v>
      </c>
      <c r="G65" s="58" t="s">
        <v>76</v>
      </c>
      <c r="H65" s="58" t="s">
        <v>67</v>
      </c>
      <c r="I65" s="58" t="s">
        <v>68</v>
      </c>
      <c r="J65" s="58" t="s">
        <v>196</v>
      </c>
      <c r="K65" s="58" t="s">
        <v>63</v>
      </c>
      <c r="L65" s="58" t="s">
        <v>71</v>
      </c>
      <c r="M65" s="10"/>
    </row>
    <row r="66" spans="1:13" x14ac:dyDescent="0.2">
      <c r="A66" s="265"/>
      <c r="B66" s="991" t="str">
        <f>IF(AND(B52&lt;&gt;"",B52&lt;&gt;"Credit Card"),B52,"")</f>
        <v/>
      </c>
      <c r="C66" s="992"/>
      <c r="D66" s="993"/>
      <c r="E66" s="318" t="str">
        <f>IF(AND(E52&lt;&gt;"",E52&lt;&gt;"Credit Card"),E52,"")</f>
        <v/>
      </c>
      <c r="F66" s="320" t="str">
        <f>IF(F52="","",F52)</f>
        <v/>
      </c>
      <c r="G66" s="363">
        <f>IF(Calculations!V5,IF(Calculations!S37&lt;0,0,Calculations!S37),0)</f>
        <v>0</v>
      </c>
      <c r="H66" s="397" t="str">
        <f>IF(H52="","",H52)</f>
        <v/>
      </c>
      <c r="I66" s="78" t="str">
        <f>IF(I52="","",I52)</f>
        <v/>
      </c>
      <c r="J66" s="78" t="str">
        <f>IF(J52="","",J52)</f>
        <v/>
      </c>
      <c r="K66" s="303" t="str">
        <f>IF(K52="","",K52)</f>
        <v/>
      </c>
      <c r="L66" s="361">
        <f>IF(Calculations!V5,IF(Calculations!S37&lt;=0,0,Calculations!S36),0)</f>
        <v>0</v>
      </c>
      <c r="M66" s="10"/>
    </row>
    <row r="67" spans="1:13" x14ac:dyDescent="0.2">
      <c r="A67" s="265"/>
      <c r="B67" s="994"/>
      <c r="C67" s="995"/>
      <c r="D67" s="996"/>
      <c r="E67" s="319"/>
      <c r="F67" s="381"/>
      <c r="G67" s="364">
        <f>IF(Calculations!V5,IF(Calculations!T37&lt;0,0,Calculations!T37),0)</f>
        <v>0</v>
      </c>
      <c r="H67" s="652"/>
      <c r="I67" s="68"/>
      <c r="J67" s="68"/>
      <c r="K67" s="302"/>
      <c r="L67" s="362">
        <f>IF(Calculations!V5,IF(Calculations!T37&lt;=0,0,Calculations!T36),0)</f>
        <v>0</v>
      </c>
      <c r="M67" s="10"/>
    </row>
    <row r="68" spans="1:13" s="80" customFormat="1" ht="14.25" x14ac:dyDescent="0.2">
      <c r="A68" s="265"/>
      <c r="B68" s="266"/>
      <c r="C68" s="266"/>
      <c r="D68" s="266"/>
      <c r="E68" s="266"/>
      <c r="F68" s="266"/>
      <c r="G68" s="266"/>
      <c r="H68" s="266"/>
      <c r="I68" s="266"/>
      <c r="J68" s="266"/>
      <c r="K68" s="266"/>
      <c r="L68" s="266"/>
      <c r="M68" s="79"/>
    </row>
    <row r="69" spans="1:13" ht="51" customHeight="1" x14ac:dyDescent="0.2">
      <c r="A69" s="265"/>
      <c r="B69" s="982" t="s">
        <v>253</v>
      </c>
      <c r="C69" s="983"/>
      <c r="D69" s="984"/>
      <c r="E69" s="984"/>
      <c r="F69" s="984"/>
      <c r="G69" s="984"/>
      <c r="H69" s="984"/>
      <c r="I69" s="984"/>
      <c r="J69" s="984"/>
      <c r="K69" s="984"/>
      <c r="L69" s="985"/>
      <c r="M69" s="10"/>
    </row>
    <row r="70" spans="1:13" ht="7.5" customHeight="1" x14ac:dyDescent="0.2">
      <c r="A70" s="265"/>
      <c r="B70" s="266"/>
      <c r="C70" s="266"/>
      <c r="D70" s="266"/>
      <c r="E70" s="266"/>
      <c r="F70" s="266"/>
      <c r="G70" s="266"/>
      <c r="H70" s="266"/>
      <c r="I70" s="266"/>
      <c r="J70" s="266"/>
      <c r="K70" s="266"/>
      <c r="L70" s="266"/>
      <c r="M70" s="10"/>
    </row>
    <row r="71" spans="1:13" x14ac:dyDescent="0.2">
      <c r="A71" s="265"/>
      <c r="B71" s="9"/>
      <c r="C71" s="9"/>
      <c r="D71" s="9"/>
      <c r="E71" s="9"/>
      <c r="F71" s="9"/>
      <c r="G71" s="9"/>
      <c r="H71" s="9"/>
      <c r="I71" s="9"/>
      <c r="J71" s="266"/>
      <c r="K71" s="266"/>
      <c r="L71" s="784" t="s">
        <v>106</v>
      </c>
      <c r="M71" s="10"/>
    </row>
    <row r="72" spans="1:13" x14ac:dyDescent="0.2">
      <c r="A72" s="274"/>
      <c r="B72" s="21"/>
      <c r="C72" s="21"/>
      <c r="D72" s="21"/>
      <c r="E72" s="21"/>
      <c r="F72" s="21"/>
      <c r="G72" s="21"/>
      <c r="H72" s="21"/>
      <c r="I72" s="21"/>
      <c r="J72" s="21"/>
      <c r="K72" s="21"/>
      <c r="L72" s="21"/>
      <c r="M72" s="22"/>
    </row>
  </sheetData>
  <sheetProtection algorithmName="SHA-512" hashValue="PwhX+QO4BjlIznMg12ViBnxQ8xuNbjRVdXW9epJVJ6RKt4RQC2xQvTNgaIhmp9INGIc1ZNbogTx4pm9zhPvg0w==" saltValue="ceC8Kysg51XApkkPsJC7YA==" spinCount="100000" sheet="1" objects="1" scenarios="1"/>
  <customSheetViews>
    <customSheetView guid="{47743E36-E3F1-4AC8-AB28-1C3AD83F86F4}" scale="80" showGridLines="0" showRowCol="0" fitToPage="1" showRuler="0" topLeftCell="A2">
      <selection activeCell="D15" sqref="D15"/>
      <pageMargins left="0.19685039370078741" right="0.19685039370078741" top="0.19685039370078741" bottom="0.19685039370078741" header="0.51181102362204722" footer="0.23622047244094491"/>
      <printOptions horizontalCentered="1"/>
      <pageSetup paperSize="9" scale="74" orientation="portrait" r:id="rId1"/>
      <headerFooter alignWithMargins="0">
        <oddFooter>&amp;LPrinted: &amp;D &amp;T&amp;RLast modified: 21/11/2005</oddFooter>
      </headerFooter>
    </customSheetView>
    <customSheetView guid="{878686E5-D823-11D7-9EB6-0000F6FFAA54}" scale="80" showGridLines="0" showRowCol="0" fitToPage="1" hiddenColumns="1" showRuler="0">
      <selection activeCell="F8" sqref="F8"/>
      <pageMargins left="0.19685039370078741" right="0.19685039370078741" top="0.19685039370078741" bottom="0.19685039370078741" header="0.51181102362204722" footer="0.23622047244094491"/>
      <printOptions horizontalCentered="1"/>
      <pageSetup paperSize="9" orientation="portrait" r:id="rId2"/>
      <headerFooter alignWithMargins="0">
        <oddFooter>&amp;LPrinted: &amp;D &amp;T&amp;RLast modified: 03/03/2004</oddFooter>
      </headerFooter>
    </customSheetView>
  </customSheetViews>
  <mergeCells count="21">
    <mergeCell ref="B69:L69"/>
    <mergeCell ref="B58:E58"/>
    <mergeCell ref="B65:D65"/>
    <mergeCell ref="B66:D66"/>
    <mergeCell ref="B67:D67"/>
    <mergeCell ref="F61:G61"/>
    <mergeCell ref="B8:G8"/>
    <mergeCell ref="F60:G60"/>
    <mergeCell ref="F4:G4"/>
    <mergeCell ref="J4:K4"/>
    <mergeCell ref="F5:G5"/>
    <mergeCell ref="J5:K5"/>
    <mergeCell ref="B46:E46"/>
    <mergeCell ref="B47:G47"/>
    <mergeCell ref="B51:D51"/>
    <mergeCell ref="B52:D52"/>
    <mergeCell ref="B53:D53"/>
    <mergeCell ref="B54:D54"/>
    <mergeCell ref="B55:D55"/>
    <mergeCell ref="B56:D56"/>
    <mergeCell ref="B57:D57"/>
  </mergeCells>
  <phoneticPr fontId="27" type="noConversion"/>
  <conditionalFormatting sqref="I63">
    <cfRule type="expression" dxfId="128" priority="24" stopIfTrue="1">
      <formula>IF(AND(OR(H63&gt;0,OR(K63&gt;0,L63&gt;0)),ISBLANK(I63)),TRUE,FALSE)</formula>
    </cfRule>
  </conditionalFormatting>
  <conditionalFormatting sqref="H63">
    <cfRule type="expression" dxfId="127" priority="25" stopIfTrue="1">
      <formula>IF(AND(OR(I63&gt;0,OR(K63&gt;0,L63&gt;0)),ISBLANK(H63)),TRUE,FALSE)</formula>
    </cfRule>
  </conditionalFormatting>
  <conditionalFormatting sqref="K63">
    <cfRule type="expression" dxfId="126" priority="26" stopIfTrue="1">
      <formula>IF(AND(OR(H63&gt;0,OR(I63&gt;0,L63&gt;0)),ISBLANK(K63)),TRUE,FALSE)</formula>
    </cfRule>
  </conditionalFormatting>
  <conditionalFormatting sqref="I10">
    <cfRule type="expression" dxfId="125" priority="27" stopIfTrue="1">
      <formula>AND($H$7&gt;1,$I$10&lt;=0)</formula>
    </cfRule>
    <cfRule type="expression" dxfId="124" priority="28">
      <formula>H7&gt;1</formula>
    </cfRule>
  </conditionalFormatting>
  <conditionalFormatting sqref="K52:K57">
    <cfRule type="expression" dxfId="123" priority="32" stopIfTrue="1">
      <formula>IF(AND(B52&lt;&gt;"",B52&lt;&gt;"Credit Card"),K52="")</formula>
    </cfRule>
  </conditionalFormatting>
  <conditionalFormatting sqref="L63">
    <cfRule type="expression" dxfId="122" priority="39" stopIfTrue="1">
      <formula>#REF!</formula>
    </cfRule>
  </conditionalFormatting>
  <conditionalFormatting sqref="I9">
    <cfRule type="expression" dxfId="121" priority="40" stopIfTrue="1">
      <formula>$H$7&gt;1</formula>
    </cfRule>
  </conditionalFormatting>
  <conditionalFormatting sqref="I11:I12">
    <cfRule type="expression" dxfId="120" priority="41" stopIfTrue="1">
      <formula>$H$7&gt;1</formula>
    </cfRule>
  </conditionalFormatting>
  <conditionalFormatting sqref="J11:J12">
    <cfRule type="expression" dxfId="119" priority="42" stopIfTrue="1">
      <formula>$H$7&gt;2</formula>
    </cfRule>
  </conditionalFormatting>
  <conditionalFormatting sqref="K11:K12">
    <cfRule type="expression" dxfId="118" priority="43" stopIfTrue="1">
      <formula>$H$7&gt;3</formula>
    </cfRule>
  </conditionalFormatting>
  <conditionalFormatting sqref="K9">
    <cfRule type="expression" dxfId="117" priority="45" stopIfTrue="1">
      <formula>$H$7&gt;3</formula>
    </cfRule>
  </conditionalFormatting>
  <conditionalFormatting sqref="H10 H7">
    <cfRule type="cellIs" dxfId="116" priority="46" stopIfTrue="1" operator="lessThanOrEqual">
      <formula>0</formula>
    </cfRule>
  </conditionalFormatting>
  <conditionalFormatting sqref="J10">
    <cfRule type="expression" dxfId="115" priority="47" stopIfTrue="1">
      <formula>AND($H$7&gt;2,$J$10&lt;=0)</formula>
    </cfRule>
    <cfRule type="expression" dxfId="114" priority="48" stopIfTrue="1">
      <formula>$H$7&gt;2</formula>
    </cfRule>
  </conditionalFormatting>
  <conditionalFormatting sqref="K10">
    <cfRule type="expression" dxfId="113" priority="49" stopIfTrue="1">
      <formula>AND($H$7&gt;3,$K$10&lt;=0)</formula>
    </cfRule>
    <cfRule type="expression" dxfId="112" priority="50" stopIfTrue="1">
      <formula>$H$7&gt;3</formula>
    </cfRule>
  </conditionalFormatting>
  <conditionalFormatting sqref="H8">
    <cfRule type="cellIs" dxfId="111" priority="53" stopIfTrue="1" operator="equal">
      <formula>""</formula>
    </cfRule>
  </conditionalFormatting>
  <conditionalFormatting sqref="G17:G25 G30 H20">
    <cfRule type="expression" dxfId="110" priority="54" stopIfTrue="1">
      <formula>AND(SUM($G$17:$G$24,$G$30)&lt;=0,$G$25=0,$G$31=0)</formula>
    </cfRule>
  </conditionalFormatting>
  <conditionalFormatting sqref="C39:C45">
    <cfRule type="expression" dxfId="109" priority="21" stopIfTrue="1">
      <formula>AND(C39="",OR(B39="CBA Variable Rate Home Loan",B39="CBA Fixed Rate Home Loan",B39="OFI home loan (Other financial institution)",B39="CBA Line of Credit",B39="OFI Line of Credit (Other financial institution)"))</formula>
    </cfRule>
  </conditionalFormatting>
  <conditionalFormatting sqref="E52:E57">
    <cfRule type="expression" dxfId="108" priority="20" stopIfTrue="1">
      <formula>AND(E52="",OR(B52="CBA Variable Rate Home Loan",B52="CBA Fixed Rate Home Loan",B52="Line of Credit"))</formula>
    </cfRule>
  </conditionalFormatting>
  <conditionalFormatting sqref="B52">
    <cfRule type="expression" dxfId="107" priority="19" stopIfTrue="1">
      <formula>B52=""</formula>
    </cfRule>
  </conditionalFormatting>
  <conditionalFormatting sqref="H12">
    <cfRule type="expression" dxfId="106" priority="18" stopIfTrue="1">
      <formula>$H$12=""</formula>
    </cfRule>
  </conditionalFormatting>
  <conditionalFormatting sqref="I12">
    <cfRule type="expression" dxfId="105" priority="17" stopIfTrue="1">
      <formula>AND($H$7&gt;=2,$I$12="")</formula>
    </cfRule>
  </conditionalFormatting>
  <conditionalFormatting sqref="J12">
    <cfRule type="expression" dxfId="104" priority="16" stopIfTrue="1">
      <formula>AND($H$7&gt;=3,$J$12="")</formula>
    </cfRule>
  </conditionalFormatting>
  <conditionalFormatting sqref="K12">
    <cfRule type="expression" dxfId="103" priority="15" stopIfTrue="1">
      <formula>AND($H$7&gt;=4,$K$12="")</formula>
    </cfRule>
  </conditionalFormatting>
  <conditionalFormatting sqref="G16">
    <cfRule type="expression" dxfId="102" priority="9" stopIfTrue="1">
      <formula>G16=""</formula>
    </cfRule>
  </conditionalFormatting>
  <conditionalFormatting sqref="H11">
    <cfRule type="expression" dxfId="101" priority="8">
      <formula>$H$11=""</formula>
    </cfRule>
  </conditionalFormatting>
  <conditionalFormatting sqref="I11">
    <cfRule type="expression" dxfId="100" priority="7">
      <formula>AND(H7&gt;1,$I$11="")</formula>
    </cfRule>
  </conditionalFormatting>
  <conditionalFormatting sqref="J11">
    <cfRule type="expression" dxfId="99" priority="6">
      <formula>AND(H7&gt;2,$J$11="")</formula>
    </cfRule>
  </conditionalFormatting>
  <conditionalFormatting sqref="K11">
    <cfRule type="expression" dxfId="98" priority="5">
      <formula>AND(H7&gt;3,$K$11="")</formula>
    </cfRule>
  </conditionalFormatting>
  <conditionalFormatting sqref="J9">
    <cfRule type="expression" dxfId="97" priority="4">
      <formula>$H$7&gt;2</formula>
    </cfRule>
  </conditionalFormatting>
  <conditionalFormatting sqref="F39:F45">
    <cfRule type="expression" dxfId="96" priority="99" stopIfTrue="1">
      <formula>AND(B39&lt;&gt;"",B39&lt;&gt;"Margin Loan",B39&lt;&gt;"HECS",F39="")</formula>
    </cfRule>
  </conditionalFormatting>
  <conditionalFormatting sqref="J39:J45">
    <cfRule type="expression" dxfId="95" priority="100" stopIfTrue="1">
      <formula>AND(OR(B39="Other",B39="Lease",B39="Hire Purchase",B39="HECS"),E39&lt;&gt;"Yes",J39&lt;=0)</formula>
    </cfRule>
  </conditionalFormatting>
  <conditionalFormatting sqref="K39:K45">
    <cfRule type="expression" dxfId="94" priority="101" stopIfTrue="1">
      <formula>AND(OR(B39="CBA Variable Rate Home Loan",B39="CBA Fixed Rate Home Loan",B39="OFI home loan (Other financial institution)",B39="Personal Loan",B39="Other",B39="Lease",B39="Hire Purchase",B39="CBA Line of Credit",B39="OFI Line of Credit (Other financial institution)"),E39&lt;&gt;"Yes",K39="")</formula>
    </cfRule>
  </conditionalFormatting>
  <conditionalFormatting sqref="H39:H45">
    <cfRule type="expression" dxfId="93" priority="102">
      <formula>AND(OR(B39="CBA Variable Rate Home Loan",B39="CBA Fixed Rate Home Loan",B39="CBA Line of Credit",B39="OFI Line of Credit (Other financial institution)",B39="OFI home loan (Other financial institution)",B39="Personal Loan"),E39&lt;&gt;"Yes",H39&lt;=0)</formula>
    </cfRule>
  </conditionalFormatting>
  <conditionalFormatting sqref="I39:I45">
    <cfRule type="expression" dxfId="92" priority="104">
      <formula>AND(E39&lt;&gt;"Yes",I39="",OR(B39="CBA Variable Rate Home Loan",B39="CBA Fixed Rate Home Loan",B39="OFI home loan (Other financial institution)",B39="CBA Line of Credit",B39="OFI Line of Credit (Other financial institution)",B39="Personal Loan",AND(C39="Investment",D39="Yes")))</formula>
    </cfRule>
  </conditionalFormatting>
  <conditionalFormatting sqref="B39:B45">
    <cfRule type="expression" dxfId="91" priority="105" stopIfTrue="1">
      <formula>IF(OR(D39&lt;&gt;"",E39&lt;&gt;"",F39&lt;&gt;"",I39&lt;&gt;"",J39&lt;&gt;"",K39&lt;&gt;""),B39="")</formula>
    </cfRule>
  </conditionalFormatting>
  <conditionalFormatting sqref="G52:G57">
    <cfRule type="expression" dxfId="90" priority="110" stopIfTrue="1">
      <formula>AND(G52="",OR(B52&lt;&gt;"",H52&lt;&gt;"",I52&lt;&gt;""))</formula>
    </cfRule>
  </conditionalFormatting>
  <conditionalFormatting sqref="H52:H57">
    <cfRule type="expression" dxfId="89" priority="111" stopIfTrue="1">
      <formula>AND(H52="",OR(B52&lt;&gt;"",G52&lt;&gt;"",I52&lt;&gt;""),B52&lt;&gt;"Credit Card")</formula>
    </cfRule>
  </conditionalFormatting>
  <conditionalFormatting sqref="I52:I57">
    <cfRule type="expression" dxfId="88" priority="112" stopIfTrue="1">
      <formula>AND(I52="",OR(B52&lt;&gt;"",G52&lt;&gt;"",H52&lt;&gt;""),B52&lt;&gt;"Credit Card")</formula>
    </cfRule>
  </conditionalFormatting>
  <conditionalFormatting sqref="B53:B57">
    <cfRule type="expression" dxfId="87" priority="113" stopIfTrue="1">
      <formula>AND(B53="",OR(G53&lt;&gt;"",H53&lt;&gt;"",I53&lt;&gt;""))</formula>
    </cfRule>
  </conditionalFormatting>
  <conditionalFormatting sqref="G39:G45">
    <cfRule type="expression" dxfId="86" priority="3">
      <formula>AND(B39&lt;&gt;"",B39&lt;&gt;"HECS",G39="")</formula>
    </cfRule>
  </conditionalFormatting>
  <conditionalFormatting sqref="E39:E45">
    <cfRule type="expression" dxfId="85" priority="2">
      <formula>AND(B39&lt;&gt;"",E39="")</formula>
    </cfRule>
  </conditionalFormatting>
  <conditionalFormatting sqref="F61:G61">
    <cfRule type="expression" dxfId="84" priority="1">
      <formula>AND($F$61&gt;7,$J$61&lt;500)</formula>
    </cfRule>
  </conditionalFormatting>
  <dataValidations xWindow="981" yWindow="651" count="75">
    <dataValidation type="whole" operator="lessThanOrEqual" showInputMessage="1" showErrorMessage="1" error="This is restricted to a number up to: 5 years for a home loan and investment home loan, interest only is not applicable for a Line of Credit." prompt="Enter the interest only period. " sqref="J67">
      <formula1>VLOOKUP(B67,Limits,3,0)</formula1>
    </dataValidation>
    <dataValidation type="whole" operator="lessThanOrEqual" allowBlank="1" showInputMessage="1" showErrorMessage="1" error="This is restricted to a number up to: 30 years for a home loan, 30 years for an investment home loan, and 25 years for a Line of Credit." prompt="Enter the loan term." sqref="I67">
      <formula1>VLOOKUP(B67,Limits,2,0)</formula1>
    </dataValidation>
    <dataValidation operator="greaterThanOrEqual" allowBlank="1" showInputMessage="1" showErrorMessage="1" sqref="K66"/>
    <dataValidation type="list" allowBlank="1" showInputMessage="1" showErrorMessage="1" prompt="Is this product tax deductible?" sqref="F67">
      <formula1>"Yes,No"</formula1>
    </dataValidation>
    <dataValidation type="decimal" operator="greaterThanOrEqual" allowBlank="1" showInputMessage="1" showErrorMessage="1" error="You must enter a positive decimal number for the balance / limit." prompt="Insert the balance or limit whichever is applicable" sqref="G52:G57">
      <formula1>0</formula1>
    </dataValidation>
    <dataValidation type="list" allowBlank="1" showInputMessage="1" showErrorMessage="1" prompt="Is this product tax deductable?" sqref="F52:F57">
      <formula1>"Yes, No"</formula1>
    </dataValidation>
    <dataValidation allowBlank="1" showInputMessage="1" showErrorMessage="1" prompt="Enter the name of customer 1" sqref="F4"/>
    <dataValidation type="list" allowBlank="1" showInputMessage="1" showErrorMessage="1" prompt="Is this product to be repaid by the loan?" sqref="E39:E45">
      <formula1>"Yes,No"</formula1>
    </dataValidation>
    <dataValidation allowBlank="1" showInputMessage="1" showErrorMessage="1" prompt="Enter the name of customer 2 (if applicable)" sqref="J4:K4"/>
    <dataValidation type="decimal" operator="greaterThanOrEqual" allowBlank="1" showInputMessage="1" showErrorMessage="1" prompt="Gross wages or salary earned by applicant 2" sqref="H17">
      <formula1>0</formula1>
    </dataValidation>
    <dataValidation type="decimal" operator="greaterThanOrEqual" allowBlank="1" showInputMessage="1" showErrorMessage="1" prompt="Investment income received by applicant 2" sqref="H22">
      <formula1>0</formula1>
    </dataValidation>
    <dataValidation type="decimal" operator="greaterThanOrEqual" allowBlank="1" showInputMessage="1" showErrorMessage="1" prompt="Investment income received by applicant 4" sqref="J22">
      <formula1>0</formula1>
    </dataValidation>
    <dataValidation type="decimal" operator="greaterThanOrEqual" allowBlank="1" showInputMessage="1" showErrorMessage="1" prompt="Pensions received by applicant 2" sqref="H23">
      <formula1>0</formula1>
    </dataValidation>
    <dataValidation type="decimal" operator="greaterThanOrEqual" allowBlank="1" showInputMessage="1" showErrorMessage="1" prompt="Pensions received by applicant 4" sqref="J23">
      <formula1>0</formula1>
    </dataValidation>
    <dataValidation type="decimal" operator="greaterThanOrEqual" allowBlank="1" showInputMessage="1" showErrorMessage="1" prompt="Any other taxable income earned by applicant 2" sqref="H24">
      <formula1>0</formula1>
    </dataValidation>
    <dataValidation type="decimal" operator="greaterThanOrEqual" allowBlank="1" showInputMessage="1" showErrorMessage="1" prompt="Any other taxable income earned by applicant 4" sqref="J24">
      <formula1>0</formula1>
    </dataValidation>
    <dataValidation type="decimal" operator="greaterThanOrEqual" allowBlank="1" showInputMessage="1" showErrorMessage="1" prompt="Any tax free income received by applicant 2, e.g. family allowance." sqref="H30">
      <formula1>0</formula1>
    </dataValidation>
    <dataValidation type="decimal" operator="greaterThanOrEqual" allowBlank="1" showInputMessage="1" showErrorMessage="1" prompt="Any tax free income received by applicant 4, e.g. family allowance." sqref="J30">
      <formula1>0</formula1>
    </dataValidation>
    <dataValidation type="decimal" operator="greaterThanOrEqual" allowBlank="1" showInputMessage="1" showErrorMessage="1" error="You must insert a positive decimal amount for the ongoing rent expense." prompt="Any ongoing annual rental payments" sqref="L34">
      <formula1>0</formula1>
    </dataValidation>
    <dataValidation type="whole" operator="greaterThanOrEqual" allowBlank="1" showInputMessage="1" showErrorMessage="1" error="You must insert a positive whole number." prompt="e.g. If 2 joint applicants reside in separate properties then the answer is 2. If they reside in the same property, then the answer is 1. If they reside in the same property and have 1 or more holiday houses, then the answer is 1." sqref="H7">
      <formula1>0</formula1>
    </dataValidation>
    <dataValidation type="whole" operator="greaterThanOrEqual" allowBlank="1" showInputMessage="1" showErrorMessage="1" error="You must insert a positive whole number." prompt="Do not include applicant's investment properties from which they currently earn an income or properties that they are currently paying rent on.  If applicant's have a principal residence and holiday home that does not generate an income the answer is 2." sqref="H8">
      <formula1>0</formula1>
    </dataValidation>
    <dataValidation type="whole" operator="greaterThanOrEqual" allowBlank="1" showInputMessage="1" showErrorMessage="1" error="You must insert a positive whole number." prompt="Enter in the number of adults aged 18 or more residing in household 1." sqref="H10">
      <formula1>0</formula1>
    </dataValidation>
    <dataValidation type="whole" operator="greaterThanOrEqual" allowBlank="1" showInputMessage="1" showErrorMessage="1" error="You must insert a positive whole number." prompt="Enter in the number of children aged under 18 residing in household 1." sqref="H11">
      <formula1>0</formula1>
    </dataValidation>
    <dataValidation operator="greaterThanOrEqual" allowBlank="1" showInputMessage="1" showErrorMessage="1" prompt="Click on the calculator icon to input self employed income." sqref="H25:J25"/>
    <dataValidation type="decimal" operator="greaterThanOrEqual" allowBlank="1" showInputMessage="1" showErrorMessage="1" error="You must enter a positive decimal amount for the monthly charges." prompt="Enter any monthly charges, enter 0 if not applicable." sqref="K67 K52:K57">
      <formula1>0</formula1>
    </dataValidation>
    <dataValidation type="decimal" operator="greaterThanOrEqual" allowBlank="1" showInputMessage="1" showErrorMessage="1" error="You must enter a positive decimal amount for the monthly repayment." prompt="Insert the monthly payment if applicable" sqref="J39:J45">
      <formula1>0</formula1>
    </dataValidation>
    <dataValidation type="decimal" operator="greaterThanOrEqual" allowBlank="1" showInputMessage="1" showErrorMessage="1" error="You must enter a positive decimal amount for the balance / limit." prompt="Enter the current balance for this liability." sqref="F39:F45">
      <formula1>0</formula1>
    </dataValidation>
    <dataValidation type="list" allowBlank="1" showInputMessage="1" showErrorMessage="1" error="Invalid loan type.  Please delete your input and select a loan type from the drop down list." prompt="Select the product you are already committed to_x000a_" sqref="B39:B45">
      <formula1>Products</formula1>
    </dataValidation>
    <dataValidation allowBlank="1" showInputMessage="1" showErrorMessage="1" prompt="Enter the name of customer 3 (if applicable)" sqref="F5:G5"/>
    <dataValidation allowBlank="1" showInputMessage="1" showErrorMessage="1" prompt="Enter the name of customer 4 (if applicable)" sqref="J5:K5"/>
    <dataValidation allowBlank="1" showInputMessage="1" showErrorMessage="1" prompt="Any tax free income received by applicant 1, e.g. family allowance." sqref="G30"/>
    <dataValidation allowBlank="1" showInputMessage="1" showErrorMessage="1" prompt="Any tax free income received by applicant 3, e.g. family allowance." sqref="I30"/>
    <dataValidation type="decimal" operator="greaterThanOrEqual" allowBlank="1" showInputMessage="1" showErrorMessage="1" prompt="Gross wages or salary earned by applicant 4" sqref="J17">
      <formula1>0</formula1>
    </dataValidation>
    <dataValidation allowBlank="1" showInputMessage="1" showErrorMessage="1" prompt="Any other taxable income earned by applicant 1" sqref="G24"/>
    <dataValidation allowBlank="1" showInputMessage="1" showErrorMessage="1" prompt="Any other taxable income earned by applicant 3" sqref="I24"/>
    <dataValidation allowBlank="1" showInputMessage="1" showErrorMessage="1" prompt="Pensions received by applicant 1" sqref="G23"/>
    <dataValidation allowBlank="1" showInputMessage="1" showErrorMessage="1" prompt="Pensions received by applicant 3" sqref="I23"/>
    <dataValidation allowBlank="1" showInputMessage="1" showErrorMessage="1" prompt="Investment income received by applicant 1" sqref="G22"/>
    <dataValidation allowBlank="1" showInputMessage="1" showErrorMessage="1" prompt="Investment income received by applicant 3" sqref="I22"/>
    <dataValidation allowBlank="1" showInputMessage="1" showErrorMessage="1" prompt="Gross wages or salary earned by applicant 1" sqref="G17"/>
    <dataValidation allowBlank="1" showInputMessage="1" showErrorMessage="1" prompt="Gross wages or salary earned by applicant 3" sqref="I17"/>
    <dataValidation type="list" allowBlank="1" showInputMessage="1" showErrorMessage="1" error="Invalid loan type.  Please delete your input and select a loan type from the drop down list." prompt="Is this product tax deductable?_x000a_" sqref="D39:D45">
      <formula1>"Yes,No"</formula1>
    </dataValidation>
    <dataValidation type="list" allowBlank="1" showInputMessage="1" showErrorMessage="1" prompt="Select the product" sqref="B67">
      <formula1>Base_products</formula1>
    </dataValidation>
    <dataValidation allowBlank="1" showInputMessage="1" showErrorMessage="1" prompt="Click on the calculator icon to input self employed income" sqref="G25"/>
    <dataValidation type="decimal" operator="greaterThanOrEqual" allowBlank="1" showInputMessage="1" showErrorMessage="1" error="You must enter a positive decimal amount for the monthly charges." prompt="Insert any monthly charges, enter 0 if not applicable." sqref="K39:K45">
      <formula1>0</formula1>
    </dataValidation>
    <dataValidation type="list" allowBlank="1" showInputMessage="1" showErrorMessage="1" error="Invalid loan type.  Please delete your input and select a loan type from the drop down list." prompt="Select the product you propose to take out_x000a_" sqref="B52:B57">
      <formula1>Proposed</formula1>
    </dataValidation>
    <dataValidation type="whole" operator="greaterThanOrEqual" allowBlank="1" showInputMessage="1" showErrorMessage="1" error="You must insert a positive whole number." prompt="Enter in the number of adults aged 18 or more residing in household 2." sqref="I10">
      <formula1>0</formula1>
    </dataValidation>
    <dataValidation type="whole" operator="greaterThanOrEqual" allowBlank="1" showInputMessage="1" showErrorMessage="1" error="You must insert a positive whole number." prompt="Enter in the number of children aged under 18 residing in household 2." sqref="I11">
      <formula1>0</formula1>
    </dataValidation>
    <dataValidation type="whole" operator="greaterThanOrEqual" allowBlank="1" showInputMessage="1" showErrorMessage="1" error="You must insert a positive whole number." prompt="Enter in the number of adults aged 18 or more residing in household 3." sqref="J10">
      <formula1>0</formula1>
    </dataValidation>
    <dataValidation type="whole" operator="greaterThanOrEqual" allowBlank="1" showInputMessage="1" showErrorMessage="1" error="You must insert a positive whole number." prompt="Enter in the number of children aged under 18 residing in household 3." sqref="J11">
      <formula1>0</formula1>
    </dataValidation>
    <dataValidation type="whole" operator="greaterThanOrEqual" allowBlank="1" showInputMessage="1" showErrorMessage="1" error="You must insert a positive whole number." prompt="Enter in the number of adults aged 18 or more residing in household 4." sqref="K10">
      <formula1>0</formula1>
    </dataValidation>
    <dataValidation type="whole" operator="greaterThanOrEqual" allowBlank="1" showInputMessage="1" showErrorMessage="1" error="You must insert a positive whole number." prompt="Enter in the number of children aged under 18 residing in household 4." sqref="K11">
      <formula1>0</formula1>
    </dataValidation>
    <dataValidation allowBlank="1" showInputMessage="1" showErrorMessage="1" prompt="Gross bonuses earned by applicant 1" sqref="G19"/>
    <dataValidation type="decimal" operator="greaterThanOrEqual" allowBlank="1" showInputMessage="1" showErrorMessage="1" prompt="Gross bonuses earned by applicant 2" sqref="H19">
      <formula1>0</formula1>
    </dataValidation>
    <dataValidation allowBlank="1" showInputMessage="1" showErrorMessage="1" prompt="Gross bonuses earned by applicant 3" sqref="I19"/>
    <dataValidation type="decimal" operator="greaterThanOrEqual" allowBlank="1" showInputMessage="1" showErrorMessage="1" prompt="Gross bonuses earned by applicant 4" sqref="J19">
      <formula1>0</formula1>
    </dataValidation>
    <dataValidation type="list" allowBlank="1" showInputMessage="1" showErrorMessage="1" error="Invalid loan type.  Please delete your input and select a loan type from the drop down list." prompt="Select the product you propose to take out_x000a_" sqref="E52:E57">
      <formula1>Loan_type</formula1>
    </dataValidation>
    <dataValidation type="list" allowBlank="1" showInputMessage="1" showErrorMessage="1" error="Invalid loan type.  Please delete your input and select a loan type from the drop down list." prompt="Select the product you are already committed to_x000a_" sqref="C39:C45">
      <formula1>Loan_type</formula1>
    </dataValidation>
    <dataValidation type="list" allowBlank="1" showInputMessage="1" showErrorMessage="1" prompt="Select the loan type" sqref="E67">
      <formula1>Loan_type</formula1>
    </dataValidation>
    <dataValidation allowBlank="1" showInputMessage="1" showErrorMessage="1" prompt="Gross overtime earned by applicant 1" sqref="G18"/>
    <dataValidation type="decimal" operator="greaterThanOrEqual" allowBlank="1" showInputMessage="1" showErrorMessage="1" prompt="Gross overtime earned by applicant 2" sqref="H18">
      <formula1>0</formula1>
    </dataValidation>
    <dataValidation allowBlank="1" showInputMessage="1" showErrorMessage="1" prompt="Gross overtime earned by applicant 3_x000a_" sqref="I18"/>
    <dataValidation type="decimal" operator="greaterThanOrEqual" allowBlank="1" showInputMessage="1" showErrorMessage="1" prompt="Gross overtime earned by applicant 4" sqref="J18">
      <formula1>0</formula1>
    </dataValidation>
    <dataValidation type="decimal" operator="greaterThanOrEqual" allowBlank="1" showInputMessage="1" showErrorMessage="1" error="You must enter a positive decimal number for the assessment rate." prompt="Enter the final Assessment Rate (headline assessment rate less discount) applicable for this product. Note that this rate should not be below the floor of 5.1%. The headline assessment rates are available on CommBroker." sqref="H57">
      <formula1>0</formula1>
    </dataValidation>
    <dataValidation operator="greaterThanOrEqual" allowBlank="1" showInputMessage="1" showErrorMessage="1" prompt="Enter the final Assessment Rate (headline assessment rate less discount) applicable for this product. Note that this rate should not be below the floor of 5.1%. The headline assessment rates are available on CommBroker." sqref="H67"/>
    <dataValidation operator="greaterThanOrEqual" allowBlank="1" showErrorMessage="1" prompt="Final Assessment Rate (headline assessment rate less discount) applicable for this product. Note that this rate should not be below the floor of 7.25%. The headline assessment rates are available on CommBroker." sqref="H66"/>
    <dataValidation type="whole" operator="lessThanOrEqual" showInputMessage="1" showErrorMessage="1" error="This is restricted to a number up to 5 years for a home loan and investment home loan, interest only is not applicable for a Line of Credit." prompt="Enter the interest only period." sqref="J52:J57">
      <formula1>VLOOKUP(B52,Limits,3,0)</formula1>
    </dataValidation>
    <dataValidation allowBlank="1" showInputMessage="1" showErrorMessage="1" prompt="Click on the calculator icon to enter rental income" sqref="G20:J21"/>
    <dataValidation type="decimal" operator="greaterThanOrEqual" allowBlank="1" showInputMessage="1" showErrorMessage="1" error="You must enter a positive decimal amount for the interest rate." prompt="Insert the current interest rate." sqref="I39:I45">
      <formula1>0</formula1>
    </dataValidation>
    <dataValidation type="whole" showInputMessage="1" showErrorMessage="1" error="This is restricted to a number up to: 30 years for a Home Loan, 30 years for an Investment Home Loan, 7 years for a Personal Loan, 25 years for a Line of Credit, 5 years for a Hire or Lease and 30 years for Other loans." prompt="For HL/IHL enter the P&amp;I remaining term in years. For Line of Credit insert the term to retirement." sqref="H39:H45">
      <formula1>0</formula1>
      <formula2>VLOOKUP(B39,Table,2,0)</formula2>
    </dataValidation>
    <dataValidation type="whole" operator="greaterThan" allowBlank="1" showInputMessage="1" showErrorMessage="1" error="You must enter a whole number greater than 0." promptTitle="Monthly Living Expenses" prompt="the $ amount needed to maintain a reasonable standard of living, e.g Housing/Property Expenses, Food, Clothing, Personal Care, Medical, Health, Fitness, Insurance, Transport/Auto, Travel, Entertainment, Children, Pets, Education, Communication, and Other." sqref="H12:K12">
      <formula1>0</formula1>
    </dataValidation>
    <dataValidation type="list" allowBlank="1" showInputMessage="1" showErrorMessage="1" prompt="Select the household this applicant resides in" sqref="G16:J16">
      <formula1>"Household 1,Household 2,Household 3,Household 4"</formula1>
    </dataValidation>
    <dataValidation type="whole" operator="lessThanOrEqual" showInputMessage="1" showErrorMessage="1" error="This is restricted to a number up to: 30 years for a home loan, 30 years for an investment home loan, and 25 years for a Line of Credit." prompt="Enter the loan term." sqref="I52:I57">
      <formula1>VLOOKUP(B52,Limits,2,0)</formula1>
    </dataValidation>
    <dataValidation type="decimal" operator="greaterThanOrEqual" allowBlank="1" showInputMessage="1" showErrorMessage="1" prompt="Enter the limit for this liability. For HL/IHL, this is the balance + redraw + undrawn balance." sqref="G39:G45">
      <formula1>0</formula1>
    </dataValidation>
    <dataValidation type="decimal" operator="greaterThanOrEqual" allowBlank="1" showInputMessage="1" showErrorMessage="1" error="You must enter a positive decimal number for the assessment rate." prompt="Enter the final Assessment Rate (headline assessment rate less discount) applicable for this product. Note that this rate should not be below the floor of 5.1%. The headline assessment rates are available on CommBroker." sqref="H52:H56">
      <formula1>0</formula1>
    </dataValidation>
  </dataValidations>
  <printOptions horizontalCentered="1"/>
  <pageMargins left="0.19685039370078741" right="0.19685039370078741" top="0.19685039370078741" bottom="0.19685039370078741" header="0.51181102362204722" footer="0.23622047244094491"/>
  <pageSetup paperSize="9" orientation="portrait" r:id="rId3"/>
  <headerFooter alignWithMargins="0">
    <oddFooter>&amp;L&amp;"Calibri"&amp;11&amp;K000000&amp;"Calibri"&amp;11&amp;K000000&amp;"Calibri"&amp;11&amp;K000000&amp;"Calibri"&amp;11&amp;K000000&amp;"Calibri"&amp;11&amp;K000000&amp;"Calibri"&amp;11&amp;K000000&amp;"Calibri"&amp;11&amp;K000000&amp;"Calibri"&amp;11&amp;K000000Printed: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4"/>
  <legacyDrawing r:id="rId5"/>
  <oleObjects>
    <mc:AlternateContent xmlns:mc="http://schemas.openxmlformats.org/markup-compatibility/2006">
      <mc:Choice Requires="x14">
        <oleObject progId="MSPhotoEd.3" shapeId="3078" r:id="rId6">
          <objectPr defaultSize="0" print="0" macro="[0]!cmdSelf" r:id="rId7">
            <anchor moveWithCells="1">
              <from>
                <xdr:col>5</xdr:col>
                <xdr:colOff>476250</xdr:colOff>
                <xdr:row>24</xdr:row>
                <xdr:rowOff>9525</xdr:rowOff>
              </from>
              <to>
                <xdr:col>5</xdr:col>
                <xdr:colOff>704850</xdr:colOff>
                <xdr:row>25</xdr:row>
                <xdr:rowOff>19050</xdr:rowOff>
              </to>
            </anchor>
          </objectPr>
        </oleObject>
      </mc:Choice>
      <mc:Fallback>
        <oleObject progId="MSPhotoEd.3" shapeId="3078" r:id="rId6"/>
      </mc:Fallback>
    </mc:AlternateContent>
    <mc:AlternateContent xmlns:mc="http://schemas.openxmlformats.org/markup-compatibility/2006">
      <mc:Choice Requires="x14">
        <oleObject progId="MSPhotoEd.3" shapeId="3079" r:id="rId8">
          <objectPr defaultSize="0" print="0" macro="[0]!cmdSelf" r:id="rId7">
            <anchor moveWithCells="1">
              <from>
                <xdr:col>10</xdr:col>
                <xdr:colOff>57150</xdr:colOff>
                <xdr:row>24</xdr:row>
                <xdr:rowOff>9525</xdr:rowOff>
              </from>
              <to>
                <xdr:col>10</xdr:col>
                <xdr:colOff>285750</xdr:colOff>
                <xdr:row>25</xdr:row>
                <xdr:rowOff>19050</xdr:rowOff>
              </to>
            </anchor>
          </objectPr>
        </oleObject>
      </mc:Choice>
      <mc:Fallback>
        <oleObject progId="MSPhotoEd.3" shapeId="3079" r:id="rId8"/>
      </mc:Fallback>
    </mc:AlternateContent>
    <mc:AlternateContent xmlns:mc="http://schemas.openxmlformats.org/markup-compatibility/2006">
      <mc:Choice Requires="x14">
        <oleObject progId="MSPhotoEd.3" shapeId="3135" r:id="rId9">
          <objectPr defaultSize="0" autoPict="0" r:id="rId10">
            <anchor moveWithCells="1">
              <from>
                <xdr:col>10</xdr:col>
                <xdr:colOff>114300</xdr:colOff>
                <xdr:row>1</xdr:row>
                <xdr:rowOff>9525</xdr:rowOff>
              </from>
              <to>
                <xdr:col>12</xdr:col>
                <xdr:colOff>0</xdr:colOff>
                <xdr:row>2</xdr:row>
                <xdr:rowOff>76200</xdr:rowOff>
              </to>
            </anchor>
          </objectPr>
        </oleObject>
      </mc:Choice>
      <mc:Fallback>
        <oleObject progId="MSPhotoEd.3" shapeId="3135" r:id="rId9"/>
      </mc:Fallback>
    </mc:AlternateContent>
    <mc:AlternateContent xmlns:mc="http://schemas.openxmlformats.org/markup-compatibility/2006">
      <mc:Choice Requires="x14">
        <oleObject progId="MSPhotoEd.3" shapeId="3136" r:id="rId11">
          <objectPr defaultSize="0" print="0" macro="[0]!cmdRentalYield" r:id="rId7">
            <anchor moveWithCells="1">
              <from>
                <xdr:col>5</xdr:col>
                <xdr:colOff>476250</xdr:colOff>
                <xdr:row>19</xdr:row>
                <xdr:rowOff>66675</xdr:rowOff>
              </from>
              <to>
                <xdr:col>5</xdr:col>
                <xdr:colOff>704850</xdr:colOff>
                <xdr:row>20</xdr:row>
                <xdr:rowOff>76200</xdr:rowOff>
              </to>
            </anchor>
          </objectPr>
        </oleObject>
      </mc:Choice>
      <mc:Fallback>
        <oleObject progId="MSPhotoEd.3" shapeId="3136" r:id="rId11"/>
      </mc:Fallback>
    </mc:AlternateContent>
    <mc:AlternateContent xmlns:mc="http://schemas.openxmlformats.org/markup-compatibility/2006">
      <mc:Choice Requires="x14">
        <oleObject progId="MSPhotoEd.3" shapeId="3137" r:id="rId12">
          <objectPr defaultSize="0" print="0" macro="[0]!cmdRentalYield" r:id="rId7">
            <anchor moveWithCells="1">
              <from>
                <xdr:col>10</xdr:col>
                <xdr:colOff>57150</xdr:colOff>
                <xdr:row>19</xdr:row>
                <xdr:rowOff>76200</xdr:rowOff>
              </from>
              <to>
                <xdr:col>10</xdr:col>
                <xdr:colOff>285750</xdr:colOff>
                <xdr:row>20</xdr:row>
                <xdr:rowOff>85725</xdr:rowOff>
              </to>
            </anchor>
          </objectPr>
        </oleObject>
      </mc:Choice>
      <mc:Fallback>
        <oleObject progId="MSPhotoEd.3" shapeId="3137" r:id="rId12"/>
      </mc:Fallback>
    </mc:AlternateContent>
  </oleObjects>
  <mc:AlternateContent xmlns:mc="http://schemas.openxmlformats.org/markup-compatibility/2006">
    <mc:Choice Requires="x14">
      <controls>
        <mc:AlternateContent xmlns:mc="http://schemas.openxmlformats.org/markup-compatibility/2006">
          <mc:Choice Requires="x14">
            <control shapeId="3073" r:id="rId13" name="Button 1">
              <controlPr defaultSize="0" print="0" autoFill="0" autoPict="0" macro="[0]!cmdClearCalc">
                <anchor moveWithCells="1" sizeWithCells="1">
                  <from>
                    <xdr:col>1</xdr:col>
                    <xdr:colOff>0</xdr:colOff>
                    <xdr:row>2</xdr:row>
                    <xdr:rowOff>219075</xdr:rowOff>
                  </from>
                  <to>
                    <xdr:col>1</xdr:col>
                    <xdr:colOff>781050</xdr:colOff>
                    <xdr:row>4</xdr:row>
                    <xdr:rowOff>142875</xdr:rowOff>
                  </to>
                </anchor>
              </controlPr>
            </control>
          </mc:Choice>
        </mc:AlternateContent>
        <mc:AlternateContent xmlns:mc="http://schemas.openxmlformats.org/markup-compatibility/2006">
          <mc:Choice Requires="x14">
            <control shapeId="3074" r:id="rId14" name="Button 2">
              <controlPr defaultSize="0" print="0" autoFill="0" autoPict="0" macro="[0]!cmdMenu">
                <anchor moveWithCells="1" sizeWithCells="1">
                  <from>
                    <xdr:col>1</xdr:col>
                    <xdr:colOff>933450</xdr:colOff>
                    <xdr:row>3</xdr:row>
                    <xdr:rowOff>0</xdr:rowOff>
                  </from>
                  <to>
                    <xdr:col>1</xdr:col>
                    <xdr:colOff>1724025</xdr:colOff>
                    <xdr:row>4</xdr:row>
                    <xdr:rowOff>142875</xdr:rowOff>
                  </to>
                </anchor>
              </controlPr>
            </control>
          </mc:Choice>
        </mc:AlternateContent>
        <mc:AlternateContent xmlns:mc="http://schemas.openxmlformats.org/markup-compatibility/2006">
          <mc:Choice Requires="x14">
            <control shapeId="3075" r:id="rId15" name="Button 3">
              <controlPr defaultSize="0" print="0" autoFill="0" autoPict="0" macro="[0]!cmdClearCalc">
                <anchor moveWithCells="1" sizeWithCells="1">
                  <from>
                    <xdr:col>2</xdr:col>
                    <xdr:colOff>228600</xdr:colOff>
                    <xdr:row>70</xdr:row>
                    <xdr:rowOff>0</xdr:rowOff>
                  </from>
                  <to>
                    <xdr:col>2</xdr:col>
                    <xdr:colOff>914400</xdr:colOff>
                    <xdr:row>71</xdr:row>
                    <xdr:rowOff>114300</xdr:rowOff>
                  </to>
                </anchor>
              </controlPr>
            </control>
          </mc:Choice>
        </mc:AlternateContent>
        <mc:AlternateContent xmlns:mc="http://schemas.openxmlformats.org/markup-compatibility/2006">
          <mc:Choice Requires="x14">
            <control shapeId="3076" r:id="rId16" name="Button 4">
              <controlPr defaultSize="0" print="0" autoFill="0" autoPict="0" macro="[0]!cmdMenu">
                <anchor moveWithCells="1" sizeWithCells="1">
                  <from>
                    <xdr:col>3</xdr:col>
                    <xdr:colOff>123825</xdr:colOff>
                    <xdr:row>70</xdr:row>
                    <xdr:rowOff>0</xdr:rowOff>
                  </from>
                  <to>
                    <xdr:col>4</xdr:col>
                    <xdr:colOff>609600</xdr:colOff>
                    <xdr:row>71</xdr:row>
                    <xdr:rowOff>123825</xdr:rowOff>
                  </to>
                </anchor>
              </controlPr>
            </control>
          </mc:Choice>
        </mc:AlternateContent>
        <mc:AlternateContent xmlns:mc="http://schemas.openxmlformats.org/markup-compatibility/2006">
          <mc:Choice Requires="x14">
            <control shapeId="3077" r:id="rId17" name="Button 5">
              <controlPr defaultSize="0" print="0" autoFill="0" autoPict="0" macro="[0]!cmdNegGearing">
                <anchor moveWithCells="1" sizeWithCells="1">
                  <from>
                    <xdr:col>11</xdr:col>
                    <xdr:colOff>0</xdr:colOff>
                    <xdr:row>46</xdr:row>
                    <xdr:rowOff>114300</xdr:rowOff>
                  </from>
                  <to>
                    <xdr:col>12</xdr:col>
                    <xdr:colOff>0</xdr:colOff>
                    <xdr:row>47</xdr:row>
                    <xdr:rowOff>0</xdr:rowOff>
                  </to>
                </anchor>
              </controlPr>
            </control>
          </mc:Choice>
        </mc:AlternateContent>
        <mc:AlternateContent xmlns:mc="http://schemas.openxmlformats.org/markup-compatibility/2006">
          <mc:Choice Requires="x14">
            <control shapeId="3080" r:id="rId18" name="Button 8">
              <controlPr defaultSize="0" print="0" autoFill="0" autoPict="0" macro="[0]!cmdNegGearing">
                <anchor moveWithCells="1" sizeWithCells="1">
                  <from>
                    <xdr:col>11</xdr:col>
                    <xdr:colOff>0</xdr:colOff>
                    <xdr:row>58</xdr:row>
                    <xdr:rowOff>161925</xdr:rowOff>
                  </from>
                  <to>
                    <xdr:col>12</xdr:col>
                    <xdr:colOff>0</xdr:colOff>
                    <xdr:row>60</xdr:row>
                    <xdr:rowOff>19050</xdr:rowOff>
                  </to>
                </anchor>
              </controlPr>
            </control>
          </mc:Choice>
        </mc:AlternateContent>
        <mc:AlternateContent xmlns:mc="http://schemas.openxmlformats.org/markup-compatibility/2006">
          <mc:Choice Requires="x14">
            <control shapeId="3081" r:id="rId19" name="Button 9">
              <controlPr defaultSize="0" print="0" autoFill="0" autoPict="0" macro="[0]!cmdPrint">
                <anchor moveWithCells="1" sizeWithCells="1">
                  <from>
                    <xdr:col>11</xdr:col>
                    <xdr:colOff>219075</xdr:colOff>
                    <xdr:row>2</xdr:row>
                    <xdr:rowOff>219075</xdr:rowOff>
                  </from>
                  <to>
                    <xdr:col>11</xdr:col>
                    <xdr:colOff>1009650</xdr:colOff>
                    <xdr:row>4</xdr:row>
                    <xdr:rowOff>152400</xdr:rowOff>
                  </to>
                </anchor>
              </controlPr>
            </control>
          </mc:Choice>
        </mc:AlternateContent>
        <mc:AlternateContent xmlns:mc="http://schemas.openxmlformats.org/markup-compatibility/2006">
          <mc:Choice Requires="x14">
            <control shapeId="3082" r:id="rId20" name="Button 10">
              <controlPr defaultSize="0" print="0" autoFill="0" autoPict="0" macro="[0]!cmdPrint">
                <anchor moveWithCells="1" sizeWithCells="1">
                  <from>
                    <xdr:col>4</xdr:col>
                    <xdr:colOff>866775</xdr:colOff>
                    <xdr:row>70</xdr:row>
                    <xdr:rowOff>0</xdr:rowOff>
                  </from>
                  <to>
                    <xdr:col>5</xdr:col>
                    <xdr:colOff>561975</xdr:colOff>
                    <xdr:row>71</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fitToPage="1"/>
  </sheetPr>
  <dimension ref="A1:P86"/>
  <sheetViews>
    <sheetView showGridLines="0" showRowColHeaders="0" zoomScaleNormal="100" workbookViewId="0"/>
  </sheetViews>
  <sheetFormatPr defaultRowHeight="12.75" x14ac:dyDescent="0.2"/>
  <cols>
    <col min="1" max="1" width="1.7109375" customWidth="1"/>
    <col min="2" max="2" width="3.7109375" customWidth="1"/>
    <col min="3" max="4" width="14.140625" customWidth="1"/>
    <col min="6" max="6" width="16.140625" customWidth="1"/>
    <col min="7" max="7" width="3.7109375" customWidth="1"/>
    <col min="8" max="8" width="16.140625" customWidth="1"/>
    <col min="9" max="9" width="3.7109375" customWidth="1"/>
    <col min="10" max="10" width="16.140625" customWidth="1"/>
    <col min="11" max="11" width="3.7109375" customWidth="1"/>
    <col min="12" max="12" width="15.28515625" customWidth="1"/>
    <col min="13" max="13" width="1.5703125" customWidth="1"/>
    <col min="15" max="15" width="9.140625" style="1" hidden="1" customWidth="1"/>
    <col min="16" max="16" width="9.140625" hidden="1" customWidth="1"/>
  </cols>
  <sheetData>
    <row r="1" spans="1:16" x14ac:dyDescent="0.2">
      <c r="A1" s="81"/>
      <c r="B1" s="82"/>
      <c r="C1" s="82"/>
      <c r="D1" s="82"/>
      <c r="E1" s="82"/>
      <c r="F1" s="82"/>
      <c r="G1" s="82"/>
      <c r="H1" s="82"/>
      <c r="I1" s="82"/>
      <c r="J1" s="82"/>
      <c r="K1" s="82"/>
      <c r="L1" s="82"/>
      <c r="M1" s="83"/>
      <c r="N1" s="1"/>
    </row>
    <row r="2" spans="1:16" ht="13.5" thickBot="1" x14ac:dyDescent="0.25">
      <c r="A2" s="84"/>
      <c r="B2" s="85"/>
      <c r="C2" s="85"/>
      <c r="D2" s="85"/>
      <c r="E2" s="85"/>
      <c r="F2" s="85"/>
      <c r="G2" s="85"/>
      <c r="H2" s="85"/>
      <c r="I2" s="85"/>
      <c r="J2" s="85"/>
      <c r="K2" s="85"/>
      <c r="L2" s="85"/>
      <c r="M2" s="86"/>
      <c r="N2" s="1"/>
    </row>
    <row r="3" spans="1:16" s="74" customFormat="1" ht="24" customHeight="1" thickBot="1" x14ac:dyDescent="0.25">
      <c r="A3" s="87"/>
      <c r="B3" s="88" t="s">
        <v>107</v>
      </c>
      <c r="C3" s="89"/>
      <c r="D3" s="89"/>
      <c r="E3" s="89"/>
      <c r="F3" s="89"/>
      <c r="G3" s="89"/>
      <c r="H3" s="90"/>
      <c r="I3" s="70"/>
      <c r="J3" s="70"/>
      <c r="K3" s="70"/>
      <c r="L3" s="70"/>
      <c r="M3" s="72"/>
      <c r="N3" s="73"/>
      <c r="O3" s="73"/>
    </row>
    <row r="4" spans="1:16" x14ac:dyDescent="0.2">
      <c r="A4" s="84"/>
      <c r="B4" s="85"/>
      <c r="C4" s="85"/>
      <c r="D4" s="85"/>
      <c r="E4" s="85"/>
      <c r="F4" s="85"/>
      <c r="G4" s="85"/>
      <c r="H4" s="85"/>
      <c r="I4" s="85"/>
      <c r="J4" s="85"/>
      <c r="K4" s="85"/>
      <c r="L4" s="85"/>
      <c r="M4" s="86"/>
      <c r="N4" s="1"/>
    </row>
    <row r="5" spans="1:16" s="74" customFormat="1" ht="23.25" customHeight="1" x14ac:dyDescent="0.2">
      <c r="A5" s="87"/>
      <c r="B5" s="36" t="s">
        <v>108</v>
      </c>
      <c r="C5" s="91"/>
      <c r="D5" s="91"/>
      <c r="E5" s="91"/>
      <c r="F5" s="91"/>
      <c r="G5" s="91"/>
      <c r="H5" s="91"/>
      <c r="I5" s="63"/>
      <c r="J5" s="63"/>
      <c r="K5" s="63"/>
      <c r="L5" s="66"/>
      <c r="M5" s="72"/>
      <c r="N5" s="73"/>
      <c r="O5" s="73"/>
    </row>
    <row r="6" spans="1:16" x14ac:dyDescent="0.2">
      <c r="A6" s="84"/>
      <c r="B6" s="85"/>
      <c r="C6" s="85"/>
      <c r="D6" s="85"/>
      <c r="E6" s="85"/>
      <c r="F6" s="85"/>
      <c r="G6" s="85"/>
      <c r="H6" s="85"/>
      <c r="I6" s="85"/>
      <c r="J6" s="85"/>
      <c r="K6" s="85"/>
      <c r="L6" s="85"/>
      <c r="M6" s="86"/>
      <c r="N6" s="1"/>
    </row>
    <row r="7" spans="1:16" x14ac:dyDescent="0.2">
      <c r="A7" s="84"/>
      <c r="B7" s="85"/>
      <c r="C7" s="85"/>
      <c r="D7" s="85"/>
      <c r="E7" s="85"/>
      <c r="F7" s="92" t="s">
        <v>109</v>
      </c>
      <c r="G7" s="92"/>
      <c r="H7" s="92" t="s">
        <v>110</v>
      </c>
      <c r="I7" s="85"/>
      <c r="J7" s="85"/>
      <c r="K7" s="85"/>
      <c r="L7" s="85"/>
      <c r="M7" s="86"/>
      <c r="N7" s="1"/>
    </row>
    <row r="8" spans="1:16" x14ac:dyDescent="0.2">
      <c r="A8" s="84"/>
      <c r="B8" s="85"/>
      <c r="C8" s="85"/>
      <c r="D8" s="85"/>
      <c r="E8" s="93" t="s">
        <v>111</v>
      </c>
      <c r="F8" s="94"/>
      <c r="G8" s="85"/>
      <c r="H8" s="94"/>
      <c r="I8" s="85"/>
      <c r="J8" s="95"/>
      <c r="K8" s="92"/>
      <c r="L8" s="95"/>
      <c r="M8" s="86"/>
      <c r="N8" s="1"/>
      <c r="O8" s="96" t="b">
        <f>IF(AND(F8&lt;&gt;"",F9&lt;&gt;"",F10&lt;&gt;""),TRUE,FALSE)</f>
        <v>0</v>
      </c>
      <c r="P8" s="97" t="b">
        <f>IF(AND(H8&lt;&gt;"",H9&lt;&gt;"",H10&lt;&gt;""),TRUE,FALSE)</f>
        <v>0</v>
      </c>
    </row>
    <row r="9" spans="1:16" x14ac:dyDescent="0.2">
      <c r="A9" s="98"/>
      <c r="B9" s="99"/>
      <c r="C9" s="99"/>
      <c r="D9" s="99"/>
      <c r="E9" s="100" t="s">
        <v>112</v>
      </c>
      <c r="F9" s="101"/>
      <c r="G9" s="99"/>
      <c r="H9" s="101"/>
      <c r="I9" s="99"/>
      <c r="J9" s="102" t="str">
        <f>IF(AND(F9&gt;0,H9&gt;0),IF(F9=H9,"Average","Extrapolated Average"),"Average")</f>
        <v>Average</v>
      </c>
      <c r="K9" s="103"/>
      <c r="L9" s="95" t="s">
        <v>113</v>
      </c>
      <c r="M9" s="104"/>
      <c r="N9" s="1"/>
    </row>
    <row r="10" spans="1:16" x14ac:dyDescent="0.2">
      <c r="A10" s="84"/>
      <c r="B10" s="105" t="s">
        <v>114</v>
      </c>
      <c r="C10" s="85"/>
      <c r="D10" s="85"/>
      <c r="E10" s="85"/>
      <c r="F10" s="346"/>
      <c r="G10" s="85"/>
      <c r="H10" s="346"/>
      <c r="I10" s="85"/>
      <c r="J10" s="350">
        <f>IF(AND($O$8,$P$8),(F10/$F$9+H10/$H$9)/2*12,IF($O$8,F10,IF($P$8,H10,0)))</f>
        <v>0</v>
      </c>
      <c r="K10" s="106"/>
      <c r="L10" s="107"/>
      <c r="M10" s="86"/>
      <c r="N10" s="1"/>
      <c r="O10" s="29"/>
    </row>
    <row r="11" spans="1:16" x14ac:dyDescent="0.2">
      <c r="A11" s="84"/>
      <c r="B11" s="85"/>
      <c r="C11" s="85"/>
      <c r="D11" s="85"/>
      <c r="E11" s="85"/>
      <c r="F11" s="85"/>
      <c r="G11" s="85"/>
      <c r="H11" s="85"/>
      <c r="I11" s="85"/>
      <c r="J11" s="85"/>
      <c r="K11" s="85"/>
      <c r="L11" s="85"/>
      <c r="M11" s="86"/>
      <c r="N11" s="1"/>
    </row>
    <row r="12" spans="1:16" x14ac:dyDescent="0.2">
      <c r="A12" s="84"/>
      <c r="B12" s="105" t="s">
        <v>115</v>
      </c>
      <c r="C12" s="85"/>
      <c r="D12" s="85"/>
      <c r="E12" s="85"/>
      <c r="F12" s="85"/>
      <c r="G12" s="85"/>
      <c r="H12" s="85"/>
      <c r="I12" s="85"/>
      <c r="J12" s="85"/>
      <c r="K12" s="85"/>
      <c r="L12" s="85"/>
      <c r="M12" s="86"/>
      <c r="N12" s="1"/>
    </row>
    <row r="13" spans="1:16" x14ac:dyDescent="0.2">
      <c r="A13" s="84"/>
      <c r="B13" s="85"/>
      <c r="C13" s="85" t="s">
        <v>116</v>
      </c>
      <c r="D13" s="85"/>
      <c r="E13" s="85"/>
      <c r="F13" s="347"/>
      <c r="G13" s="108"/>
      <c r="H13" s="347"/>
      <c r="I13" s="85"/>
      <c r="J13" s="109">
        <f t="shared" ref="J13:J19" si="0">IF(AND($O$8,$P$8),(F13/$F$9+H13/$H$9)/2*12,IF($O$8,F13,IF($P$8,H13,0)))</f>
        <v>0</v>
      </c>
      <c r="K13" s="110"/>
      <c r="L13" s="107"/>
      <c r="M13" s="86"/>
      <c r="N13" s="1"/>
    </row>
    <row r="14" spans="1:16" x14ac:dyDescent="0.2">
      <c r="A14" s="84"/>
      <c r="B14" s="85"/>
      <c r="C14" s="85" t="s">
        <v>117</v>
      </c>
      <c r="D14" s="85"/>
      <c r="E14" s="85"/>
      <c r="F14" s="347"/>
      <c r="G14" s="108"/>
      <c r="H14" s="347"/>
      <c r="I14" s="85"/>
      <c r="J14" s="109">
        <f t="shared" si="0"/>
        <v>0</v>
      </c>
      <c r="K14" s="110"/>
      <c r="L14" s="107"/>
      <c r="M14" s="86"/>
      <c r="N14" s="1"/>
    </row>
    <row r="15" spans="1:16" x14ac:dyDescent="0.2">
      <c r="A15" s="84"/>
      <c r="B15" s="85"/>
      <c r="C15" s="85" t="s">
        <v>118</v>
      </c>
      <c r="D15" s="85"/>
      <c r="E15" s="85"/>
      <c r="F15" s="347"/>
      <c r="G15" s="108"/>
      <c r="H15" s="347"/>
      <c r="I15" s="85"/>
      <c r="J15" s="109">
        <f t="shared" si="0"/>
        <v>0</v>
      </c>
      <c r="K15" s="110"/>
      <c r="L15" s="107"/>
      <c r="M15" s="86"/>
      <c r="N15" s="1"/>
    </row>
    <row r="16" spans="1:16" x14ac:dyDescent="0.2">
      <c r="A16" s="84"/>
      <c r="B16" s="85"/>
      <c r="C16" s="85" t="s">
        <v>119</v>
      </c>
      <c r="D16" s="85"/>
      <c r="E16" s="85"/>
      <c r="F16" s="347"/>
      <c r="G16" s="108"/>
      <c r="H16" s="347"/>
      <c r="I16" s="85"/>
      <c r="J16" s="109">
        <f t="shared" si="0"/>
        <v>0</v>
      </c>
      <c r="K16" s="110"/>
      <c r="L16" s="107"/>
      <c r="M16" s="86"/>
      <c r="N16" s="1"/>
    </row>
    <row r="17" spans="1:16" x14ac:dyDescent="0.2">
      <c r="A17" s="84"/>
      <c r="B17" s="85"/>
      <c r="C17" s="85" t="s">
        <v>120</v>
      </c>
      <c r="D17" s="85"/>
      <c r="E17" s="85"/>
      <c r="F17" s="347"/>
      <c r="G17" s="108"/>
      <c r="H17" s="347"/>
      <c r="I17" s="85"/>
      <c r="J17" s="109">
        <f t="shared" si="0"/>
        <v>0</v>
      </c>
      <c r="K17" s="110"/>
      <c r="L17" s="107"/>
      <c r="M17" s="86"/>
      <c r="N17" s="1"/>
    </row>
    <row r="18" spans="1:16" x14ac:dyDescent="0.2">
      <c r="A18" s="84"/>
      <c r="B18" s="85"/>
      <c r="C18" s="85" t="s">
        <v>121</v>
      </c>
      <c r="D18" s="1"/>
      <c r="E18" s="85"/>
      <c r="F18" s="348"/>
      <c r="G18" s="108"/>
      <c r="H18" s="348"/>
      <c r="I18" s="85"/>
      <c r="J18" s="109">
        <f t="shared" si="0"/>
        <v>0</v>
      </c>
      <c r="K18" s="110"/>
      <c r="L18" s="107"/>
      <c r="M18" s="86"/>
      <c r="N18" s="1"/>
    </row>
    <row r="19" spans="1:16" x14ac:dyDescent="0.2">
      <c r="A19" s="84"/>
      <c r="B19" s="85"/>
      <c r="C19" s="105" t="s">
        <v>122</v>
      </c>
      <c r="D19" s="111"/>
      <c r="E19" s="85"/>
      <c r="F19" s="349">
        <f>SUM(F13:F18)</f>
        <v>0</v>
      </c>
      <c r="G19" s="85"/>
      <c r="H19" s="349">
        <f>SUM(H13:H18)</f>
        <v>0</v>
      </c>
      <c r="I19" s="85"/>
      <c r="J19" s="112">
        <f t="shared" si="0"/>
        <v>0</v>
      </c>
      <c r="K19" s="113"/>
      <c r="L19" s="107"/>
      <c r="M19" s="86"/>
      <c r="N19" s="1"/>
    </row>
    <row r="20" spans="1:16" ht="13.5" thickBot="1" x14ac:dyDescent="0.25">
      <c r="A20" s="84"/>
      <c r="B20" s="85"/>
      <c r="C20" s="85"/>
      <c r="D20" s="85"/>
      <c r="E20" s="85"/>
      <c r="F20" s="85"/>
      <c r="G20" s="85"/>
      <c r="H20" s="85"/>
      <c r="I20" s="85"/>
      <c r="J20" s="85"/>
      <c r="K20" s="85"/>
      <c r="L20" s="85"/>
      <c r="M20" s="86"/>
      <c r="N20" s="1"/>
    </row>
    <row r="21" spans="1:16" ht="13.5" thickBot="1" x14ac:dyDescent="0.25">
      <c r="A21" s="84"/>
      <c r="B21" s="105" t="s">
        <v>123</v>
      </c>
      <c r="C21" s="85"/>
      <c r="D21" s="85"/>
      <c r="E21" s="85"/>
      <c r="F21" s="114">
        <f>IF(O8,F19+F10,0)</f>
        <v>0</v>
      </c>
      <c r="G21" s="85"/>
      <c r="H21" s="114">
        <f>IF(P8,H10+H19,0)</f>
        <v>0</v>
      </c>
      <c r="I21" s="85"/>
      <c r="J21" s="114">
        <f>IF(AND($O$8,$P$8),(F21/$F$9+H21/$H$9)/2*12,IF($O$8,F21,IF($P$8,H21,0)))</f>
        <v>0</v>
      </c>
      <c r="K21" s="106"/>
      <c r="L21" s="107"/>
      <c r="M21" s="86"/>
      <c r="N21" s="1"/>
    </row>
    <row r="22" spans="1:16" ht="13.5" thickBot="1" x14ac:dyDescent="0.25">
      <c r="A22" s="84"/>
      <c r="B22" s="105" t="s">
        <v>124</v>
      </c>
      <c r="C22" s="85"/>
      <c r="D22" s="85"/>
      <c r="E22" s="85"/>
      <c r="F22" s="114">
        <f>IF(O8,F21/F9,0)</f>
        <v>0</v>
      </c>
      <c r="G22" s="85"/>
      <c r="H22" s="114">
        <f>IF(P8,H21/H9,0)</f>
        <v>0</v>
      </c>
      <c r="I22" s="85"/>
      <c r="J22" s="114">
        <f>IF(AND($O$8,$P$8),(F22+H22)/2,IF($O$8,F22,IF($P$8,H22,0)))</f>
        <v>0</v>
      </c>
      <c r="K22" s="106"/>
      <c r="L22" s="107"/>
      <c r="M22" s="86"/>
      <c r="N22" s="1"/>
    </row>
    <row r="23" spans="1:16" ht="13.5" thickBot="1" x14ac:dyDescent="0.25">
      <c r="A23" s="84"/>
      <c r="B23" s="105" t="s">
        <v>125</v>
      </c>
      <c r="C23" s="85"/>
      <c r="D23" s="85"/>
      <c r="E23" s="85"/>
      <c r="F23" s="114">
        <f>IF(O8,F22*12,0)</f>
        <v>0</v>
      </c>
      <c r="G23" s="85"/>
      <c r="H23" s="114">
        <f>IF(P8,H22*12,0)</f>
        <v>0</v>
      </c>
      <c r="I23" s="85"/>
      <c r="J23" s="114">
        <f>IF(AND($O$8,$P$8),(F23+H23)/2,IF($O$8,F23,IF($P$8,H23,0)))</f>
        <v>0</v>
      </c>
      <c r="K23" s="106"/>
      <c r="L23" s="107"/>
      <c r="M23" s="86"/>
      <c r="N23" s="1"/>
    </row>
    <row r="24" spans="1:16" x14ac:dyDescent="0.2">
      <c r="A24" s="84"/>
      <c r="B24" s="105"/>
      <c r="C24" s="85"/>
      <c r="D24" s="85"/>
      <c r="E24" s="85"/>
      <c r="F24" s="106"/>
      <c r="G24" s="85"/>
      <c r="H24" s="106"/>
      <c r="I24" s="85"/>
      <c r="J24" s="106"/>
      <c r="K24" s="106"/>
      <c r="L24" s="115"/>
      <c r="M24" s="86"/>
      <c r="N24" s="1"/>
    </row>
    <row r="25" spans="1:16" s="74" customFormat="1" ht="24" customHeight="1" x14ac:dyDescent="0.2">
      <c r="A25" s="87"/>
      <c r="B25" s="36" t="s">
        <v>126</v>
      </c>
      <c r="C25" s="63"/>
      <c r="D25" s="63"/>
      <c r="E25" s="63"/>
      <c r="F25" s="63"/>
      <c r="G25" s="63"/>
      <c r="H25" s="63"/>
      <c r="I25" s="63"/>
      <c r="J25" s="63"/>
      <c r="K25" s="63"/>
      <c r="L25" s="66"/>
      <c r="M25" s="72"/>
      <c r="N25" s="73"/>
      <c r="O25" s="73"/>
    </row>
    <row r="26" spans="1:16" x14ac:dyDescent="0.2">
      <c r="A26" s="84"/>
      <c r="B26" s="85"/>
      <c r="C26" s="85"/>
      <c r="D26" s="85"/>
      <c r="E26" s="85"/>
      <c r="F26" s="85"/>
      <c r="G26" s="85"/>
      <c r="H26" s="85"/>
      <c r="I26" s="85"/>
      <c r="J26" s="85"/>
      <c r="K26" s="85"/>
      <c r="L26" s="85"/>
      <c r="M26" s="86"/>
      <c r="N26" s="1"/>
    </row>
    <row r="27" spans="1:16" x14ac:dyDescent="0.2">
      <c r="A27" s="84"/>
      <c r="B27" s="85"/>
      <c r="C27" s="85"/>
      <c r="D27" s="85"/>
      <c r="E27" s="85"/>
      <c r="F27" s="92" t="s">
        <v>109</v>
      </c>
      <c r="G27" s="85"/>
      <c r="H27" s="92" t="s">
        <v>110</v>
      </c>
      <c r="I27" s="85"/>
      <c r="J27" s="85"/>
      <c r="K27" s="85"/>
      <c r="L27" s="85"/>
      <c r="M27" s="86"/>
      <c r="N27" s="1"/>
    </row>
    <row r="28" spans="1:16" x14ac:dyDescent="0.2">
      <c r="A28" s="84"/>
      <c r="B28" s="85"/>
      <c r="C28" s="85"/>
      <c r="D28" s="85"/>
      <c r="E28" s="93" t="s">
        <v>111</v>
      </c>
      <c r="F28" s="94"/>
      <c r="G28" s="85"/>
      <c r="H28" s="94"/>
      <c r="I28" s="85"/>
      <c r="J28" s="95"/>
      <c r="K28" s="92"/>
      <c r="L28" s="95"/>
      <c r="M28" s="86"/>
      <c r="N28" s="1"/>
      <c r="O28" s="96" t="b">
        <f>IF(AND(F28&lt;&gt;"",F29&lt;&gt;"",F30&lt;&gt;""),TRUE,FALSE)</f>
        <v>0</v>
      </c>
      <c r="P28" s="97" t="b">
        <f>IF(AND(H28&lt;&gt;"",H29&lt;&gt;"",H30&lt;&gt;""),TRUE,FALSE)</f>
        <v>0</v>
      </c>
    </row>
    <row r="29" spans="1:16" x14ac:dyDescent="0.2">
      <c r="A29" s="98"/>
      <c r="B29" s="99"/>
      <c r="C29" s="99"/>
      <c r="D29" s="99"/>
      <c r="E29" s="100" t="s">
        <v>112</v>
      </c>
      <c r="F29" s="101"/>
      <c r="G29" s="99"/>
      <c r="H29" s="101"/>
      <c r="I29" s="99"/>
      <c r="J29" s="102" t="str">
        <f>IF(AND(F29&gt;0,H29&gt;0),IF(F29=H29,"Average","Extrapolated Average"),"Average")</f>
        <v>Average</v>
      </c>
      <c r="K29" s="103"/>
      <c r="L29" s="95" t="s">
        <v>113</v>
      </c>
      <c r="M29" s="104"/>
      <c r="N29" s="1"/>
    </row>
    <row r="30" spans="1:16" x14ac:dyDescent="0.2">
      <c r="A30" s="84"/>
      <c r="B30" s="105" t="s">
        <v>114</v>
      </c>
      <c r="C30" s="85"/>
      <c r="D30" s="85"/>
      <c r="E30" s="85"/>
      <c r="F30" s="346"/>
      <c r="G30" s="85"/>
      <c r="H30" s="346"/>
      <c r="I30" s="85"/>
      <c r="J30" s="350">
        <f>IF(AND($O$28,$P$28),(F30/$F$29+H30/$H$29)/2*12,IF($O$28,F30,IF($P$28,H30,0)))</f>
        <v>0</v>
      </c>
      <c r="K30" s="106"/>
      <c r="L30" s="107"/>
      <c r="M30" s="86"/>
      <c r="N30" s="1"/>
    </row>
    <row r="31" spans="1:16" x14ac:dyDescent="0.2">
      <c r="A31" s="84"/>
      <c r="B31" s="85"/>
      <c r="C31" s="85"/>
      <c r="D31" s="85"/>
      <c r="E31" s="85"/>
      <c r="F31" s="85"/>
      <c r="G31" s="85"/>
      <c r="H31" s="85"/>
      <c r="I31" s="85"/>
      <c r="J31" s="85"/>
      <c r="K31" s="85"/>
      <c r="L31" s="85"/>
      <c r="M31" s="86"/>
      <c r="N31" s="1"/>
    </row>
    <row r="32" spans="1:16" x14ac:dyDescent="0.2">
      <c r="A32" s="84"/>
      <c r="B32" s="105" t="s">
        <v>115</v>
      </c>
      <c r="C32" s="85"/>
      <c r="D32" s="85"/>
      <c r="E32" s="85"/>
      <c r="F32" s="85"/>
      <c r="G32" s="85"/>
      <c r="H32" s="85"/>
      <c r="I32" s="85"/>
      <c r="J32" s="85"/>
      <c r="K32" s="85"/>
      <c r="L32" s="85"/>
      <c r="M32" s="86"/>
      <c r="N32" s="1"/>
    </row>
    <row r="33" spans="1:16" x14ac:dyDescent="0.2">
      <c r="A33" s="84"/>
      <c r="B33" s="85"/>
      <c r="C33" s="85" t="s">
        <v>116</v>
      </c>
      <c r="D33" s="85"/>
      <c r="E33" s="85"/>
      <c r="F33" s="347"/>
      <c r="G33" s="108"/>
      <c r="H33" s="347"/>
      <c r="I33" s="85"/>
      <c r="J33" s="109">
        <f t="shared" ref="J33:J39" si="1">IF(AND($O$28,$P$28),(F33/$F$29+H33/$H$29)/2*12,IF($O$28,F33,IF($P$28,H33,0)))</f>
        <v>0</v>
      </c>
      <c r="K33" s="110"/>
      <c r="L33" s="107"/>
      <c r="M33" s="86"/>
      <c r="N33" s="1"/>
    </row>
    <row r="34" spans="1:16" x14ac:dyDescent="0.2">
      <c r="A34" s="84"/>
      <c r="B34" s="85"/>
      <c r="C34" s="85" t="s">
        <v>117</v>
      </c>
      <c r="D34" s="85"/>
      <c r="E34" s="85"/>
      <c r="F34" s="347"/>
      <c r="G34" s="108"/>
      <c r="H34" s="347"/>
      <c r="I34" s="85"/>
      <c r="J34" s="109">
        <f t="shared" si="1"/>
        <v>0</v>
      </c>
      <c r="K34" s="110"/>
      <c r="L34" s="107"/>
      <c r="M34" s="86"/>
      <c r="N34" s="1"/>
    </row>
    <row r="35" spans="1:16" x14ac:dyDescent="0.2">
      <c r="A35" s="84"/>
      <c r="B35" s="85"/>
      <c r="C35" s="85" t="s">
        <v>118</v>
      </c>
      <c r="D35" s="85"/>
      <c r="E35" s="85"/>
      <c r="F35" s="347"/>
      <c r="G35" s="108"/>
      <c r="H35" s="347"/>
      <c r="I35" s="85"/>
      <c r="J35" s="109">
        <f t="shared" si="1"/>
        <v>0</v>
      </c>
      <c r="K35" s="110"/>
      <c r="L35" s="107"/>
      <c r="M35" s="86"/>
      <c r="N35" s="1"/>
    </row>
    <row r="36" spans="1:16" x14ac:dyDescent="0.2">
      <c r="A36" s="84"/>
      <c r="B36" s="85"/>
      <c r="C36" s="85" t="s">
        <v>119</v>
      </c>
      <c r="D36" s="85"/>
      <c r="E36" s="85"/>
      <c r="F36" s="347"/>
      <c r="G36" s="108"/>
      <c r="H36" s="347"/>
      <c r="I36" s="85"/>
      <c r="J36" s="109">
        <f t="shared" si="1"/>
        <v>0</v>
      </c>
      <c r="K36" s="110"/>
      <c r="L36" s="107"/>
      <c r="M36" s="86"/>
      <c r="N36" s="1"/>
    </row>
    <row r="37" spans="1:16" x14ac:dyDescent="0.2">
      <c r="A37" s="84"/>
      <c r="B37" s="85"/>
      <c r="C37" s="85" t="s">
        <v>120</v>
      </c>
      <c r="D37" s="85"/>
      <c r="E37" s="85"/>
      <c r="F37" s="347"/>
      <c r="G37" s="108"/>
      <c r="H37" s="347"/>
      <c r="I37" s="85"/>
      <c r="J37" s="109">
        <f t="shared" si="1"/>
        <v>0</v>
      </c>
      <c r="K37" s="110"/>
      <c r="L37" s="107"/>
      <c r="M37" s="86"/>
      <c r="N37" s="1"/>
    </row>
    <row r="38" spans="1:16" x14ac:dyDescent="0.2">
      <c r="A38" s="84"/>
      <c r="B38" s="85"/>
      <c r="C38" s="85" t="s">
        <v>121</v>
      </c>
      <c r="D38" s="1"/>
      <c r="E38" s="85"/>
      <c r="F38" s="348"/>
      <c r="G38" s="108"/>
      <c r="H38" s="348"/>
      <c r="I38" s="85"/>
      <c r="J38" s="109">
        <f t="shared" si="1"/>
        <v>0</v>
      </c>
      <c r="K38" s="110"/>
      <c r="L38" s="107"/>
      <c r="M38" s="86"/>
      <c r="N38" s="1"/>
    </row>
    <row r="39" spans="1:16" x14ac:dyDescent="0.2">
      <c r="A39" s="84"/>
      <c r="B39" s="85"/>
      <c r="C39" s="105" t="s">
        <v>122</v>
      </c>
      <c r="D39" s="111"/>
      <c r="E39" s="85"/>
      <c r="F39" s="349">
        <f>SUM(F33:F38)</f>
        <v>0</v>
      </c>
      <c r="G39" s="85"/>
      <c r="H39" s="349">
        <f>SUM(H33:H38)</f>
        <v>0</v>
      </c>
      <c r="I39" s="85"/>
      <c r="J39" s="112">
        <f t="shared" si="1"/>
        <v>0</v>
      </c>
      <c r="K39" s="113"/>
      <c r="L39" s="107"/>
      <c r="M39" s="86"/>
      <c r="N39" s="1"/>
    </row>
    <row r="40" spans="1:16" ht="13.5" thickBot="1" x14ac:dyDescent="0.25">
      <c r="A40" s="84"/>
      <c r="B40" s="85"/>
      <c r="C40" s="85"/>
      <c r="D40" s="85"/>
      <c r="E40" s="85"/>
      <c r="F40" s="85"/>
      <c r="G40" s="85"/>
      <c r="H40" s="85"/>
      <c r="I40" s="85"/>
      <c r="J40" s="85"/>
      <c r="K40" s="85"/>
      <c r="L40" s="85"/>
      <c r="M40" s="86"/>
      <c r="N40" s="1"/>
    </row>
    <row r="41" spans="1:16" ht="13.5" thickBot="1" x14ac:dyDescent="0.25">
      <c r="A41" s="84"/>
      <c r="B41" s="105" t="s">
        <v>123</v>
      </c>
      <c r="C41" s="85"/>
      <c r="D41" s="85"/>
      <c r="E41" s="85"/>
      <c r="F41" s="114">
        <f>IF(O28,F30+F39,0)</f>
        <v>0</v>
      </c>
      <c r="G41" s="85"/>
      <c r="H41" s="114">
        <f>IF(P28,H30+H39,0)</f>
        <v>0</v>
      </c>
      <c r="I41" s="85"/>
      <c r="J41" s="114">
        <f>IF(AND($O$28,$P$28),(F41/$F$29+H41/$H$29)/2*12,IF($O$28,F41,IF($P$28,H41,0)))</f>
        <v>0</v>
      </c>
      <c r="K41" s="106"/>
      <c r="L41" s="107"/>
      <c r="M41" s="86"/>
      <c r="N41" s="1"/>
    </row>
    <row r="42" spans="1:16" ht="13.5" thickBot="1" x14ac:dyDescent="0.25">
      <c r="A42" s="84"/>
      <c r="B42" s="105" t="s">
        <v>124</v>
      </c>
      <c r="C42" s="85"/>
      <c r="D42" s="85"/>
      <c r="E42" s="85"/>
      <c r="F42" s="114">
        <f>IF(O28,F41/F29,0)</f>
        <v>0</v>
      </c>
      <c r="G42" s="85"/>
      <c r="H42" s="114">
        <f>IF(P28,H41/H29,0)</f>
        <v>0</v>
      </c>
      <c r="I42" s="85"/>
      <c r="J42" s="114">
        <f>IF(AND($O$28,$P$28),(F42+H42)/2,IF($O$28,F42,IF($P$28,H42,0)))</f>
        <v>0</v>
      </c>
      <c r="K42" s="106"/>
      <c r="L42" s="107"/>
      <c r="M42" s="86"/>
      <c r="N42" s="1"/>
    </row>
    <row r="43" spans="1:16" ht="13.5" thickBot="1" x14ac:dyDescent="0.25">
      <c r="A43" s="84"/>
      <c r="B43" s="105" t="s">
        <v>125</v>
      </c>
      <c r="C43" s="85"/>
      <c r="D43" s="85"/>
      <c r="E43" s="85"/>
      <c r="F43" s="114">
        <f>IF(O28,F42*12,0)</f>
        <v>0</v>
      </c>
      <c r="G43" s="85"/>
      <c r="H43" s="114">
        <f>IF(P28,H42*12,0)</f>
        <v>0</v>
      </c>
      <c r="I43" s="85"/>
      <c r="J43" s="114">
        <f>IF(AND($O$28,$P$28),(F43+H43)/2,IF($O$28,F43,IF($P$28,H43,0)))</f>
        <v>0</v>
      </c>
      <c r="K43" s="106"/>
      <c r="L43" s="107"/>
      <c r="M43" s="86"/>
      <c r="N43" s="1"/>
    </row>
    <row r="44" spans="1:16" x14ac:dyDescent="0.2">
      <c r="A44" s="84"/>
      <c r="B44" s="85"/>
      <c r="C44" s="85"/>
      <c r="D44" s="85"/>
      <c r="E44" s="85"/>
      <c r="F44" s="85"/>
      <c r="G44" s="85"/>
      <c r="H44" s="85"/>
      <c r="I44" s="85"/>
      <c r="J44" s="85"/>
      <c r="K44" s="85"/>
      <c r="L44" s="85"/>
      <c r="M44" s="86"/>
      <c r="N44" s="1"/>
    </row>
    <row r="45" spans="1:16" s="74" customFormat="1" ht="24" customHeight="1" x14ac:dyDescent="0.2">
      <c r="A45" s="87"/>
      <c r="B45" s="36" t="s">
        <v>127</v>
      </c>
      <c r="C45" s="63"/>
      <c r="D45" s="63"/>
      <c r="E45" s="63"/>
      <c r="F45" s="63"/>
      <c r="G45" s="63"/>
      <c r="H45" s="63"/>
      <c r="I45" s="63"/>
      <c r="J45" s="63"/>
      <c r="K45" s="63"/>
      <c r="L45" s="66"/>
      <c r="M45" s="72"/>
      <c r="N45" s="73"/>
      <c r="O45" s="73"/>
    </row>
    <row r="46" spans="1:16" x14ac:dyDescent="0.2">
      <c r="A46" s="84"/>
      <c r="B46" s="85"/>
      <c r="C46" s="85"/>
      <c r="D46" s="85"/>
      <c r="E46" s="85"/>
      <c r="F46" s="85"/>
      <c r="G46" s="85"/>
      <c r="H46" s="85"/>
      <c r="I46" s="85"/>
      <c r="J46" s="85"/>
      <c r="K46" s="85"/>
      <c r="L46" s="85"/>
      <c r="M46" s="86"/>
      <c r="N46" s="1"/>
    </row>
    <row r="47" spans="1:16" x14ac:dyDescent="0.2">
      <c r="A47" s="84"/>
      <c r="B47" s="85"/>
      <c r="C47" s="85"/>
      <c r="D47" s="85"/>
      <c r="E47" s="85"/>
      <c r="F47" s="92" t="s">
        <v>109</v>
      </c>
      <c r="G47" s="85"/>
      <c r="H47" s="92" t="s">
        <v>110</v>
      </c>
      <c r="I47" s="85"/>
      <c r="J47" s="85"/>
      <c r="K47" s="85"/>
      <c r="L47" s="85"/>
      <c r="M47" s="86"/>
      <c r="N47" s="1"/>
    </row>
    <row r="48" spans="1:16" x14ac:dyDescent="0.2">
      <c r="A48" s="84"/>
      <c r="B48" s="85"/>
      <c r="C48" s="85"/>
      <c r="D48" s="85"/>
      <c r="E48" s="93" t="s">
        <v>111</v>
      </c>
      <c r="F48" s="94"/>
      <c r="G48" s="85"/>
      <c r="H48" s="94"/>
      <c r="I48" s="85"/>
      <c r="J48" s="95"/>
      <c r="K48" s="92"/>
      <c r="L48" s="95"/>
      <c r="M48" s="86"/>
      <c r="N48" s="1"/>
      <c r="O48" s="96" t="b">
        <f>IF(AND(F48&lt;&gt;"",F49&lt;&gt;"",F50&lt;&gt;""),TRUE,FALSE)</f>
        <v>0</v>
      </c>
      <c r="P48" s="97" t="b">
        <f>IF(AND(H48&lt;&gt;"",H49&lt;&gt;"",H50&lt;&gt;""),TRUE,FALSE)</f>
        <v>0</v>
      </c>
    </row>
    <row r="49" spans="1:14" x14ac:dyDescent="0.2">
      <c r="A49" s="98"/>
      <c r="B49" s="99"/>
      <c r="C49" s="99"/>
      <c r="D49" s="99"/>
      <c r="E49" s="100" t="s">
        <v>112</v>
      </c>
      <c r="F49" s="101"/>
      <c r="G49" s="99"/>
      <c r="H49" s="101"/>
      <c r="I49" s="99"/>
      <c r="J49" s="102" t="str">
        <f>IF(AND(F49&gt;0,H49&gt;0),IF(F49=H49,"Average","Extrapolated Average"),"Average")</f>
        <v>Average</v>
      </c>
      <c r="K49" s="103"/>
      <c r="L49" s="95" t="s">
        <v>113</v>
      </c>
      <c r="M49" s="104"/>
      <c r="N49" s="1"/>
    </row>
    <row r="50" spans="1:14" x14ac:dyDescent="0.2">
      <c r="A50" s="84"/>
      <c r="B50" s="105" t="s">
        <v>114</v>
      </c>
      <c r="C50" s="85"/>
      <c r="D50" s="85"/>
      <c r="E50" s="85"/>
      <c r="F50" s="346"/>
      <c r="G50" s="85"/>
      <c r="H50" s="346"/>
      <c r="I50" s="85"/>
      <c r="J50" s="350">
        <f>IF(AND($O$48,$P$48),(F50/$F$49+H50/$H$49)/2*12,IF($O$48,F50,IF($P$48,H50,0)))</f>
        <v>0</v>
      </c>
      <c r="K50" s="106"/>
      <c r="L50" s="107"/>
      <c r="M50" s="86"/>
      <c r="N50" s="1"/>
    </row>
    <row r="51" spans="1:14" x14ac:dyDescent="0.2">
      <c r="A51" s="84"/>
      <c r="B51" s="85"/>
      <c r="C51" s="85"/>
      <c r="D51" s="85"/>
      <c r="E51" s="85"/>
      <c r="F51" s="85"/>
      <c r="G51" s="85"/>
      <c r="H51" s="85"/>
      <c r="I51" s="85"/>
      <c r="J51" s="85"/>
      <c r="K51" s="85"/>
      <c r="L51" s="85"/>
      <c r="M51" s="86"/>
      <c r="N51" s="1"/>
    </row>
    <row r="52" spans="1:14" x14ac:dyDescent="0.2">
      <c r="A52" s="84"/>
      <c r="B52" s="105" t="s">
        <v>115</v>
      </c>
      <c r="C52" s="85"/>
      <c r="D52" s="85"/>
      <c r="E52" s="85"/>
      <c r="F52" s="85"/>
      <c r="G52" s="85"/>
      <c r="H52" s="85"/>
      <c r="I52" s="85"/>
      <c r="J52" s="85"/>
      <c r="K52" s="85"/>
      <c r="L52" s="85"/>
      <c r="M52" s="86"/>
      <c r="N52" s="1"/>
    </row>
    <row r="53" spans="1:14" x14ac:dyDescent="0.2">
      <c r="A53" s="84"/>
      <c r="B53" s="85"/>
      <c r="C53" s="85" t="s">
        <v>116</v>
      </c>
      <c r="D53" s="85"/>
      <c r="E53" s="85"/>
      <c r="F53" s="347"/>
      <c r="G53" s="108"/>
      <c r="H53" s="347"/>
      <c r="I53" s="85"/>
      <c r="J53" s="109">
        <f t="shared" ref="J53:J59" si="2">IF(AND($O$48,$P$48),(F53/$F$49+H53/$H$49)/2*12,IF($O$48,F53,IF($P$48,H53,0)))</f>
        <v>0</v>
      </c>
      <c r="K53" s="110"/>
      <c r="L53" s="107"/>
      <c r="M53" s="86"/>
      <c r="N53" s="1"/>
    </row>
    <row r="54" spans="1:14" x14ac:dyDescent="0.2">
      <c r="A54" s="84"/>
      <c r="B54" s="85"/>
      <c r="C54" s="85" t="s">
        <v>117</v>
      </c>
      <c r="D54" s="85"/>
      <c r="E54" s="85"/>
      <c r="F54" s="347"/>
      <c r="G54" s="108"/>
      <c r="H54" s="347"/>
      <c r="I54" s="85"/>
      <c r="J54" s="109">
        <f t="shared" si="2"/>
        <v>0</v>
      </c>
      <c r="K54" s="110"/>
      <c r="L54" s="107"/>
      <c r="M54" s="86"/>
      <c r="N54" s="1"/>
    </row>
    <row r="55" spans="1:14" x14ac:dyDescent="0.2">
      <c r="A55" s="84"/>
      <c r="B55" s="85"/>
      <c r="C55" s="85" t="s">
        <v>118</v>
      </c>
      <c r="D55" s="85"/>
      <c r="E55" s="85"/>
      <c r="F55" s="347"/>
      <c r="G55" s="108"/>
      <c r="H55" s="347"/>
      <c r="I55" s="85"/>
      <c r="J55" s="109">
        <f t="shared" si="2"/>
        <v>0</v>
      </c>
      <c r="K55" s="110"/>
      <c r="L55" s="107"/>
      <c r="M55" s="86"/>
      <c r="N55" s="1"/>
    </row>
    <row r="56" spans="1:14" x14ac:dyDescent="0.2">
      <c r="A56" s="84"/>
      <c r="B56" s="85"/>
      <c r="C56" s="85" t="s">
        <v>119</v>
      </c>
      <c r="D56" s="85"/>
      <c r="E56" s="85"/>
      <c r="F56" s="347"/>
      <c r="G56" s="108"/>
      <c r="H56" s="347"/>
      <c r="I56" s="85"/>
      <c r="J56" s="109">
        <f t="shared" si="2"/>
        <v>0</v>
      </c>
      <c r="K56" s="110"/>
      <c r="L56" s="107"/>
      <c r="M56" s="86"/>
      <c r="N56" s="1"/>
    </row>
    <row r="57" spans="1:14" x14ac:dyDescent="0.2">
      <c r="A57" s="84"/>
      <c r="B57" s="85"/>
      <c r="C57" s="85" t="s">
        <v>120</v>
      </c>
      <c r="D57" s="85"/>
      <c r="E57" s="85"/>
      <c r="F57" s="347"/>
      <c r="G57" s="108"/>
      <c r="H57" s="347"/>
      <c r="I57" s="85"/>
      <c r="J57" s="109">
        <f t="shared" si="2"/>
        <v>0</v>
      </c>
      <c r="K57" s="110"/>
      <c r="L57" s="107"/>
      <c r="M57" s="86"/>
      <c r="N57" s="1"/>
    </row>
    <row r="58" spans="1:14" x14ac:dyDescent="0.2">
      <c r="A58" s="84"/>
      <c r="B58" s="85"/>
      <c r="C58" s="85" t="s">
        <v>121</v>
      </c>
      <c r="D58" s="1"/>
      <c r="E58" s="85"/>
      <c r="F58" s="348"/>
      <c r="G58" s="108"/>
      <c r="H58" s="348"/>
      <c r="I58" s="85"/>
      <c r="J58" s="109">
        <f t="shared" si="2"/>
        <v>0</v>
      </c>
      <c r="K58" s="110"/>
      <c r="L58" s="107"/>
      <c r="M58" s="86"/>
      <c r="N58" s="1"/>
    </row>
    <row r="59" spans="1:14" x14ac:dyDescent="0.2">
      <c r="A59" s="84"/>
      <c r="B59" s="85"/>
      <c r="C59" s="105" t="s">
        <v>122</v>
      </c>
      <c r="D59" s="111"/>
      <c r="E59" s="85"/>
      <c r="F59" s="349">
        <f>SUM(F53:F58)</f>
        <v>0</v>
      </c>
      <c r="G59" s="85"/>
      <c r="H59" s="349">
        <f>SUM(H53:H58)</f>
        <v>0</v>
      </c>
      <c r="I59" s="85"/>
      <c r="J59" s="112">
        <f t="shared" si="2"/>
        <v>0</v>
      </c>
      <c r="K59" s="113"/>
      <c r="L59" s="107"/>
      <c r="M59" s="86"/>
      <c r="N59" s="1"/>
    </row>
    <row r="60" spans="1:14" ht="13.5" thickBot="1" x14ac:dyDescent="0.25">
      <c r="A60" s="84"/>
      <c r="B60" s="85"/>
      <c r="C60" s="85"/>
      <c r="D60" s="85"/>
      <c r="E60" s="85"/>
      <c r="F60" s="85"/>
      <c r="G60" s="85"/>
      <c r="H60" s="85"/>
      <c r="I60" s="85"/>
      <c r="J60" s="85"/>
      <c r="K60" s="85"/>
      <c r="L60" s="85"/>
      <c r="M60" s="86"/>
      <c r="N60" s="1"/>
    </row>
    <row r="61" spans="1:14" ht="13.5" thickBot="1" x14ac:dyDescent="0.25">
      <c r="A61" s="84"/>
      <c r="B61" s="105" t="s">
        <v>123</v>
      </c>
      <c r="C61" s="85"/>
      <c r="D61" s="85"/>
      <c r="E61" s="85"/>
      <c r="F61" s="114">
        <f>IF(O48,F50+F59,0)</f>
        <v>0</v>
      </c>
      <c r="G61" s="85"/>
      <c r="H61" s="114">
        <f>IF(P48,H50+H59,0)</f>
        <v>0</v>
      </c>
      <c r="I61" s="85"/>
      <c r="J61" s="114">
        <f>IF(AND($O$48,$P$48),(F61/$F$49+H61/$H$49)/2*12,IF($O$48,F61,IF($P$48,H61,0)))</f>
        <v>0</v>
      </c>
      <c r="K61" s="106"/>
      <c r="L61" s="107"/>
      <c r="M61" s="86"/>
      <c r="N61" s="1"/>
    </row>
    <row r="62" spans="1:14" ht="13.5" thickBot="1" x14ac:dyDescent="0.25">
      <c r="A62" s="84"/>
      <c r="B62" s="105" t="s">
        <v>124</v>
      </c>
      <c r="C62" s="85"/>
      <c r="D62" s="85"/>
      <c r="E62" s="85"/>
      <c r="F62" s="114">
        <f>IF(O48,F61/F49,0)</f>
        <v>0</v>
      </c>
      <c r="G62" s="85"/>
      <c r="H62" s="114">
        <f>IF(P48,H61/H49,0)</f>
        <v>0</v>
      </c>
      <c r="I62" s="85"/>
      <c r="J62" s="114">
        <f>IF(AND($O$48,$P$48),(F62/$F$49+H62/$H$49)/2*12,IF($O$48,F62,IF($P$48,H62,0)))</f>
        <v>0</v>
      </c>
      <c r="K62" s="106"/>
      <c r="L62" s="107"/>
      <c r="M62" s="86"/>
      <c r="N62" s="1"/>
    </row>
    <row r="63" spans="1:14" ht="13.5" thickBot="1" x14ac:dyDescent="0.25">
      <c r="A63" s="84"/>
      <c r="B63" s="105" t="s">
        <v>125</v>
      </c>
      <c r="C63" s="85"/>
      <c r="D63" s="85"/>
      <c r="E63" s="85"/>
      <c r="F63" s="114">
        <f>IF(O48,F62*12,0)</f>
        <v>0</v>
      </c>
      <c r="G63" s="85"/>
      <c r="H63" s="114">
        <f>IF(P48,H62*12,0)</f>
        <v>0</v>
      </c>
      <c r="I63" s="85"/>
      <c r="J63" s="114">
        <f>IF(AND($O$48,$P$48),(F63/$F$49+H63/$H$49)/2*12,IF($O$48,F63,IF($P$48,H63,0)))</f>
        <v>0</v>
      </c>
      <c r="K63" s="106"/>
      <c r="L63" s="107"/>
      <c r="M63" s="86"/>
      <c r="N63" s="1"/>
    </row>
    <row r="64" spans="1:14" x14ac:dyDescent="0.2">
      <c r="A64" s="116"/>
      <c r="B64" s="108"/>
      <c r="C64" s="108"/>
      <c r="D64" s="108"/>
      <c r="E64" s="108"/>
      <c r="F64" s="108"/>
      <c r="G64" s="108"/>
      <c r="H64" s="108"/>
      <c r="I64" s="108"/>
      <c r="J64" s="108"/>
      <c r="K64" s="108"/>
      <c r="L64" s="108"/>
      <c r="M64" s="117"/>
      <c r="N64" s="1"/>
    </row>
    <row r="65" spans="1:16" s="74" customFormat="1" ht="24" customHeight="1" x14ac:dyDescent="0.2">
      <c r="A65" s="118"/>
      <c r="B65" s="36" t="s">
        <v>128</v>
      </c>
      <c r="C65" s="63"/>
      <c r="D65" s="63"/>
      <c r="E65" s="63"/>
      <c r="F65" s="63"/>
      <c r="G65" s="63"/>
      <c r="H65" s="63"/>
      <c r="I65" s="63"/>
      <c r="J65" s="63"/>
      <c r="K65" s="63"/>
      <c r="L65" s="66"/>
      <c r="M65" s="72"/>
      <c r="N65" s="73"/>
      <c r="O65" s="73"/>
    </row>
    <row r="66" spans="1:16" x14ac:dyDescent="0.2">
      <c r="A66" s="84"/>
      <c r="B66" s="85"/>
      <c r="C66" s="85"/>
      <c r="D66" s="85"/>
      <c r="E66" s="85"/>
      <c r="F66" s="85"/>
      <c r="G66" s="85"/>
      <c r="H66" s="85"/>
      <c r="I66" s="85"/>
      <c r="J66" s="85"/>
      <c r="K66" s="85"/>
      <c r="L66" s="85"/>
      <c r="M66" s="86"/>
      <c r="N66" s="1"/>
    </row>
    <row r="67" spans="1:16" x14ac:dyDescent="0.2">
      <c r="A67" s="84"/>
      <c r="B67" s="85"/>
      <c r="C67" s="85"/>
      <c r="D67" s="85"/>
      <c r="E67" s="85"/>
      <c r="F67" s="92" t="s">
        <v>109</v>
      </c>
      <c r="G67" s="85"/>
      <c r="H67" s="92" t="s">
        <v>110</v>
      </c>
      <c r="I67" s="85"/>
      <c r="J67" s="85"/>
      <c r="K67" s="85"/>
      <c r="L67" s="85"/>
      <c r="M67" s="86"/>
      <c r="N67" s="1"/>
    </row>
    <row r="68" spans="1:16" x14ac:dyDescent="0.2">
      <c r="A68" s="84"/>
      <c r="B68" s="85"/>
      <c r="C68" s="85"/>
      <c r="D68" s="85"/>
      <c r="E68" s="93" t="s">
        <v>111</v>
      </c>
      <c r="F68" s="94"/>
      <c r="G68" s="85"/>
      <c r="H68" s="94"/>
      <c r="I68" s="85"/>
      <c r="J68" s="95"/>
      <c r="K68" s="92"/>
      <c r="L68" s="95"/>
      <c r="M68" s="86"/>
      <c r="N68" s="1"/>
      <c r="O68" s="96" t="b">
        <f>IF(AND(F68&lt;&gt;"",F69&lt;&gt;"",F70&lt;&gt;""),TRUE,FALSE)</f>
        <v>0</v>
      </c>
      <c r="P68" s="97" t="b">
        <f>IF(AND(H68&lt;&gt;"",H69&lt;&gt;"",H70&lt;&gt;""),TRUE,FALSE)</f>
        <v>0</v>
      </c>
    </row>
    <row r="69" spans="1:16" x14ac:dyDescent="0.2">
      <c r="A69" s="98"/>
      <c r="B69" s="99"/>
      <c r="C69" s="99"/>
      <c r="D69" s="99"/>
      <c r="E69" s="100" t="s">
        <v>112</v>
      </c>
      <c r="F69" s="101"/>
      <c r="G69" s="99"/>
      <c r="H69" s="101"/>
      <c r="I69" s="99"/>
      <c r="J69" s="102" t="str">
        <f>IF(AND(F69&gt;0,H69&gt;0),IF(F69=H69,"Average","Extrapolated Average"),"Average")</f>
        <v>Average</v>
      </c>
      <c r="K69" s="103"/>
      <c r="L69" s="95" t="s">
        <v>113</v>
      </c>
      <c r="M69" s="104"/>
      <c r="N69" s="1"/>
    </row>
    <row r="70" spans="1:16" x14ac:dyDescent="0.2">
      <c r="A70" s="84"/>
      <c r="B70" s="105" t="s">
        <v>114</v>
      </c>
      <c r="C70" s="85"/>
      <c r="D70" s="85"/>
      <c r="E70" s="85"/>
      <c r="F70" s="346"/>
      <c r="G70" s="85"/>
      <c r="H70" s="346"/>
      <c r="I70" s="85"/>
      <c r="J70" s="350">
        <f>IF(AND($O$68,$P$68),(F70/$F$69+H70/$H$69)/2*12,IF($O$68,F70,IF($P$68,H70,0)))</f>
        <v>0</v>
      </c>
      <c r="K70" s="106"/>
      <c r="L70" s="107"/>
      <c r="M70" s="86"/>
      <c r="N70" s="1"/>
    </row>
    <row r="71" spans="1:16" x14ac:dyDescent="0.2">
      <c r="A71" s="84"/>
      <c r="B71" s="85"/>
      <c r="C71" s="85"/>
      <c r="D71" s="85"/>
      <c r="E71" s="85"/>
      <c r="F71" s="85"/>
      <c r="G71" s="85"/>
      <c r="H71" s="85"/>
      <c r="I71" s="85"/>
      <c r="J71" s="85"/>
      <c r="K71" s="85"/>
      <c r="L71" s="85"/>
      <c r="M71" s="86"/>
      <c r="N71" s="1"/>
    </row>
    <row r="72" spans="1:16" x14ac:dyDescent="0.2">
      <c r="A72" s="84"/>
      <c r="B72" s="105" t="s">
        <v>115</v>
      </c>
      <c r="C72" s="85"/>
      <c r="D72" s="85"/>
      <c r="E72" s="85"/>
      <c r="F72" s="85"/>
      <c r="G72" s="85"/>
      <c r="H72" s="85"/>
      <c r="I72" s="85"/>
      <c r="J72" s="85"/>
      <c r="K72" s="85"/>
      <c r="L72" s="85"/>
      <c r="M72" s="86"/>
      <c r="N72" s="1"/>
    </row>
    <row r="73" spans="1:16" x14ac:dyDescent="0.2">
      <c r="A73" s="84"/>
      <c r="B73" s="85"/>
      <c r="C73" s="85" t="s">
        <v>116</v>
      </c>
      <c r="D73" s="85"/>
      <c r="E73" s="85"/>
      <c r="F73" s="347"/>
      <c r="G73" s="108"/>
      <c r="H73" s="347"/>
      <c r="I73" s="85"/>
      <c r="J73" s="109">
        <f>IF(AND($O$68,$P$68),(F73/$F$69+H73/$H$69)/2*12,IF($O$68,F73,IF($P$68,H73,0)))</f>
        <v>0</v>
      </c>
      <c r="K73" s="110"/>
      <c r="L73" s="107"/>
      <c r="M73" s="86"/>
      <c r="N73" s="1"/>
    </row>
    <row r="74" spans="1:16" x14ac:dyDescent="0.2">
      <c r="A74" s="84"/>
      <c r="B74" s="85"/>
      <c r="C74" s="85" t="s">
        <v>117</v>
      </c>
      <c r="D74" s="85"/>
      <c r="E74" s="85"/>
      <c r="F74" s="347"/>
      <c r="G74" s="108"/>
      <c r="H74" s="347"/>
      <c r="I74" s="85"/>
      <c r="J74" s="109">
        <f t="shared" ref="J74:J83" si="3">IF(AND($O$68,$P$68),(F74/$F$69+H74/$H$69)/2*12,IF($O$68,F74,IF($P$68,H74,0)))</f>
        <v>0</v>
      </c>
      <c r="K74" s="110"/>
      <c r="L74" s="107"/>
      <c r="M74" s="86"/>
      <c r="N74" s="1"/>
    </row>
    <row r="75" spans="1:16" x14ac:dyDescent="0.2">
      <c r="A75" s="84"/>
      <c r="B75" s="85"/>
      <c r="C75" s="85" t="s">
        <v>118</v>
      </c>
      <c r="D75" s="85"/>
      <c r="E75" s="85"/>
      <c r="F75" s="347"/>
      <c r="G75" s="108"/>
      <c r="H75" s="347"/>
      <c r="I75" s="85"/>
      <c r="J75" s="109">
        <f t="shared" si="3"/>
        <v>0</v>
      </c>
      <c r="K75" s="110"/>
      <c r="L75" s="107"/>
      <c r="M75" s="86"/>
      <c r="N75" s="1"/>
    </row>
    <row r="76" spans="1:16" x14ac:dyDescent="0.2">
      <c r="A76" s="84"/>
      <c r="B76" s="85"/>
      <c r="C76" s="85" t="s">
        <v>119</v>
      </c>
      <c r="D76" s="85"/>
      <c r="E76" s="85"/>
      <c r="F76" s="347"/>
      <c r="G76" s="108"/>
      <c r="H76" s="347"/>
      <c r="I76" s="85"/>
      <c r="J76" s="109">
        <f t="shared" si="3"/>
        <v>0</v>
      </c>
      <c r="K76" s="110"/>
      <c r="L76" s="107"/>
      <c r="M76" s="86"/>
      <c r="N76" s="1"/>
    </row>
    <row r="77" spans="1:16" x14ac:dyDescent="0.2">
      <c r="A77" s="84"/>
      <c r="B77" s="85"/>
      <c r="C77" s="85" t="s">
        <v>120</v>
      </c>
      <c r="D77" s="85"/>
      <c r="E77" s="85"/>
      <c r="F77" s="347"/>
      <c r="G77" s="108"/>
      <c r="H77" s="347"/>
      <c r="I77" s="85"/>
      <c r="J77" s="109">
        <f t="shared" si="3"/>
        <v>0</v>
      </c>
      <c r="K77" s="110"/>
      <c r="L77" s="107"/>
      <c r="M77" s="86"/>
      <c r="N77" s="1"/>
    </row>
    <row r="78" spans="1:16" x14ac:dyDescent="0.2">
      <c r="A78" s="84"/>
      <c r="B78" s="85"/>
      <c r="C78" s="85" t="s">
        <v>121</v>
      </c>
      <c r="D78" s="1"/>
      <c r="E78" s="85"/>
      <c r="F78" s="348"/>
      <c r="G78" s="108"/>
      <c r="H78" s="348"/>
      <c r="I78" s="85"/>
      <c r="J78" s="109">
        <f t="shared" si="3"/>
        <v>0</v>
      </c>
      <c r="K78" s="110"/>
      <c r="L78" s="107"/>
      <c r="M78" s="86"/>
      <c r="N78" s="1"/>
    </row>
    <row r="79" spans="1:16" x14ac:dyDescent="0.2">
      <c r="A79" s="84"/>
      <c r="B79" s="85"/>
      <c r="C79" s="105" t="s">
        <v>122</v>
      </c>
      <c r="D79" s="111"/>
      <c r="E79" s="85"/>
      <c r="F79" s="349">
        <f>SUM(F73:F78)</f>
        <v>0</v>
      </c>
      <c r="G79" s="85"/>
      <c r="H79" s="349">
        <f>SUM(H73:H78)</f>
        <v>0</v>
      </c>
      <c r="I79" s="85"/>
      <c r="J79" s="112">
        <f t="shared" si="3"/>
        <v>0</v>
      </c>
      <c r="K79" s="113"/>
      <c r="L79" s="107"/>
      <c r="M79" s="86"/>
      <c r="N79" s="1"/>
    </row>
    <row r="80" spans="1:16" ht="13.5" thickBot="1" x14ac:dyDescent="0.25">
      <c r="A80" s="84"/>
      <c r="B80" s="85"/>
      <c r="C80" s="85"/>
      <c r="D80" s="85"/>
      <c r="E80" s="85"/>
      <c r="F80" s="85"/>
      <c r="G80" s="85"/>
      <c r="H80" s="85"/>
      <c r="I80" s="85"/>
      <c r="J80" s="85"/>
      <c r="K80" s="85"/>
      <c r="L80" s="85"/>
      <c r="M80" s="86"/>
      <c r="N80" s="1"/>
    </row>
    <row r="81" spans="1:14" ht="13.5" thickBot="1" x14ac:dyDescent="0.25">
      <c r="A81" s="84"/>
      <c r="B81" s="105" t="s">
        <v>123</v>
      </c>
      <c r="C81" s="85"/>
      <c r="D81" s="85"/>
      <c r="E81" s="85"/>
      <c r="F81" s="114">
        <f>IF(O68,F70+F79,0)</f>
        <v>0</v>
      </c>
      <c r="G81" s="85"/>
      <c r="H81" s="114">
        <f>IF(P68,H70+H79,0)</f>
        <v>0</v>
      </c>
      <c r="I81" s="85"/>
      <c r="J81" s="114">
        <f t="shared" si="3"/>
        <v>0</v>
      </c>
      <c r="K81" s="106"/>
      <c r="L81" s="107"/>
      <c r="M81" s="86"/>
      <c r="N81" s="1"/>
    </row>
    <row r="82" spans="1:14" ht="13.5" thickBot="1" x14ac:dyDescent="0.25">
      <c r="A82" s="84"/>
      <c r="B82" s="105" t="s">
        <v>124</v>
      </c>
      <c r="C82" s="85"/>
      <c r="D82" s="85"/>
      <c r="E82" s="85"/>
      <c r="F82" s="114">
        <f>IF(O68,F81/F69,0)</f>
        <v>0</v>
      </c>
      <c r="G82" s="85"/>
      <c r="H82" s="114">
        <f>IF(P68,H81/H69,0)</f>
        <v>0</v>
      </c>
      <c r="I82" s="85"/>
      <c r="J82" s="114">
        <f t="shared" si="3"/>
        <v>0</v>
      </c>
      <c r="K82" s="106"/>
      <c r="L82" s="107"/>
      <c r="M82" s="86"/>
      <c r="N82" s="1"/>
    </row>
    <row r="83" spans="1:14" ht="13.5" thickBot="1" x14ac:dyDescent="0.25">
      <c r="A83" s="84"/>
      <c r="B83" s="105" t="s">
        <v>125</v>
      </c>
      <c r="C83" s="85"/>
      <c r="D83" s="85"/>
      <c r="E83" s="85"/>
      <c r="F83" s="114">
        <f>IF(O68,F82*12,0)</f>
        <v>0</v>
      </c>
      <c r="G83" s="85"/>
      <c r="H83" s="114">
        <f>IF(P68,H82*12,0)</f>
        <v>0</v>
      </c>
      <c r="I83" s="85"/>
      <c r="J83" s="114">
        <f t="shared" si="3"/>
        <v>0</v>
      </c>
      <c r="K83" s="106"/>
      <c r="L83" s="107"/>
      <c r="M83" s="86"/>
      <c r="N83" s="1"/>
    </row>
    <row r="84" spans="1:14" x14ac:dyDescent="0.2">
      <c r="A84" s="116"/>
      <c r="B84" s="108"/>
      <c r="C84" s="108"/>
      <c r="D84" s="108"/>
      <c r="E84" s="108"/>
      <c r="F84" s="108"/>
      <c r="G84" s="108"/>
      <c r="H84" s="108"/>
      <c r="I84" s="108"/>
      <c r="J84" s="108"/>
      <c r="K84" s="108"/>
      <c r="L84" s="108"/>
      <c r="M84" s="117"/>
      <c r="N84" s="1"/>
    </row>
    <row r="85" spans="1:14" x14ac:dyDescent="0.2">
      <c r="A85" s="116"/>
      <c r="B85" s="119"/>
      <c r="C85" s="119"/>
      <c r="D85" s="119"/>
      <c r="E85" s="119"/>
      <c r="F85" s="120"/>
      <c r="G85" s="120"/>
      <c r="H85" s="120"/>
      <c r="I85" s="119"/>
      <c r="J85" s="119"/>
      <c r="K85" s="121"/>
      <c r="L85" s="341" t="s">
        <v>129</v>
      </c>
      <c r="M85" s="117"/>
      <c r="N85" s="1"/>
    </row>
    <row r="86" spans="1:14" x14ac:dyDescent="0.2">
      <c r="A86" s="122"/>
      <c r="B86" s="123"/>
      <c r="C86" s="123"/>
      <c r="D86" s="123"/>
      <c r="E86" s="123"/>
      <c r="F86" s="123"/>
      <c r="G86" s="123"/>
      <c r="H86" s="123"/>
      <c r="I86" s="123"/>
      <c r="J86" s="123"/>
      <c r="K86" s="123"/>
      <c r="L86" s="123"/>
      <c r="M86" s="124"/>
      <c r="N86" s="1"/>
    </row>
  </sheetData>
  <sheetProtection algorithmName="SHA-512" hashValue="1mY6Z7eEjkAcCz0cC2WQGyr1qK96eLfeteBg6VVg4Q4fkOZuAzsgomVAvGcnLQxn0A74OqEsLLkFeJGp/5XBEw==" saltValue="XxkaXQZjOWenTfZ94K/RRA==" spinCount="100000" sheet="1" objects="1" scenarios="1"/>
  <customSheetViews>
    <customSheetView guid="{47743E36-E3F1-4AC8-AB28-1C3AD83F86F4}" scale="90" showGridLines="0" showRowCol="0" fitToPage="1" hiddenColumns="1" showRuler="0">
      <pageMargins left="0.19685039370078741" right="0.19685039370078741" top="0.19685039370078741" bottom="0.19685039370078741" header="0.51181102362204722" footer="0.15748031496062992"/>
      <printOptions horizontalCentered="1"/>
      <pageSetup paperSize="9" orientation="portrait" r:id="rId1"/>
      <headerFooter alignWithMargins="0">
        <oddFooter>&amp;LPrinted: &amp;D &amp;T&amp;RLast modified: 21/11/2005</oddFooter>
      </headerFooter>
    </customSheetView>
    <customSheetView guid="{878686E5-D823-11D7-9EB6-0000F6FFAA54}" scale="90" showGridLines="0" showRowCol="0" fitToPage="1" hiddenColumns="1" showRuler="0">
      <pageMargins left="0.19685039370078741" right="0.19685039370078741" top="0.19685039370078741" bottom="0.19685039370078741" header="0.51181102362204722" footer="0.15748031496062992"/>
      <printOptions horizontalCentered="1"/>
      <pageSetup paperSize="9" scale="71" orientation="portrait" r:id="rId2"/>
      <headerFooter alignWithMargins="0">
        <oddFooter>&amp;LPrinted: &amp;D &amp;T&amp;RLast modified: 03/03/2004</oddFooter>
      </headerFooter>
    </customSheetView>
  </customSheetViews>
  <phoneticPr fontId="27" type="noConversion"/>
  <conditionalFormatting sqref="J24">
    <cfRule type="cellIs" dxfId="83" priority="1" stopIfTrue="1" operator="lessThan">
      <formula>0</formula>
    </cfRule>
  </conditionalFormatting>
  <conditionalFormatting sqref="F85:H85">
    <cfRule type="expression" dxfId="82" priority="2" stopIfTrue="1">
      <formula>$O$64</formula>
    </cfRule>
  </conditionalFormatting>
  <conditionalFormatting sqref="H24 F24">
    <cfRule type="expression" dxfId="81" priority="3" stopIfTrue="1">
      <formula>F24="No. of Months?"</formula>
    </cfRule>
    <cfRule type="cellIs" dxfId="80" priority="4" stopIfTrue="1" operator="lessThan">
      <formula>0</formula>
    </cfRule>
  </conditionalFormatting>
  <conditionalFormatting sqref="F8 F28 F48 F68 H8 H28 H48 H68">
    <cfRule type="expression" dxfId="79" priority="5" stopIfTrue="1">
      <formula>AND(F8="",OR(F9&lt;&gt;"",F10&lt;&gt;""))</formula>
    </cfRule>
  </conditionalFormatting>
  <conditionalFormatting sqref="F9 F29 F49 F69 H9 H29 H49 H69">
    <cfRule type="expression" dxfId="78" priority="6" stopIfTrue="1">
      <formula>AND(F9="",OR(F8&lt;&gt;"",F10&lt;&gt;""))</formula>
    </cfRule>
  </conditionalFormatting>
  <conditionalFormatting sqref="F10 F30 F50 F70 H10 H30 H50 H70">
    <cfRule type="expression" dxfId="77" priority="7" stopIfTrue="1">
      <formula>AND(F10="",OR(F8&lt;&gt;"",F9&lt;&gt;""))</formula>
    </cfRule>
  </conditionalFormatting>
  <dataValidations xWindow="323" yWindow="221" count="16">
    <dataValidation type="date" errorStyle="warning" operator="lessThanOrEqual" allowBlank="1" showInputMessage="1" showErrorMessage="1" errorTitle="Invalid Date" error="Please check the Statement Date Entered." prompt="Enter Statement Date of Financial Data (eg. 30/6/xx)" sqref="F8 H8 H48 F28 H28 F68 F48 H68">
      <formula1>TODAY()</formula1>
    </dataValidation>
    <dataValidation type="decimal" operator="lessThanOrEqual" allowBlank="1" showInputMessage="1" showErrorMessage="1" prompt="Enter the net profit before tax.  A loss should be expressed as a negative number." sqref="F10 H10 H50 F30 H30 F70 F50 H70">
      <formula1>9999999999</formula1>
    </dataValidation>
    <dataValidation type="whole" showInputMessage="1" showErrorMessage="1" error="Please Check Number of Months Input (Maximum 12 Months)" prompt="Enter the number of months that the financial data covers (between 1 and 12)." sqref="F9 H9 H49 F29 H29 F69 F49 H69">
      <formula1>1</formula1>
      <formula2>12</formula2>
    </dataValidation>
    <dataValidation type="decimal" operator="lessThanOrEqual" allowBlank="1" showInputMessage="1" showErrorMessage="1" prompt="Enter any interest for year 1." sqref="F13 F33 F53 F73">
      <formula1>9999999999</formula1>
    </dataValidation>
    <dataValidation type="decimal" operator="lessThanOrEqual" allowBlank="1" showInputMessage="1" showErrorMessage="1" prompt="Enter any interest for year 2." sqref="H13 H33 H53 H73">
      <formula1>9999999999</formula1>
    </dataValidation>
    <dataValidation type="decimal" operator="lessThanOrEqual" allowBlank="1" showInputMessage="1" showErrorMessage="1" prompt="Enter any depreciation/amortisation for year 1." sqref="F14 F34 F54 F74">
      <formula1>9999999999</formula1>
    </dataValidation>
    <dataValidation type="decimal" operator="lessThanOrEqual" allowBlank="1" showInputMessage="1" showErrorMessage="1" prompt="Enter any wages/salary for year 1." sqref="F15 F35 F55 F75">
      <formula1>9999999999</formula1>
    </dataValidation>
    <dataValidation type="decimal" operator="lessThanOrEqual" allowBlank="1" showInputMessage="1" showErrorMessage="1" prompt="Enter any depreciation/amortisation for year 2." sqref="H14 H34 H54 H74">
      <formula1>9999999999</formula1>
    </dataValidation>
    <dataValidation type="decimal" operator="lessThanOrEqual" allowBlank="1" showInputMessage="1" showErrorMessage="1" prompt="Enter any wages/salary for year 2." sqref="H15 H35 H55 H75">
      <formula1>9999999999</formula1>
    </dataValidation>
    <dataValidation type="decimal" operator="lessThanOrEqual" allowBlank="1" showInputMessage="1" showErrorMessage="1" prompt="Enter any non-cash personal benefits for year 1." sqref="F16 F36 F56 F76">
      <formula1>9999999999</formula1>
    </dataValidation>
    <dataValidation type="decimal" operator="lessThanOrEqual" allowBlank="1" showInputMessage="1" showErrorMessage="1" prompt="Enter any non-cash personal benefits for year 2." sqref="H16 H36 H56 H76">
      <formula1>9999999999</formula1>
    </dataValidation>
    <dataValidation type="decimal" operator="lessThanOrEqual" allowBlank="1" showInputMessage="1" showErrorMessage="1" prompt="Enter any other non-cash/non-recurring expenses for year 1." sqref="F17 F37 F57 F77">
      <formula1>9999999999</formula1>
    </dataValidation>
    <dataValidation type="decimal" operator="lessThanOrEqual" allowBlank="1" showInputMessage="1" showErrorMessage="1" prompt="Enter any other non-cash/non-recurring expenses for year 2." sqref="H17 H37 H57 H77">
      <formula1>9999999999</formula1>
    </dataValidation>
    <dataValidation type="decimal" operator="lessThanOrEqual" allowBlank="1" showInputMessage="1" showErrorMessage="1" prompt="Enter any other add backs for year 1." sqref="F18 F38 F58 F78">
      <formula1>9999999999</formula1>
    </dataValidation>
    <dataValidation type="decimal" operator="lessThanOrEqual" allowBlank="1" showInputMessage="1" showErrorMessage="1" prompt="Enter any other add backs for year 2." sqref="H18 H38 H58 H78">
      <formula1>9999999999</formula1>
    </dataValidation>
    <dataValidation allowBlank="1" showInputMessage="1" showErrorMessage="1" prompt="Enter any comments." sqref="L10 L13:L19 L21:L23 L30 L33:L39 L41:L43 L50 L53:L59 L61:L63 L70 L73:L79 L81:L83"/>
  </dataValidations>
  <printOptions horizontalCentered="1"/>
  <pageMargins left="0.19685039370078741" right="0.19685039370078741" top="0.19685039370078741" bottom="0.19685039370078741" header="0.51181102362204722" footer="0.15748031496062992"/>
  <pageSetup paperSize="9" orientation="portrait" r:id="rId3"/>
  <headerFooter alignWithMargins="0">
    <oddFooter>&amp;L&amp;"Calibri"&amp;11&amp;K000000&amp;"Calibri"&amp;11&amp;K000000&amp;"Calibri"&amp;11&amp;K000000&amp;"Calibri"&amp;11&amp;K000000&amp;"Calibri"&amp;11&amp;K000000&amp;"Calibri"&amp;11&amp;K000000&amp;"Calibri"&amp;11&amp;K000000&amp;"Calibri"&amp;11&amp;K000000Printed: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4"/>
  <legacyDrawing r:id="rId5"/>
  <oleObjects>
    <mc:AlternateContent xmlns:mc="http://schemas.openxmlformats.org/markup-compatibility/2006">
      <mc:Choice Requires="x14">
        <oleObject progId="MSPhotoEd.3" shapeId="4104" r:id="rId6">
          <objectPr defaultSize="0" autoPict="0" r:id="rId7">
            <anchor moveWithCells="1">
              <from>
                <xdr:col>9</xdr:col>
                <xdr:colOff>333375</xdr:colOff>
                <xdr:row>1</xdr:row>
                <xdr:rowOff>9525</xdr:rowOff>
              </from>
              <to>
                <xdr:col>12</xdr:col>
                <xdr:colOff>0</xdr:colOff>
                <xdr:row>2</xdr:row>
                <xdr:rowOff>209550</xdr:rowOff>
              </to>
            </anchor>
          </objectPr>
        </oleObject>
      </mc:Choice>
      <mc:Fallback>
        <oleObject progId="MSPhotoEd.3" shapeId="4104" r:id="rId6"/>
      </mc:Fallback>
    </mc:AlternateContent>
  </oleObjects>
  <mc:AlternateContent xmlns:mc="http://schemas.openxmlformats.org/markup-compatibility/2006">
    <mc:Choice Requires="x14">
      <controls>
        <mc:AlternateContent xmlns:mc="http://schemas.openxmlformats.org/markup-compatibility/2006">
          <mc:Choice Requires="x14">
            <control shapeId="4097" r:id="rId8" name="Button 1">
              <controlPr defaultSize="0" print="0" autoFill="0" autoPict="0" macro="[0]!cmdClearSelf">
                <anchor moveWithCells="1" sizeWithCells="1">
                  <from>
                    <xdr:col>9</xdr:col>
                    <xdr:colOff>9525</xdr:colOff>
                    <xdr:row>5</xdr:row>
                    <xdr:rowOff>57150</xdr:rowOff>
                  </from>
                  <to>
                    <xdr:col>9</xdr:col>
                    <xdr:colOff>847725</xdr:colOff>
                    <xdr:row>7</xdr:row>
                    <xdr:rowOff>0</xdr:rowOff>
                  </to>
                </anchor>
              </controlPr>
            </control>
          </mc:Choice>
        </mc:AlternateContent>
        <mc:AlternateContent xmlns:mc="http://schemas.openxmlformats.org/markup-compatibility/2006">
          <mc:Choice Requires="x14">
            <control shapeId="4098" r:id="rId9" name="Button 2">
              <controlPr defaultSize="0" print="0" autoFill="0" autoPict="0" macro="[0]!cmdClearSelf">
                <anchor moveWithCells="1" sizeWithCells="1">
                  <from>
                    <xdr:col>1</xdr:col>
                    <xdr:colOff>47625</xdr:colOff>
                    <xdr:row>83</xdr:row>
                    <xdr:rowOff>76200</xdr:rowOff>
                  </from>
                  <to>
                    <xdr:col>2</xdr:col>
                    <xdr:colOff>609600</xdr:colOff>
                    <xdr:row>85</xdr:row>
                    <xdr:rowOff>47625</xdr:rowOff>
                  </to>
                </anchor>
              </controlPr>
            </control>
          </mc:Choice>
        </mc:AlternateContent>
        <mc:AlternateContent xmlns:mc="http://schemas.openxmlformats.org/markup-compatibility/2006">
          <mc:Choice Requires="x14">
            <control shapeId="4099" r:id="rId10" name="Button 3">
              <controlPr defaultSize="0" print="0" autoFill="0" autoPict="0" macro="[0]!cmdCalculator">
                <anchor moveWithCells="1" sizeWithCells="1">
                  <from>
                    <xdr:col>9</xdr:col>
                    <xdr:colOff>1019175</xdr:colOff>
                    <xdr:row>5</xdr:row>
                    <xdr:rowOff>57150</xdr:rowOff>
                  </from>
                  <to>
                    <xdr:col>11</xdr:col>
                    <xdr:colOff>1009650</xdr:colOff>
                    <xdr:row>6</xdr:row>
                    <xdr:rowOff>152400</xdr:rowOff>
                  </to>
                </anchor>
              </controlPr>
            </control>
          </mc:Choice>
        </mc:AlternateContent>
        <mc:AlternateContent xmlns:mc="http://schemas.openxmlformats.org/markup-compatibility/2006">
          <mc:Choice Requires="x14">
            <control shapeId="4100" r:id="rId11" name="Button 4">
              <controlPr defaultSize="0" print="0" autoFill="0" autoPict="0" macro="[0]!cmdCalculator">
                <anchor moveWithCells="1" sizeWithCells="1">
                  <from>
                    <xdr:col>2</xdr:col>
                    <xdr:colOff>704850</xdr:colOff>
                    <xdr:row>83</xdr:row>
                    <xdr:rowOff>76200</xdr:rowOff>
                  </from>
                  <to>
                    <xdr:col>4</xdr:col>
                    <xdr:colOff>190500</xdr:colOff>
                    <xdr:row>85</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fitToPage="1"/>
  </sheetPr>
  <dimension ref="A1:I36"/>
  <sheetViews>
    <sheetView showGridLines="0" showRowColHeaders="0" workbookViewId="0"/>
  </sheetViews>
  <sheetFormatPr defaultRowHeight="12.75" x14ac:dyDescent="0.2"/>
  <cols>
    <col min="1" max="1" width="1.7109375" style="56" customWidth="1"/>
    <col min="2" max="8" width="14.140625" style="56" customWidth="1"/>
    <col min="9" max="9" width="1.7109375" style="56" customWidth="1"/>
    <col min="10" max="16384" width="9.140625" style="56"/>
  </cols>
  <sheetData>
    <row r="1" spans="1:9" ht="13.5" thickBot="1" x14ac:dyDescent="0.25">
      <c r="A1" s="255"/>
      <c r="B1" s="256"/>
      <c r="C1" s="256"/>
      <c r="D1" s="256"/>
      <c r="E1" s="256"/>
      <c r="F1" s="256"/>
      <c r="G1" s="256"/>
      <c r="H1" s="256"/>
      <c r="I1" s="257"/>
    </row>
    <row r="2" spans="1:9" s="131" customFormat="1" ht="24" customHeight="1" thickBot="1" x14ac:dyDescent="0.25">
      <c r="A2" s="125"/>
      <c r="B2" s="126" t="s">
        <v>130</v>
      </c>
      <c r="C2" s="127"/>
      <c r="D2" s="128"/>
      <c r="E2" s="128"/>
      <c r="F2" s="369"/>
      <c r="G2" s="129"/>
      <c r="H2" s="129"/>
      <c r="I2" s="130"/>
    </row>
    <row r="3" spans="1:9" ht="114.75" customHeight="1" x14ac:dyDescent="0.2">
      <c r="A3" s="132"/>
      <c r="B3" s="1002" t="s">
        <v>420</v>
      </c>
      <c r="C3" s="1002"/>
      <c r="D3" s="1002"/>
      <c r="E3" s="1002"/>
      <c r="F3" s="1002"/>
      <c r="G3" s="1002"/>
      <c r="H3" s="1002"/>
      <c r="I3" s="135"/>
    </row>
    <row r="4" spans="1:9" s="142" customFormat="1" ht="24" customHeight="1" x14ac:dyDescent="0.2">
      <c r="A4" s="136"/>
      <c r="B4" s="137" t="s">
        <v>131</v>
      </c>
      <c r="C4" s="138"/>
      <c r="D4" s="139"/>
      <c r="E4" s="138"/>
      <c r="F4" s="138"/>
      <c r="G4" s="138"/>
      <c r="H4" s="140"/>
      <c r="I4" s="141"/>
    </row>
    <row r="5" spans="1:9" x14ac:dyDescent="0.2">
      <c r="A5" s="143"/>
      <c r="B5" s="601">
        <f>Calculations!Z9</f>
        <v>0</v>
      </c>
      <c r="C5" s="266"/>
      <c r="D5" s="266"/>
      <c r="E5" s="266"/>
      <c r="F5" s="266"/>
      <c r="G5" s="266"/>
      <c r="H5" s="266"/>
      <c r="I5" s="135"/>
    </row>
    <row r="6" spans="1:9" x14ac:dyDescent="0.2">
      <c r="A6" s="143"/>
      <c r="B6" s="266"/>
      <c r="C6" s="266"/>
      <c r="D6" s="266"/>
      <c r="E6" s="999" t="s">
        <v>260</v>
      </c>
      <c r="F6" s="1000"/>
      <c r="G6" s="1000"/>
      <c r="H6" s="1001"/>
      <c r="I6" s="135"/>
    </row>
    <row r="7" spans="1:9" ht="25.5" customHeight="1" x14ac:dyDescent="0.2">
      <c r="A7" s="144"/>
      <c r="B7" s="145" t="s">
        <v>132</v>
      </c>
      <c r="C7" s="157" t="s">
        <v>61</v>
      </c>
      <c r="D7" s="145" t="s">
        <v>116</v>
      </c>
      <c r="E7" s="157" t="s">
        <v>85</v>
      </c>
      <c r="F7" s="157" t="s">
        <v>86</v>
      </c>
      <c r="G7" s="157" t="s">
        <v>87</v>
      </c>
      <c r="H7" s="157" t="s">
        <v>88</v>
      </c>
      <c r="I7" s="146"/>
    </row>
    <row r="8" spans="1:9" x14ac:dyDescent="0.2">
      <c r="A8" s="147"/>
      <c r="B8" s="148" t="str">
        <f>IF(Calculations!V8,IF(OR(Model!B39="CBA Line of Credit",Model!B39="OFI Line of Credit (Other financial institution)"),Model!G39,Model!F39),"")</f>
        <v/>
      </c>
      <c r="C8" s="746"/>
      <c r="D8" s="371" t="str">
        <f t="shared" ref="D8:D14" si="0">IF(AND(B8&lt;&gt;"",C8&lt;&gt;""),B8*C8,"")</f>
        <v/>
      </c>
      <c r="E8" s="149"/>
      <c r="F8" s="149"/>
      <c r="G8" s="149"/>
      <c r="H8" s="149"/>
      <c r="I8" s="150"/>
    </row>
    <row r="9" spans="1:9" x14ac:dyDescent="0.2">
      <c r="A9" s="147"/>
      <c r="B9" s="148" t="str">
        <f>IF(Calculations!V9,IF(OR(Model!B40="CBA Line of Credit",Model!B40="OFI Line of Credit (Other financial institution)"),Model!G40,Model!F40),"")</f>
        <v/>
      </c>
      <c r="C9" s="746"/>
      <c r="D9" s="371" t="str">
        <f t="shared" si="0"/>
        <v/>
      </c>
      <c r="E9" s="149"/>
      <c r="F9" s="149"/>
      <c r="G9" s="149"/>
      <c r="H9" s="149"/>
      <c r="I9" s="150"/>
    </row>
    <row r="10" spans="1:9" x14ac:dyDescent="0.2">
      <c r="A10" s="147"/>
      <c r="B10" s="148" t="str">
        <f>IF(Calculations!V10,IF(OR(Model!B41="CBA Line of Credit",Model!B41="OFI Line of Credit (Other financial institution)"),Model!G41,Model!F41),"")</f>
        <v/>
      </c>
      <c r="C10" s="746"/>
      <c r="D10" s="371" t="str">
        <f t="shared" si="0"/>
        <v/>
      </c>
      <c r="E10" s="149"/>
      <c r="F10" s="149"/>
      <c r="G10" s="149"/>
      <c r="H10" s="149"/>
      <c r="I10" s="150"/>
    </row>
    <row r="11" spans="1:9" x14ac:dyDescent="0.2">
      <c r="A11" s="147"/>
      <c r="B11" s="148" t="str">
        <f>IF(Calculations!V11,IF(OR(Model!B42="CBA Line of Credit",Model!B42="OFI Line of Credit (Other financial institution)"),Model!G42,Model!F42),"")</f>
        <v/>
      </c>
      <c r="C11" s="746"/>
      <c r="D11" s="371" t="str">
        <f t="shared" si="0"/>
        <v/>
      </c>
      <c r="E11" s="149"/>
      <c r="F11" s="149"/>
      <c r="G11" s="149"/>
      <c r="H11" s="149"/>
      <c r="I11" s="150"/>
    </row>
    <row r="12" spans="1:9" x14ac:dyDescent="0.2">
      <c r="A12" s="147"/>
      <c r="B12" s="148" t="str">
        <f>IF(Calculations!V12,IF(OR(Model!B43="CBA Line of Credit",Model!B43="OFI Line of Credit (Other financial institution)"),Model!G43,Model!F43),"")</f>
        <v/>
      </c>
      <c r="C12" s="746"/>
      <c r="D12" s="371" t="str">
        <f t="shared" si="0"/>
        <v/>
      </c>
      <c r="E12" s="149"/>
      <c r="F12" s="149"/>
      <c r="G12" s="149"/>
      <c r="H12" s="149"/>
      <c r="I12" s="150"/>
    </row>
    <row r="13" spans="1:9" x14ac:dyDescent="0.2">
      <c r="A13" s="147"/>
      <c r="B13" s="148" t="str">
        <f>IF(Calculations!V13,IF(OR(Model!B44="CBA Line of Credit",Model!B44="OFI Line of Credit (Other financial institution)"),Model!G44,Model!F44),"")</f>
        <v/>
      </c>
      <c r="C13" s="746"/>
      <c r="D13" s="371" t="str">
        <f t="shared" si="0"/>
        <v/>
      </c>
      <c r="E13" s="149"/>
      <c r="F13" s="149"/>
      <c r="G13" s="149"/>
      <c r="H13" s="149"/>
      <c r="I13" s="150"/>
    </row>
    <row r="14" spans="1:9" x14ac:dyDescent="0.2">
      <c r="A14" s="147"/>
      <c r="B14" s="148" t="str">
        <f>IF(Calculations!V14,IF(OR(Model!B45="CBA Line of Credit",Model!B45="OFI Line of Credit (Other financial institution)"),Model!G45,Model!F45),"")</f>
        <v/>
      </c>
      <c r="C14" s="746"/>
      <c r="D14" s="371" t="str">
        <f t="shared" si="0"/>
        <v/>
      </c>
      <c r="E14" s="149"/>
      <c r="F14" s="149"/>
      <c r="G14" s="149"/>
      <c r="H14" s="149"/>
      <c r="I14" s="150"/>
    </row>
    <row r="15" spans="1:9" x14ac:dyDescent="0.2">
      <c r="A15" s="151"/>
      <c r="B15" s="133"/>
      <c r="C15" s="134"/>
      <c r="D15" s="133"/>
      <c r="E15" s="134"/>
      <c r="F15" s="134"/>
      <c r="G15" s="134"/>
      <c r="H15" s="134"/>
      <c r="I15" s="135"/>
    </row>
    <row r="16" spans="1:9" s="156" customFormat="1" ht="24" customHeight="1" x14ac:dyDescent="0.2">
      <c r="A16" s="152"/>
      <c r="B16" s="137" t="s">
        <v>133</v>
      </c>
      <c r="C16" s="153"/>
      <c r="D16" s="153"/>
      <c r="E16" s="153"/>
      <c r="F16" s="153"/>
      <c r="G16" s="153"/>
      <c r="H16" s="154"/>
      <c r="I16" s="155"/>
    </row>
    <row r="17" spans="1:9" x14ac:dyDescent="0.2">
      <c r="A17" s="143"/>
      <c r="B17" s="266"/>
      <c r="C17" s="266"/>
      <c r="D17" s="266"/>
      <c r="E17" s="266"/>
      <c r="F17" s="266"/>
      <c r="G17" s="266"/>
      <c r="H17" s="266"/>
      <c r="I17" s="135"/>
    </row>
    <row r="18" spans="1:9" x14ac:dyDescent="0.2">
      <c r="A18" s="143"/>
      <c r="B18" s="266"/>
      <c r="C18" s="266"/>
      <c r="D18" s="266"/>
      <c r="E18" s="999" t="s">
        <v>260</v>
      </c>
      <c r="F18" s="1000"/>
      <c r="G18" s="1000"/>
      <c r="H18" s="1001"/>
      <c r="I18" s="135"/>
    </row>
    <row r="19" spans="1:9" ht="25.5" customHeight="1" x14ac:dyDescent="0.2">
      <c r="A19" s="144"/>
      <c r="B19" s="145" t="s">
        <v>132</v>
      </c>
      <c r="C19" s="157" t="s">
        <v>61</v>
      </c>
      <c r="D19" s="145" t="s">
        <v>116</v>
      </c>
      <c r="E19" s="370" t="s">
        <v>85</v>
      </c>
      <c r="F19" s="157" t="s">
        <v>86</v>
      </c>
      <c r="G19" s="157" t="s">
        <v>87</v>
      </c>
      <c r="H19" s="157" t="s">
        <v>88</v>
      </c>
      <c r="I19" s="135"/>
    </row>
    <row r="20" spans="1:9" x14ac:dyDescent="0.2">
      <c r="A20" s="151"/>
      <c r="B20" s="158" t="str">
        <f>IF(Calculations!V17,Model!G52,"")</f>
        <v/>
      </c>
      <c r="C20" s="602"/>
      <c r="D20" s="371" t="str">
        <f t="shared" ref="D20:D25" si="1">IF(AND(B20&lt;&gt;"",C20&lt;&gt;""),B20*C20,"")</f>
        <v/>
      </c>
      <c r="E20" s="149"/>
      <c r="F20" s="149"/>
      <c r="G20" s="149"/>
      <c r="H20" s="149"/>
      <c r="I20" s="150"/>
    </row>
    <row r="21" spans="1:9" x14ac:dyDescent="0.2">
      <c r="A21" s="151"/>
      <c r="B21" s="158" t="str">
        <f>IF(Calculations!V18,Model!G53,"")</f>
        <v/>
      </c>
      <c r="C21" s="602"/>
      <c r="D21" s="371" t="str">
        <f t="shared" si="1"/>
        <v/>
      </c>
      <c r="E21" s="149"/>
      <c r="F21" s="149"/>
      <c r="G21" s="149"/>
      <c r="H21" s="149"/>
      <c r="I21" s="150"/>
    </row>
    <row r="22" spans="1:9" x14ac:dyDescent="0.2">
      <c r="A22" s="151"/>
      <c r="B22" s="158" t="str">
        <f>IF(Calculations!V19,Model!G54,"")</f>
        <v/>
      </c>
      <c r="C22" s="602"/>
      <c r="D22" s="371" t="str">
        <f t="shared" si="1"/>
        <v/>
      </c>
      <c r="E22" s="149"/>
      <c r="F22" s="149"/>
      <c r="G22" s="149"/>
      <c r="H22" s="149"/>
      <c r="I22" s="150"/>
    </row>
    <row r="23" spans="1:9" x14ac:dyDescent="0.2">
      <c r="A23" s="151"/>
      <c r="B23" s="158" t="str">
        <f>IF(Calculations!V20,Model!G55,"")</f>
        <v/>
      </c>
      <c r="C23" s="602"/>
      <c r="D23" s="371" t="str">
        <f t="shared" si="1"/>
        <v/>
      </c>
      <c r="E23" s="149"/>
      <c r="F23" s="149"/>
      <c r="G23" s="149"/>
      <c r="H23" s="149"/>
      <c r="I23" s="135"/>
    </row>
    <row r="24" spans="1:9" x14ac:dyDescent="0.2">
      <c r="A24" s="151"/>
      <c r="B24" s="158" t="str">
        <f>IF(Calculations!V21,Model!G56,"")</f>
        <v/>
      </c>
      <c r="C24" s="602"/>
      <c r="D24" s="371" t="str">
        <f t="shared" si="1"/>
        <v/>
      </c>
      <c r="E24" s="149"/>
      <c r="F24" s="149"/>
      <c r="G24" s="149"/>
      <c r="H24" s="149"/>
      <c r="I24" s="135"/>
    </row>
    <row r="25" spans="1:9" x14ac:dyDescent="0.2">
      <c r="A25" s="151"/>
      <c r="B25" s="158" t="str">
        <f>IF(Calculations!V22,Model!G57,"")</f>
        <v/>
      </c>
      <c r="C25" s="602"/>
      <c r="D25" s="371" t="str">
        <f t="shared" si="1"/>
        <v/>
      </c>
      <c r="E25" s="149"/>
      <c r="F25" s="149"/>
      <c r="G25" s="149"/>
      <c r="H25" s="149"/>
      <c r="I25" s="135"/>
    </row>
    <row r="26" spans="1:9" x14ac:dyDescent="0.2">
      <c r="A26" s="151"/>
      <c r="B26" s="266"/>
      <c r="C26" s="266"/>
      <c r="D26" s="159"/>
      <c r="E26" s="134"/>
      <c r="F26" s="134"/>
      <c r="G26" s="134"/>
      <c r="H26" s="134"/>
      <c r="I26" s="135"/>
    </row>
    <row r="27" spans="1:9" x14ac:dyDescent="0.2">
      <c r="A27" s="151"/>
      <c r="B27" s="269" t="s">
        <v>254</v>
      </c>
      <c r="C27" s="269"/>
      <c r="D27" s="159"/>
      <c r="E27" s="160" t="s">
        <v>134</v>
      </c>
      <c r="F27" s="160" t="s">
        <v>135</v>
      </c>
      <c r="G27" s="160" t="s">
        <v>136</v>
      </c>
      <c r="H27" s="134"/>
      <c r="I27" s="135"/>
    </row>
    <row r="28" spans="1:9" x14ac:dyDescent="0.2">
      <c r="A28" s="151"/>
      <c r="B28" s="266"/>
      <c r="C28" s="266"/>
      <c r="D28" s="161" t="s">
        <v>255</v>
      </c>
      <c r="E28" s="162">
        <f t="array" ref="E28">SUM(IF(D8:D14&lt;&gt;"",D8:D14*E8:E14))</f>
        <v>0</v>
      </c>
      <c r="F28" s="163">
        <f t="array" ref="F28">SUM(IF(D20:D25&lt;&gt;"",D20:D25*E20:E25))</f>
        <v>0</v>
      </c>
      <c r="G28" s="164">
        <f>SUM(E28:F28)</f>
        <v>0</v>
      </c>
      <c r="H28" s="134"/>
      <c r="I28" s="135"/>
    </row>
    <row r="29" spans="1:9" x14ac:dyDescent="0.2">
      <c r="A29" s="151"/>
      <c r="B29" s="266"/>
      <c r="C29" s="266"/>
      <c r="D29" s="161" t="s">
        <v>256</v>
      </c>
      <c r="E29" s="162">
        <f t="array" ref="E29">SUM(IF(D8:D14&lt;&gt;"",D8:D14*F8:F14))</f>
        <v>0</v>
      </c>
      <c r="F29" s="165">
        <f t="array" ref="F29">SUM(IF(D20:D25&lt;&gt;"",D20:D25*F20:F25))</f>
        <v>0</v>
      </c>
      <c r="G29" s="164">
        <f>SUM(E29:F29)</f>
        <v>0</v>
      </c>
      <c r="H29" s="134"/>
      <c r="I29" s="135"/>
    </row>
    <row r="30" spans="1:9" x14ac:dyDescent="0.2">
      <c r="A30" s="151"/>
      <c r="B30" s="266"/>
      <c r="C30" s="266"/>
      <c r="D30" s="161" t="s">
        <v>257</v>
      </c>
      <c r="E30" s="162">
        <f t="array" ref="E30">SUM(IF(D8:D14&lt;&gt;"",D8:D14*G8:G14))</f>
        <v>0</v>
      </c>
      <c r="F30" s="165">
        <f t="array" ref="F30">SUM(IF(D20:D25&lt;&gt;"",D20:D25*G20:G25))</f>
        <v>0</v>
      </c>
      <c r="G30" s="164">
        <f>SUM(E30:F30)</f>
        <v>0</v>
      </c>
      <c r="H30" s="134"/>
      <c r="I30" s="135"/>
    </row>
    <row r="31" spans="1:9" x14ac:dyDescent="0.2">
      <c r="A31" s="151"/>
      <c r="B31" s="266"/>
      <c r="C31" s="266"/>
      <c r="D31" s="161" t="s">
        <v>258</v>
      </c>
      <c r="E31" s="162">
        <f t="array" ref="E31">SUM(IF(D8:D14&lt;&gt;"",D8:D14*H8:H14))</f>
        <v>0</v>
      </c>
      <c r="F31" s="165">
        <f t="array" ref="F31">SUM(IF(D20:D25&lt;&gt;"",D20:D25*H20:H25))</f>
        <v>0</v>
      </c>
      <c r="G31" s="164">
        <f>SUM(E31:F31)</f>
        <v>0</v>
      </c>
      <c r="H31" s="134"/>
      <c r="I31" s="135"/>
    </row>
    <row r="32" spans="1:9" x14ac:dyDescent="0.2">
      <c r="A32" s="151"/>
      <c r="B32" s="266"/>
      <c r="C32" s="266"/>
      <c r="D32" s="161" t="s">
        <v>259</v>
      </c>
      <c r="E32" s="166">
        <f>SUM(E28:E31)</f>
        <v>0</v>
      </c>
      <c r="F32" s="166">
        <f>SUM(F28:F31)</f>
        <v>0</v>
      </c>
      <c r="G32" s="167">
        <f>SUM(E32:F32)</f>
        <v>0</v>
      </c>
      <c r="H32" s="134"/>
      <c r="I32" s="135"/>
    </row>
    <row r="33" spans="1:9" x14ac:dyDescent="0.2">
      <c r="A33" s="151"/>
      <c r="B33" s="266"/>
      <c r="C33" s="266"/>
      <c r="D33" s="266"/>
      <c r="E33" s="266"/>
      <c r="F33" s="266"/>
      <c r="G33" s="266"/>
      <c r="H33" s="266"/>
      <c r="I33" s="135"/>
    </row>
    <row r="34" spans="1:9" x14ac:dyDescent="0.2">
      <c r="A34" s="151"/>
      <c r="B34" s="722"/>
      <c r="C34" s="722"/>
      <c r="D34" s="722"/>
      <c r="E34" s="722"/>
      <c r="F34" s="722"/>
      <c r="G34" s="722"/>
      <c r="H34" s="722"/>
      <c r="I34" s="135"/>
    </row>
    <row r="35" spans="1:9" x14ac:dyDescent="0.2">
      <c r="A35" s="151"/>
      <c r="B35" s="266"/>
      <c r="C35" s="266"/>
      <c r="D35" s="266"/>
      <c r="E35" s="266"/>
      <c r="F35" s="266"/>
      <c r="G35" s="266"/>
      <c r="H35" s="345" t="s">
        <v>106</v>
      </c>
      <c r="I35" s="135"/>
    </row>
    <row r="36" spans="1:9" x14ac:dyDescent="0.2">
      <c r="A36" s="168"/>
      <c r="B36" s="169"/>
      <c r="C36" s="170"/>
      <c r="D36" s="169"/>
      <c r="E36" s="170"/>
      <c r="F36" s="170"/>
      <c r="G36" s="170"/>
      <c r="H36" s="170"/>
      <c r="I36" s="171"/>
    </row>
  </sheetData>
  <sheetProtection algorithmName="SHA-512" hashValue="F3GsAtPz0mkLOl00CjuENChG+YNwXZ2DIu2hbEnC44YnTRpPzyswQsNuhc1AkmmtiNzvIs/88asds2+9Lir07A==" saltValue="YLuC0AEhvfeycHZkyeb+kQ==" spinCount="100000" sheet="1" objects="1" scenarios="1"/>
  <customSheetViews>
    <customSheetView guid="{47743E36-E3F1-4AC8-AB28-1C3AD83F86F4}" showGridLines="0" showRowCol="0" fitToPage="1" hiddenColumns="1" showRuler="0">
      <pageMargins left="0.19685039370078741" right="0.19685039370078741" top="0.19685039370078741" bottom="0.19685039370078741" header="0.51181102362204722" footer="0.23622047244094491"/>
      <printOptions horizontalCentered="1"/>
      <pageSetup paperSize="9" orientation="portrait" r:id="rId1"/>
      <headerFooter alignWithMargins="0">
        <oddFooter>&amp;LPrinted: &amp;D &amp;T&amp;RLast modified: 21/11/2005</oddFooter>
      </headerFooter>
    </customSheetView>
    <customSheetView guid="{878686E5-D823-11D7-9EB6-0000F6FFAA54}" showGridLines="0" showRowCol="0" fitToPage="1" hiddenColumns="1" showRuler="0">
      <pageMargins left="0.19685039370078741" right="0.19685039370078741" top="0.19685039370078741" bottom="0.19685039370078741" header="0.51181102362204722" footer="0.23622047244094491"/>
      <printOptions horizontalCentered="1"/>
      <pageSetup paperSize="9" scale="97" orientation="portrait" r:id="rId2"/>
      <headerFooter alignWithMargins="0">
        <oddFooter>&amp;LPrinted: &amp;D &amp;T&amp;RLast modified: 03/03/2004</oddFooter>
      </headerFooter>
    </customSheetView>
  </customSheetViews>
  <mergeCells count="3">
    <mergeCell ref="E6:H6"/>
    <mergeCell ref="E18:H18"/>
    <mergeCell ref="B3:H3"/>
  </mergeCells>
  <phoneticPr fontId="27" type="noConversion"/>
  <conditionalFormatting sqref="C20:C25">
    <cfRule type="expression" dxfId="76" priority="17" stopIfTrue="1">
      <formula>AND(B20&lt;&gt;"",C20="")</formula>
    </cfRule>
  </conditionalFormatting>
  <conditionalFormatting sqref="E8:H14">
    <cfRule type="expression" dxfId="75" priority="3" stopIfTrue="1">
      <formula>AND($D8&lt;&gt;"",COUNTBLANK($E8:$H8)=4)</formula>
    </cfRule>
  </conditionalFormatting>
  <conditionalFormatting sqref="E20:H25">
    <cfRule type="expression" dxfId="74" priority="2" stopIfTrue="1">
      <formula>AND($D20&lt;&gt;"",COUNTBLANK($E20:$H20)=4)</formula>
    </cfRule>
  </conditionalFormatting>
  <conditionalFormatting sqref="C8:C14">
    <cfRule type="expression" dxfId="73" priority="1">
      <formula>AND(B8&lt;&gt;"",C8="")</formula>
    </cfRule>
  </conditionalFormatting>
  <dataValidations xWindow="403" yWindow="298" count="10">
    <dataValidation type="custom" allowBlank="1" showInputMessage="1" showErrorMessage="1" error="Total Tax benefit % of all four applicants must not be greater than 100%." prompt="Enter the tax benefit % applicable for applicant 1 on this existing loan" sqref="E8:E14">
      <formula1>SUM($E8:$H8)&lt;=100%</formula1>
    </dataValidation>
    <dataValidation type="custom" allowBlank="1" showInputMessage="1" showErrorMessage="1" error="Total Tax benefit % of all four applicants must not be greater than 100%." prompt="Enter the tax benefit % applicable for applicant 2 on this existing loan" sqref="F8:F14">
      <formula1>SUM($E8:$H8)&lt;=100%</formula1>
    </dataValidation>
    <dataValidation type="custom" allowBlank="1" showInputMessage="1" showErrorMessage="1" error="Total Tax benefit % of all four applicants must not be greater than 100%." prompt="Enter the tax benefit % applicable for applicant 1 on this proposed  loan" sqref="E20:E25">
      <formula1>SUM($E20:$H20)&lt;=100%</formula1>
    </dataValidation>
    <dataValidation type="custom" allowBlank="1" showInputMessage="1" showErrorMessage="1" error="Total Tax benefit % of all four applicants must not be greater than 100%." prompt="Enter the tax benefit % applicable for applicant 2 on this proposed  loan" sqref="F20:F25">
      <formula1>SUM($E20:$H20)&lt;=100%</formula1>
    </dataValidation>
    <dataValidation type="custom" allowBlank="1" showInputMessage="1" showErrorMessage="1" error="Total Tax benefit % of all four applicants must not be greater than 100%." prompt="Enter the tax benefit % applicable for applicant 3 on this proposed  loan" sqref="G20:G25">
      <formula1>SUM($E20:$H20)&lt;=100%</formula1>
    </dataValidation>
    <dataValidation type="custom" allowBlank="1" showInputMessage="1" showErrorMessage="1" error="Total Tax benefit % of all four applicants must not be greater than 100%." prompt="Enter the tax benefit % applicable for applicant 4 on this proposed  loan" sqref="H20:H25">
      <formula1>SUM($E20:$H20)&lt;=100%</formula1>
    </dataValidation>
    <dataValidation type="custom" allowBlank="1" showInputMessage="1" showErrorMessage="1" error="Total Tax benefit % of all four applicants must not be greater than 100%." prompt="Enter the tax benefit % applicable for applicant 3 on this existing loan" sqref="G8:G14">
      <formula1>SUM($E8:$H8)&lt;=100%</formula1>
    </dataValidation>
    <dataValidation type="custom" allowBlank="1" showInputMessage="1" showErrorMessage="1" error="Total Tax benefit % of all four applicants must not be greater than 100%." prompt="Enter the tax benefit % applicable for applicant 4 on this existing loan" sqref="H8:H14">
      <formula1>SUM($E8:$H8)&lt;=100%</formula1>
    </dataValidation>
    <dataValidation type="decimal" operator="greaterThanOrEqual" allowBlank="1" showInputMessage="1" showErrorMessage="1" error="You must enter a positive number." prompt="Enter the interest rate (post discount) for this proposed loan." sqref="C20:C25">
      <formula1>0</formula1>
    </dataValidation>
    <dataValidation type="decimal" operator="greaterThanOrEqual" allowBlank="1" showInputMessage="1" showErrorMessage="1" error="You must enter a positive number." prompt="Enter the actual interest rate" sqref="C8:C14">
      <formula1>0</formula1>
    </dataValidation>
  </dataValidations>
  <printOptions horizontalCentered="1"/>
  <pageMargins left="0.19685039370078741" right="0.19685039370078741" top="0.19685039370078741" bottom="0.19685039370078741" header="0.51181102362204722" footer="0.23622047244094491"/>
  <pageSetup paperSize="9" orientation="portrait" r:id="rId3"/>
  <headerFooter alignWithMargins="0">
    <oddFooter>&amp;L&amp;"Calibri"&amp;11&amp;K000000&amp;"Calibri"&amp;11&amp;K000000&amp;"Calibri"&amp;11&amp;K000000&amp;"Calibri"&amp;11&amp;K000000&amp;"Calibri"&amp;11&amp;K000000&amp;"Calibri"&amp;11&amp;K000000&amp;"Calibri"&amp;11&amp;K000000&amp;"Calibri"&amp;11&amp;K000000Printed: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4"/>
  <legacyDrawing r:id="rId5"/>
  <oleObjects>
    <mc:AlternateContent xmlns:mc="http://schemas.openxmlformats.org/markup-compatibility/2006">
      <mc:Choice Requires="x14">
        <oleObject progId="MSPhotoEd.3" shapeId="5130" r:id="rId6">
          <objectPr defaultSize="0" autoPict="0" r:id="rId7">
            <anchor moveWithCells="1">
              <from>
                <xdr:col>6</xdr:col>
                <xdr:colOff>123825</xdr:colOff>
                <xdr:row>1</xdr:row>
                <xdr:rowOff>9525</xdr:rowOff>
              </from>
              <to>
                <xdr:col>7</xdr:col>
                <xdr:colOff>933450</xdr:colOff>
                <xdr:row>2</xdr:row>
                <xdr:rowOff>28575</xdr:rowOff>
              </to>
            </anchor>
          </objectPr>
        </oleObject>
      </mc:Choice>
      <mc:Fallback>
        <oleObject progId="MSPhotoEd.3" shapeId="5130" r:id="rId6"/>
      </mc:Fallback>
    </mc:AlternateContent>
  </oleObjects>
  <mc:AlternateContent xmlns:mc="http://schemas.openxmlformats.org/markup-compatibility/2006">
    <mc:Choice Requires="x14">
      <controls>
        <mc:AlternateContent xmlns:mc="http://schemas.openxmlformats.org/markup-compatibility/2006">
          <mc:Choice Requires="x14">
            <control shapeId="5121" r:id="rId8" name="Button 1">
              <controlPr defaultSize="0" print="0" autoFill="0" autoPict="0" macro="[0]!cmdClearNeg">
                <anchor moveWithCells="1" sizeWithCells="1">
                  <from>
                    <xdr:col>5</xdr:col>
                    <xdr:colOff>657225</xdr:colOff>
                    <xdr:row>2</xdr:row>
                    <xdr:rowOff>95250</xdr:rowOff>
                  </from>
                  <to>
                    <xdr:col>6</xdr:col>
                    <xdr:colOff>514350</xdr:colOff>
                    <xdr:row>2</xdr:row>
                    <xdr:rowOff>409575</xdr:rowOff>
                  </to>
                </anchor>
              </controlPr>
            </control>
          </mc:Choice>
        </mc:AlternateContent>
        <mc:AlternateContent xmlns:mc="http://schemas.openxmlformats.org/markup-compatibility/2006">
          <mc:Choice Requires="x14">
            <control shapeId="5122" r:id="rId9" name="Button 2">
              <controlPr defaultSize="0" print="0" autoFill="0" autoPict="0" macro="[0]!cmdCalculator">
                <anchor moveWithCells="1" sizeWithCells="1">
                  <from>
                    <xdr:col>6</xdr:col>
                    <xdr:colOff>581025</xdr:colOff>
                    <xdr:row>2</xdr:row>
                    <xdr:rowOff>85725</xdr:rowOff>
                  </from>
                  <to>
                    <xdr:col>8</xdr:col>
                    <xdr:colOff>0</xdr:colOff>
                    <xdr:row>2</xdr:row>
                    <xdr:rowOff>400050</xdr:rowOff>
                  </to>
                </anchor>
              </controlPr>
            </control>
          </mc:Choice>
        </mc:AlternateContent>
        <mc:AlternateContent xmlns:mc="http://schemas.openxmlformats.org/markup-compatibility/2006">
          <mc:Choice Requires="x14">
            <control shapeId="5123" r:id="rId10" name="Button 3">
              <controlPr defaultSize="0" print="0" autoFill="0" autoPict="0" macro="[0]!cmdClearNeg">
                <anchor moveWithCells="1" sizeWithCells="1">
                  <from>
                    <xdr:col>7</xdr:col>
                    <xdr:colOff>47625</xdr:colOff>
                    <xdr:row>27</xdr:row>
                    <xdr:rowOff>0</xdr:rowOff>
                  </from>
                  <to>
                    <xdr:col>8</xdr:col>
                    <xdr:colOff>0</xdr:colOff>
                    <xdr:row>28</xdr:row>
                    <xdr:rowOff>152400</xdr:rowOff>
                  </to>
                </anchor>
              </controlPr>
            </control>
          </mc:Choice>
        </mc:AlternateContent>
        <mc:AlternateContent xmlns:mc="http://schemas.openxmlformats.org/markup-compatibility/2006">
          <mc:Choice Requires="x14">
            <control shapeId="5124" r:id="rId11" name="Button 4">
              <controlPr defaultSize="0" print="0" autoFill="0" autoPict="0" macro="[0]!cmdCalculator">
                <anchor moveWithCells="1" sizeWithCells="1">
                  <from>
                    <xdr:col>7</xdr:col>
                    <xdr:colOff>57150</xdr:colOff>
                    <xdr:row>29</xdr:row>
                    <xdr:rowOff>47625</xdr:rowOff>
                  </from>
                  <to>
                    <xdr:col>8</xdr:col>
                    <xdr:colOff>0</xdr:colOff>
                    <xdr:row>31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N59"/>
  <sheetViews>
    <sheetView showGridLines="0" showRowColHeaders="0" zoomScaleNormal="100" workbookViewId="0"/>
  </sheetViews>
  <sheetFormatPr defaultRowHeight="12.75" x14ac:dyDescent="0.2"/>
  <cols>
    <col min="1" max="1" width="1.7109375" customWidth="1"/>
    <col min="2" max="2" width="4.7109375" customWidth="1"/>
    <col min="3" max="3" width="23.140625" customWidth="1"/>
    <col min="4" max="4" width="18.140625" customWidth="1"/>
    <col min="5" max="5" width="14.140625" customWidth="1"/>
    <col min="6" max="6" width="13.85546875" bestFit="1" customWidth="1"/>
    <col min="7" max="7" width="14.7109375" customWidth="1"/>
    <col min="8" max="9" width="13.7109375" customWidth="1"/>
    <col min="10" max="11" width="16.140625" customWidth="1"/>
    <col min="12" max="12" width="1.7109375" customWidth="1"/>
    <col min="14" max="14" width="9.140625" hidden="1" customWidth="1"/>
  </cols>
  <sheetData>
    <row r="1" spans="1:14" ht="13.5" thickBot="1" x14ac:dyDescent="0.25">
      <c r="A1" s="255"/>
      <c r="B1" s="256"/>
      <c r="C1" s="256"/>
      <c r="D1" s="256"/>
      <c r="E1" s="256"/>
      <c r="F1" s="256"/>
      <c r="G1" s="256"/>
      <c r="H1" s="256"/>
      <c r="I1" s="256"/>
      <c r="J1" s="256"/>
      <c r="K1" s="256"/>
      <c r="L1" s="257"/>
    </row>
    <row r="2" spans="1:14" ht="24" customHeight="1" thickBot="1" x14ac:dyDescent="0.25">
      <c r="A2" s="265"/>
      <c r="B2" s="693" t="s">
        <v>419</v>
      </c>
      <c r="C2" s="694"/>
      <c r="D2" s="695"/>
      <c r="E2" s="695"/>
      <c r="F2" s="695"/>
      <c r="G2" s="695"/>
      <c r="H2" s="696"/>
      <c r="I2" s="266"/>
      <c r="J2" s="266"/>
      <c r="K2" s="266"/>
      <c r="L2" s="267"/>
    </row>
    <row r="3" spans="1:14" ht="25.5" customHeight="1" x14ac:dyDescent="0.2">
      <c r="A3" s="265"/>
      <c r="B3" s="266"/>
      <c r="C3" s="266"/>
      <c r="D3" s="266"/>
      <c r="E3" s="266"/>
      <c r="F3" s="266"/>
      <c r="G3" s="266"/>
      <c r="H3" s="266"/>
      <c r="I3" s="266"/>
      <c r="J3" s="266"/>
      <c r="K3" s="266"/>
      <c r="L3" s="267"/>
    </row>
    <row r="4" spans="1:14" ht="24" customHeight="1" x14ac:dyDescent="0.2">
      <c r="A4" s="265"/>
      <c r="B4" s="689" t="s">
        <v>398</v>
      </c>
      <c r="C4" s="690"/>
      <c r="D4" s="691"/>
      <c r="E4" s="691"/>
      <c r="F4" s="691"/>
      <c r="G4" s="691"/>
      <c r="H4" s="691"/>
      <c r="I4" s="691"/>
      <c r="J4" s="691"/>
      <c r="K4" s="692"/>
      <c r="L4" s="267"/>
    </row>
    <row r="5" spans="1:14" x14ac:dyDescent="0.2">
      <c r="A5" s="265"/>
      <c r="B5" s="266"/>
      <c r="C5" s="266"/>
      <c r="D5" s="266"/>
      <c r="E5" s="266"/>
      <c r="F5" s="266"/>
      <c r="G5" s="266"/>
      <c r="H5" s="266"/>
      <c r="I5" s="266"/>
      <c r="J5" s="266"/>
      <c r="K5" s="266"/>
      <c r="L5" s="267"/>
    </row>
    <row r="6" spans="1:14" ht="38.25" x14ac:dyDescent="0.2">
      <c r="A6" s="265"/>
      <c r="B6" s="653"/>
      <c r="C6" s="654" t="s">
        <v>399</v>
      </c>
      <c r="D6" s="654" t="s">
        <v>400</v>
      </c>
      <c r="E6" s="654" t="s">
        <v>401</v>
      </c>
      <c r="F6" s="654" t="s">
        <v>402</v>
      </c>
      <c r="G6" s="654" t="s">
        <v>403</v>
      </c>
      <c r="H6" s="654" t="s">
        <v>404</v>
      </c>
      <c r="I6" s="655" t="s">
        <v>405</v>
      </c>
      <c r="J6" s="655" t="s">
        <v>406</v>
      </c>
      <c r="K6" s="655" t="s">
        <v>407</v>
      </c>
      <c r="L6" s="267"/>
    </row>
    <row r="7" spans="1:14" x14ac:dyDescent="0.2">
      <c r="A7" s="265"/>
      <c r="B7" s="656">
        <v>1</v>
      </c>
      <c r="C7" s="657"/>
      <c r="D7" s="657"/>
      <c r="E7" s="658"/>
      <c r="F7" s="659"/>
      <c r="G7" s="660"/>
      <c r="H7" s="657"/>
      <c r="I7" s="731" t="str">
        <f>IF(AND(NOT(Calculations!J44),Calculations!K44),(G7*52)/F7,"")</f>
        <v/>
      </c>
      <c r="J7" s="661" t="str">
        <f>IF(AND(NOT(Calculations!J44),Calculations!K44),MIN((G7*52)/12,(F7*0.06)/12),"")</f>
        <v/>
      </c>
      <c r="K7" s="661" t="str">
        <f>IF(AND(NOT(Calculations!J44),Calculations!K44),J7*12,"")</f>
        <v/>
      </c>
      <c r="L7" s="267"/>
      <c r="N7" t="b">
        <f>Calculations!J44</f>
        <v>1</v>
      </c>
    </row>
    <row r="8" spans="1:14" x14ac:dyDescent="0.2">
      <c r="A8" s="265"/>
      <c r="B8" s="656">
        <v>2</v>
      </c>
      <c r="C8" s="657"/>
      <c r="D8" s="657"/>
      <c r="E8" s="658"/>
      <c r="F8" s="659"/>
      <c r="G8" s="660"/>
      <c r="H8" s="657"/>
      <c r="I8" s="731" t="str">
        <f>IF(AND(NOT(Calculations!J45),Calculations!K45),(G8*52)/F8,"")</f>
        <v/>
      </c>
      <c r="J8" s="661" t="str">
        <f>IF(AND(NOT(Calculations!J45),Calculations!K45),MIN((G8*52)/12,(F8*0.06)/12),"")</f>
        <v/>
      </c>
      <c r="K8" s="661" t="str">
        <f>IF(AND(NOT(Calculations!J45),Calculations!K45),J8*12,"")</f>
        <v/>
      </c>
      <c r="L8" s="267"/>
      <c r="N8" t="b">
        <f>Calculations!J45</f>
        <v>1</v>
      </c>
    </row>
    <row r="9" spans="1:14" x14ac:dyDescent="0.2">
      <c r="A9" s="265"/>
      <c r="B9" s="656">
        <v>3</v>
      </c>
      <c r="C9" s="657"/>
      <c r="D9" s="657"/>
      <c r="E9" s="658"/>
      <c r="F9" s="659"/>
      <c r="G9" s="660"/>
      <c r="H9" s="657"/>
      <c r="I9" s="731" t="str">
        <f>IF(AND(NOT(Calculations!J46),Calculations!K46),(G9*52)/F9,"")</f>
        <v/>
      </c>
      <c r="J9" s="661" t="str">
        <f>IF(AND(NOT(Calculations!J46),Calculations!K46),MIN((G9*52)/12,(F9*0.06)/12),"")</f>
        <v/>
      </c>
      <c r="K9" s="661" t="str">
        <f>IF(AND(NOT(Calculations!J46),Calculations!K46),J9*12,"")</f>
        <v/>
      </c>
      <c r="L9" s="267"/>
      <c r="N9" t="b">
        <f>Calculations!J46</f>
        <v>1</v>
      </c>
    </row>
    <row r="10" spans="1:14" x14ac:dyDescent="0.2">
      <c r="A10" s="265"/>
      <c r="B10" s="383">
        <v>4</v>
      </c>
      <c r="C10" s="657"/>
      <c r="D10" s="657"/>
      <c r="E10" s="658"/>
      <c r="F10" s="659"/>
      <c r="G10" s="660"/>
      <c r="H10" s="657"/>
      <c r="I10" s="731" t="str">
        <f>IF(AND(NOT(Calculations!J47),Calculations!K47),(G10*52)/F10,"")</f>
        <v/>
      </c>
      <c r="J10" s="661" t="str">
        <f>IF(AND(NOT(Calculations!J47),Calculations!K47),MIN((G10*52)/12,(F10*0.06)/12),"")</f>
        <v/>
      </c>
      <c r="K10" s="661" t="str">
        <f>IF(AND(NOT(Calculations!J47),Calculations!K47),J10*12,"")</f>
        <v/>
      </c>
      <c r="L10" s="267"/>
      <c r="N10" t="b">
        <f>Calculations!J47</f>
        <v>1</v>
      </c>
    </row>
    <row r="11" spans="1:14" x14ac:dyDescent="0.2">
      <c r="A11" s="265"/>
      <c r="B11" s="383">
        <v>5</v>
      </c>
      <c r="C11" s="658"/>
      <c r="D11" s="658"/>
      <c r="E11" s="658"/>
      <c r="F11" s="659"/>
      <c r="G11" s="660"/>
      <c r="H11" s="657"/>
      <c r="I11" s="731" t="str">
        <f>IF(AND(NOT(Calculations!J48),Calculations!K48),(G11*52)/F11,"")</f>
        <v/>
      </c>
      <c r="J11" s="661" t="str">
        <f>IF(AND(NOT(Calculations!J48),Calculations!K48),MIN((G11*52)/12,(F11*0.06)/12),"")</f>
        <v/>
      </c>
      <c r="K11" s="661" t="str">
        <f>IF(AND(NOT(Calculations!J48),Calculations!K48),J11*12,"")</f>
        <v/>
      </c>
      <c r="L11" s="267"/>
      <c r="N11" t="b">
        <f>Calculations!J48</f>
        <v>1</v>
      </c>
    </row>
    <row r="12" spans="1:14" x14ac:dyDescent="0.2">
      <c r="A12" s="265"/>
      <c r="B12" s="383">
        <v>6</v>
      </c>
      <c r="C12" s="658"/>
      <c r="D12" s="658"/>
      <c r="E12" s="658"/>
      <c r="F12" s="659"/>
      <c r="G12" s="660"/>
      <c r="H12" s="657"/>
      <c r="I12" s="731" t="str">
        <f>IF(AND(NOT(Calculations!J49),Calculations!K49),(G12*52)/F12,"")</f>
        <v/>
      </c>
      <c r="J12" s="661" t="str">
        <f>IF(AND(NOT(Calculations!J49),Calculations!K49),MIN((G12*52)/12,(F12*0.06)/12),"")</f>
        <v/>
      </c>
      <c r="K12" s="661" t="str">
        <f>IF(AND(NOT(Calculations!J49),Calculations!K49),J12*12,"")</f>
        <v/>
      </c>
      <c r="L12" s="267"/>
      <c r="N12" t="b">
        <f>Calculations!J49</f>
        <v>1</v>
      </c>
    </row>
    <row r="13" spans="1:14" x14ac:dyDescent="0.2">
      <c r="A13" s="265"/>
      <c r="B13" s="383">
        <v>7</v>
      </c>
      <c r="C13" s="658"/>
      <c r="D13" s="657"/>
      <c r="E13" s="658"/>
      <c r="F13" s="659"/>
      <c r="G13" s="660"/>
      <c r="H13" s="657"/>
      <c r="I13" s="731" t="str">
        <f>IF(AND(NOT(Calculations!J50),Calculations!K50),(G13*52)/F13,"")</f>
        <v/>
      </c>
      <c r="J13" s="661" t="str">
        <f>IF(AND(NOT(Calculations!J50),Calculations!K50),MIN((G13*52)/12,(F13*0.06)/12),"")</f>
        <v/>
      </c>
      <c r="K13" s="661" t="str">
        <f>IF(AND(NOT(Calculations!J50),Calculations!K50),J13*12,"")</f>
        <v/>
      </c>
      <c r="L13" s="267"/>
      <c r="N13" t="b">
        <f>Calculations!J50</f>
        <v>1</v>
      </c>
    </row>
    <row r="14" spans="1:14" x14ac:dyDescent="0.2">
      <c r="A14" s="265"/>
      <c r="B14" s="383">
        <v>8</v>
      </c>
      <c r="C14" s="658"/>
      <c r="D14" s="658"/>
      <c r="E14" s="658"/>
      <c r="F14" s="659"/>
      <c r="G14" s="660"/>
      <c r="H14" s="657"/>
      <c r="I14" s="731" t="str">
        <f>IF(AND(NOT(Calculations!J51),Calculations!K51),(G14*52)/F14,"")</f>
        <v/>
      </c>
      <c r="J14" s="661" t="str">
        <f>IF(AND(NOT(Calculations!J51),Calculations!K51),MIN((G14*52)/12,(F14*0.06)/12),"")</f>
        <v/>
      </c>
      <c r="K14" s="661" t="str">
        <f>IF(AND(NOT(Calculations!J51),Calculations!K51),J14*12,"")</f>
        <v/>
      </c>
      <c r="L14" s="267"/>
      <c r="N14" t="b">
        <f>Calculations!J51</f>
        <v>1</v>
      </c>
    </row>
    <row r="15" spans="1:14" x14ac:dyDescent="0.2">
      <c r="A15" s="265"/>
      <c r="B15" s="383">
        <v>9</v>
      </c>
      <c r="C15" s="658"/>
      <c r="D15" s="658"/>
      <c r="E15" s="658"/>
      <c r="F15" s="659"/>
      <c r="G15" s="660"/>
      <c r="H15" s="657"/>
      <c r="I15" s="731" t="str">
        <f>IF(AND(NOT(Calculations!J52),Calculations!K52),(G15*52)/F15,"")</f>
        <v/>
      </c>
      <c r="J15" s="661" t="str">
        <f>IF(AND(NOT(Calculations!J52),Calculations!K52),MIN((G15*52)/12,(F15*0.06)/12),"")</f>
        <v/>
      </c>
      <c r="K15" s="661" t="str">
        <f>IF(AND(NOT(Calculations!J52),Calculations!K52),J15*12,"")</f>
        <v/>
      </c>
      <c r="L15" s="267"/>
      <c r="N15" t="b">
        <f>Calculations!J52</f>
        <v>1</v>
      </c>
    </row>
    <row r="16" spans="1:14" x14ac:dyDescent="0.2">
      <c r="A16" s="265"/>
      <c r="B16" s="383">
        <v>10</v>
      </c>
      <c r="C16" s="658"/>
      <c r="D16" s="658"/>
      <c r="E16" s="658"/>
      <c r="F16" s="659"/>
      <c r="G16" s="660"/>
      <c r="H16" s="657"/>
      <c r="I16" s="731" t="str">
        <f>IF(AND(NOT(Calculations!J53),Calculations!K53),(G16*52)/F16,"")</f>
        <v/>
      </c>
      <c r="J16" s="661" t="str">
        <f>IF(AND(NOT(Calculations!J53),Calculations!K53),MIN((G16*52)/12,(F16*0.06)/12),"")</f>
        <v/>
      </c>
      <c r="K16" s="661" t="str">
        <f>IF(AND(NOT(Calculations!J53),Calculations!K53),J16*12,"")</f>
        <v/>
      </c>
      <c r="L16" s="267"/>
      <c r="N16" t="b">
        <f>Calculations!J53</f>
        <v>1</v>
      </c>
    </row>
    <row r="17" spans="1:14" x14ac:dyDescent="0.2">
      <c r="A17" s="265"/>
      <c r="B17" s="383">
        <v>11</v>
      </c>
      <c r="C17" s="658"/>
      <c r="D17" s="658"/>
      <c r="E17" s="658"/>
      <c r="F17" s="659"/>
      <c r="G17" s="660"/>
      <c r="H17" s="657"/>
      <c r="I17" s="732" t="str">
        <f>IF(AND(NOT(Calculations!J54),Calculations!K54),(G17*52)/F17,"")</f>
        <v/>
      </c>
      <c r="J17" s="661" t="str">
        <f>IF(AND(NOT(Calculations!J54),Calculations!K54),MIN((G17*52)/12,(F17*0.06)/12),"")</f>
        <v/>
      </c>
      <c r="K17" s="661" t="str">
        <f>IF(AND(NOT(Calculations!J54),Calculations!K54),J17*12,"")</f>
        <v/>
      </c>
      <c r="L17" s="267"/>
      <c r="N17" t="b">
        <f>Calculations!J54</f>
        <v>1</v>
      </c>
    </row>
    <row r="18" spans="1:14" x14ac:dyDescent="0.2">
      <c r="A18" s="265"/>
      <c r="B18" s="383">
        <v>12</v>
      </c>
      <c r="C18" s="658"/>
      <c r="D18" s="658"/>
      <c r="E18" s="658"/>
      <c r="F18" s="659"/>
      <c r="G18" s="660"/>
      <c r="H18" s="657"/>
      <c r="I18" s="732" t="str">
        <f>IF(AND(NOT(Calculations!J55),Calculations!K55),(G18*52)/F18,"")</f>
        <v/>
      </c>
      <c r="J18" s="661" t="str">
        <f>IF(AND(NOT(Calculations!J55),Calculations!K55),MIN((G18*52)/12,(F18*0.06)/12),"")</f>
        <v/>
      </c>
      <c r="K18" s="661" t="str">
        <f>IF(AND(NOT(Calculations!J55),Calculations!K55),J18*12,"")</f>
        <v/>
      </c>
      <c r="L18" s="267"/>
      <c r="N18" t="b">
        <f>Calculations!J55</f>
        <v>1</v>
      </c>
    </row>
    <row r="19" spans="1:14" x14ac:dyDescent="0.2">
      <c r="A19" s="265"/>
      <c r="B19" s="383">
        <v>13</v>
      </c>
      <c r="C19" s="658"/>
      <c r="D19" s="658"/>
      <c r="E19" s="658"/>
      <c r="F19" s="659"/>
      <c r="G19" s="660"/>
      <c r="H19" s="657"/>
      <c r="I19" s="732" t="str">
        <f>IF(AND(NOT(Calculations!J56),Calculations!K56),(G19*52)/F19,"")</f>
        <v/>
      </c>
      <c r="J19" s="661" t="str">
        <f>IF(AND(NOT(Calculations!J56),Calculations!K56),MIN((G19*52)/12,(F19*0.06)/12),"")</f>
        <v/>
      </c>
      <c r="K19" s="661" t="str">
        <f>IF(AND(NOT(Calculations!J56),Calculations!K56),J19*12,"")</f>
        <v/>
      </c>
      <c r="L19" s="267"/>
      <c r="N19" t="b">
        <f>Calculations!J56</f>
        <v>1</v>
      </c>
    </row>
    <row r="20" spans="1:14" x14ac:dyDescent="0.2">
      <c r="A20" s="265"/>
      <c r="B20" s="383">
        <v>14</v>
      </c>
      <c r="C20" s="658"/>
      <c r="D20" s="658"/>
      <c r="E20" s="658"/>
      <c r="F20" s="659"/>
      <c r="G20" s="660"/>
      <c r="H20" s="657"/>
      <c r="I20" s="732" t="str">
        <f>IF(AND(NOT(Calculations!J57),Calculations!K57),(G20*52)/F20,"")</f>
        <v/>
      </c>
      <c r="J20" s="661" t="str">
        <f>IF(AND(NOT(Calculations!J57),Calculations!K57),MIN((G20*52)/12,(F20*0.06)/12),"")</f>
        <v/>
      </c>
      <c r="K20" s="661" t="str">
        <f>IF(AND(NOT(Calculations!J57),Calculations!K57),J20*12,"")</f>
        <v/>
      </c>
      <c r="L20" s="267"/>
      <c r="N20" t="b">
        <f>Calculations!J57</f>
        <v>1</v>
      </c>
    </row>
    <row r="21" spans="1:14" x14ac:dyDescent="0.2">
      <c r="A21" s="265"/>
      <c r="B21" s="383">
        <v>15</v>
      </c>
      <c r="C21" s="658"/>
      <c r="D21" s="658"/>
      <c r="E21" s="658"/>
      <c r="F21" s="659"/>
      <c r="G21" s="660"/>
      <c r="H21" s="657"/>
      <c r="I21" s="732" t="str">
        <f>IF(AND(NOT(Calculations!J58),Calculations!K58),(G21*52)/F21,"")</f>
        <v/>
      </c>
      <c r="J21" s="661" t="str">
        <f>IF(AND(NOT(Calculations!J58),Calculations!K58),MIN((G21*52)/12,(F21*0.06)/12),"")</f>
        <v/>
      </c>
      <c r="K21" s="661" t="str">
        <f>IF(AND(NOT(Calculations!J58),Calculations!K58),J21*12,"")</f>
        <v/>
      </c>
      <c r="L21" s="267"/>
      <c r="N21" t="b">
        <f>Calculations!J58</f>
        <v>1</v>
      </c>
    </row>
    <row r="22" spans="1:14" x14ac:dyDescent="0.2">
      <c r="A22" s="265"/>
      <c r="B22" s="383">
        <v>16</v>
      </c>
      <c r="C22" s="658"/>
      <c r="D22" s="658"/>
      <c r="E22" s="658"/>
      <c r="F22" s="659"/>
      <c r="G22" s="660"/>
      <c r="H22" s="657"/>
      <c r="I22" s="732" t="str">
        <f>IF(AND(NOT(Calculations!J59),Calculations!K59),(G22*52)/F22,"")</f>
        <v/>
      </c>
      <c r="J22" s="661" t="str">
        <f>IF(AND(NOT(Calculations!J59),Calculations!K59),MIN((G22*52)/12,(F22*0.06)/12),"")</f>
        <v/>
      </c>
      <c r="K22" s="661" t="str">
        <f>IF(AND(NOT(Calculations!J59),Calculations!K59),J22*12,"")</f>
        <v/>
      </c>
      <c r="L22" s="267"/>
      <c r="N22" t="b">
        <f>Calculations!J59</f>
        <v>1</v>
      </c>
    </row>
    <row r="23" spans="1:14" x14ac:dyDescent="0.2">
      <c r="A23" s="265"/>
      <c r="B23" s="383">
        <v>17</v>
      </c>
      <c r="C23" s="658"/>
      <c r="D23" s="658"/>
      <c r="E23" s="658"/>
      <c r="F23" s="659"/>
      <c r="G23" s="660"/>
      <c r="H23" s="657"/>
      <c r="I23" s="732" t="str">
        <f>IF(AND(NOT(Calculations!J60),Calculations!K60),(G23*52)/F23,"")</f>
        <v/>
      </c>
      <c r="J23" s="661" t="str">
        <f>IF(AND(NOT(Calculations!J60),Calculations!K60),MIN((G23*52)/12,(F23*0.06)/12),"")</f>
        <v/>
      </c>
      <c r="K23" s="661" t="str">
        <f>IF(AND(NOT(Calculations!J60),Calculations!K60),J23*12,"")</f>
        <v/>
      </c>
      <c r="L23" s="267"/>
      <c r="N23" t="b">
        <f>Calculations!J60</f>
        <v>1</v>
      </c>
    </row>
    <row r="24" spans="1:14" x14ac:dyDescent="0.2">
      <c r="A24" s="265"/>
      <c r="B24" s="383">
        <v>18</v>
      </c>
      <c r="C24" s="658"/>
      <c r="D24" s="658"/>
      <c r="E24" s="658"/>
      <c r="F24" s="659"/>
      <c r="G24" s="660"/>
      <c r="H24" s="657"/>
      <c r="I24" s="732" t="str">
        <f>IF(AND(NOT(Calculations!J61),Calculations!K61),(G24*52)/F24,"")</f>
        <v/>
      </c>
      <c r="J24" s="661" t="str">
        <f>IF(AND(NOT(Calculations!J61),Calculations!K61),MIN((G24*52)/12,(F24*0.06)/12),"")</f>
        <v/>
      </c>
      <c r="K24" s="661" t="str">
        <f>IF(AND(NOT(Calculations!J61),Calculations!K61),J24*12,"")</f>
        <v/>
      </c>
      <c r="L24" s="267"/>
      <c r="N24" t="b">
        <f>Calculations!J61</f>
        <v>1</v>
      </c>
    </row>
    <row r="25" spans="1:14" x14ac:dyDescent="0.2">
      <c r="A25" s="265"/>
      <c r="B25" s="383">
        <v>19</v>
      </c>
      <c r="C25" s="658"/>
      <c r="D25" s="658"/>
      <c r="E25" s="658"/>
      <c r="F25" s="659"/>
      <c r="G25" s="660"/>
      <c r="H25" s="657"/>
      <c r="I25" s="732" t="str">
        <f>IF(AND(NOT(Calculations!J62),Calculations!K62),(G25*52)/F25,"")</f>
        <v/>
      </c>
      <c r="J25" s="661" t="str">
        <f>IF(AND(NOT(Calculations!J62),Calculations!K62),MIN((G25*52)/12,(F25*0.06)/12),"")</f>
        <v/>
      </c>
      <c r="K25" s="661" t="str">
        <f>IF(AND(NOT(Calculations!J62),Calculations!K62),J25*12,"")</f>
        <v/>
      </c>
      <c r="L25" s="267"/>
      <c r="N25" t="b">
        <f>Calculations!J62</f>
        <v>1</v>
      </c>
    </row>
    <row r="26" spans="1:14" x14ac:dyDescent="0.2">
      <c r="A26" s="265"/>
      <c r="B26" s="383">
        <v>20</v>
      </c>
      <c r="C26" s="658"/>
      <c r="D26" s="658"/>
      <c r="E26" s="658"/>
      <c r="F26" s="659"/>
      <c r="G26" s="660"/>
      <c r="H26" s="657"/>
      <c r="I26" s="732" t="str">
        <f>IF(AND(NOT(Calculations!J63),Calculations!K63),(G26*52)/F26,"")</f>
        <v/>
      </c>
      <c r="J26" s="661" t="str">
        <f>IF(AND(NOT(Calculations!J63),Calculations!K63),MIN((G26*52)/12,(F26*0.06)/12),"")</f>
        <v/>
      </c>
      <c r="K26" s="661" t="str">
        <f>IF(AND(NOT(Calculations!J63),Calculations!K63),J26*12,"")</f>
        <v/>
      </c>
      <c r="L26" s="267"/>
      <c r="N26" t="b">
        <f>Calculations!J63</f>
        <v>1</v>
      </c>
    </row>
    <row r="27" spans="1:14" ht="25.5" customHeight="1" x14ac:dyDescent="0.2">
      <c r="A27" s="265"/>
      <c r="B27" s="266"/>
      <c r="C27" s="266"/>
      <c r="D27" s="266"/>
      <c r="E27" s="266"/>
      <c r="F27" s="266"/>
      <c r="G27" s="266"/>
      <c r="H27" s="266"/>
      <c r="I27" s="266"/>
      <c r="J27" s="266"/>
      <c r="K27" s="266"/>
      <c r="L27" s="267"/>
    </row>
    <row r="28" spans="1:14" x14ac:dyDescent="0.2">
      <c r="A28" s="265"/>
      <c r="B28" s="266"/>
      <c r="C28" s="266"/>
      <c r="D28" s="266"/>
      <c r="E28" s="266"/>
      <c r="F28" s="1003" t="s">
        <v>408</v>
      </c>
      <c r="G28" s="1004"/>
      <c r="H28" s="1004"/>
      <c r="I28" s="1005"/>
      <c r="J28" s="687"/>
      <c r="K28" s="688"/>
      <c r="L28" s="267"/>
    </row>
    <row r="29" spans="1:14" ht="25.5" x14ac:dyDescent="0.2">
      <c r="A29" s="265"/>
      <c r="B29" s="266"/>
      <c r="C29" s="655" t="s">
        <v>407</v>
      </c>
      <c r="D29" s="662" t="s">
        <v>428</v>
      </c>
      <c r="E29" s="663" t="s">
        <v>89</v>
      </c>
      <c r="F29" s="664" t="s">
        <v>85</v>
      </c>
      <c r="G29" s="664" t="s">
        <v>86</v>
      </c>
      <c r="H29" s="664" t="s">
        <v>87</v>
      </c>
      <c r="I29" s="665" t="s">
        <v>88</v>
      </c>
      <c r="J29" s="683"/>
      <c r="K29" s="684"/>
      <c r="L29" s="267"/>
    </row>
    <row r="30" spans="1:14" x14ac:dyDescent="0.2">
      <c r="A30" s="265"/>
      <c r="B30" s="383">
        <v>1</v>
      </c>
      <c r="C30" s="666" t="str">
        <f>IF(AND(NOT(Calculations!J44),Calculations!K44),K7,"")</f>
        <v/>
      </c>
      <c r="D30" s="667"/>
      <c r="E30" s="668" t="str">
        <f>IF(AND(NOT(Calculations!J44),Calculations!K44),C30*D30,"")</f>
        <v/>
      </c>
      <c r="F30" s="669"/>
      <c r="G30" s="669"/>
      <c r="H30" s="669"/>
      <c r="I30" s="669"/>
      <c r="J30" s="685"/>
      <c r="K30" s="686"/>
      <c r="L30" s="267"/>
      <c r="N30" s="670">
        <f>SUM(F30:K30)</f>
        <v>0</v>
      </c>
    </row>
    <row r="31" spans="1:14" x14ac:dyDescent="0.2">
      <c r="A31" s="265"/>
      <c r="B31" s="383">
        <v>2</v>
      </c>
      <c r="C31" s="666" t="str">
        <f>IF(AND(NOT(Calculations!J45),Calculations!K45),K8,"")</f>
        <v/>
      </c>
      <c r="D31" s="667"/>
      <c r="E31" s="668" t="str">
        <f>IF(AND(NOT(Calculations!J45),Calculations!K45),C31*D31,"")</f>
        <v/>
      </c>
      <c r="F31" s="669"/>
      <c r="G31" s="669"/>
      <c r="H31" s="669"/>
      <c r="I31" s="669"/>
      <c r="J31" s="685"/>
      <c r="K31" s="686"/>
      <c r="L31" s="267"/>
      <c r="N31" s="670">
        <f t="shared" ref="N31:N49" si="0">SUM(F31:K31)</f>
        <v>0</v>
      </c>
    </row>
    <row r="32" spans="1:14" x14ac:dyDescent="0.2">
      <c r="A32" s="265"/>
      <c r="B32" s="383">
        <v>3</v>
      </c>
      <c r="C32" s="666" t="str">
        <f>IF(AND(NOT(Calculations!J46),Calculations!K46),K9,"")</f>
        <v/>
      </c>
      <c r="D32" s="671"/>
      <c r="E32" s="668" t="str">
        <f>IF(AND(NOT(Calculations!J46),Calculations!K46),C32*D32,"")</f>
        <v/>
      </c>
      <c r="F32" s="669"/>
      <c r="G32" s="669"/>
      <c r="H32" s="669"/>
      <c r="I32" s="669"/>
      <c r="J32" s="685"/>
      <c r="K32" s="686"/>
      <c r="L32" s="267"/>
      <c r="N32" s="670">
        <f t="shared" si="0"/>
        <v>0</v>
      </c>
    </row>
    <row r="33" spans="1:14" x14ac:dyDescent="0.2">
      <c r="A33" s="265"/>
      <c r="B33" s="383">
        <v>4</v>
      </c>
      <c r="C33" s="666" t="str">
        <f>IF(AND(NOT(Calculations!J47),Calculations!K47),K10,"")</f>
        <v/>
      </c>
      <c r="D33" s="671"/>
      <c r="E33" s="668" t="str">
        <f>IF(AND(NOT(Calculations!J47),Calculations!K47),C33*D33,"")</f>
        <v/>
      </c>
      <c r="F33" s="669"/>
      <c r="G33" s="669"/>
      <c r="H33" s="669"/>
      <c r="I33" s="669"/>
      <c r="J33" s="685"/>
      <c r="K33" s="686"/>
      <c r="L33" s="267"/>
      <c r="N33" s="670">
        <f t="shared" si="0"/>
        <v>0</v>
      </c>
    </row>
    <row r="34" spans="1:14" x14ac:dyDescent="0.2">
      <c r="A34" s="265"/>
      <c r="B34" s="383">
        <v>5</v>
      </c>
      <c r="C34" s="666" t="str">
        <f>IF(AND(NOT(Calculations!J48),Calculations!K48),K11,"")</f>
        <v/>
      </c>
      <c r="D34" s="735"/>
      <c r="E34" s="668" t="str">
        <f>IF(AND(NOT(Calculations!J48),Calculations!K48),C34*D34,"")</f>
        <v/>
      </c>
      <c r="F34" s="669"/>
      <c r="G34" s="669"/>
      <c r="H34" s="669"/>
      <c r="I34" s="669"/>
      <c r="J34" s="685"/>
      <c r="K34" s="686"/>
      <c r="L34" s="267"/>
      <c r="N34" s="670">
        <f t="shared" si="0"/>
        <v>0</v>
      </c>
    </row>
    <row r="35" spans="1:14" x14ac:dyDescent="0.2">
      <c r="A35" s="265"/>
      <c r="B35" s="383">
        <v>6</v>
      </c>
      <c r="C35" s="666" t="str">
        <f>IF(AND(NOT(Calculations!J49),Calculations!K49),K12,"")</f>
        <v/>
      </c>
      <c r="D35" s="735"/>
      <c r="E35" s="668" t="str">
        <f>IF(AND(NOT(Calculations!J49),Calculations!K49),C35*D35,"")</f>
        <v/>
      </c>
      <c r="F35" s="672"/>
      <c r="G35" s="669"/>
      <c r="H35" s="669"/>
      <c r="I35" s="669"/>
      <c r="J35" s="685"/>
      <c r="K35" s="686"/>
      <c r="L35" s="267"/>
      <c r="N35" s="670">
        <f t="shared" si="0"/>
        <v>0</v>
      </c>
    </row>
    <row r="36" spans="1:14" x14ac:dyDescent="0.2">
      <c r="A36" s="265"/>
      <c r="B36" s="383">
        <v>7</v>
      </c>
      <c r="C36" s="666" t="str">
        <f>IF(AND(NOT(Calculations!J50),Calculations!K50),K13,"")</f>
        <v/>
      </c>
      <c r="D36" s="735"/>
      <c r="E36" s="668" t="str">
        <f>IF(AND(NOT(Calculations!J50),Calculations!K50),C36*D36,"")</f>
        <v/>
      </c>
      <c r="F36" s="669"/>
      <c r="G36" s="669"/>
      <c r="H36" s="669"/>
      <c r="I36" s="669"/>
      <c r="J36" s="685"/>
      <c r="K36" s="686"/>
      <c r="L36" s="267"/>
      <c r="N36" s="670">
        <f t="shared" si="0"/>
        <v>0</v>
      </c>
    </row>
    <row r="37" spans="1:14" x14ac:dyDescent="0.2">
      <c r="A37" s="265"/>
      <c r="B37" s="383">
        <v>8</v>
      </c>
      <c r="C37" s="666" t="str">
        <f>IF(AND(NOT(Calculations!J51),Calculations!K51),K14,"")</f>
        <v/>
      </c>
      <c r="D37" s="735"/>
      <c r="E37" s="668" t="str">
        <f>IF(AND(NOT(Calculations!J51),Calculations!K51),C37*D37,"")</f>
        <v/>
      </c>
      <c r="F37" s="669"/>
      <c r="G37" s="669"/>
      <c r="H37" s="669"/>
      <c r="I37" s="669"/>
      <c r="J37" s="685"/>
      <c r="K37" s="686"/>
      <c r="L37" s="267"/>
      <c r="N37" s="670">
        <f t="shared" si="0"/>
        <v>0</v>
      </c>
    </row>
    <row r="38" spans="1:14" x14ac:dyDescent="0.2">
      <c r="A38" s="265"/>
      <c r="B38" s="383">
        <v>9</v>
      </c>
      <c r="C38" s="666" t="str">
        <f>IF(AND(NOT(Calculations!J52),Calculations!K52),K15,"")</f>
        <v/>
      </c>
      <c r="D38" s="735"/>
      <c r="E38" s="668" t="str">
        <f>IF(AND(NOT(Calculations!J52),Calculations!K52),C38*D38,"")</f>
        <v/>
      </c>
      <c r="F38" s="669"/>
      <c r="G38" s="669"/>
      <c r="H38" s="669"/>
      <c r="I38" s="669"/>
      <c r="J38" s="685"/>
      <c r="K38" s="686"/>
      <c r="L38" s="267"/>
      <c r="N38" s="670">
        <f t="shared" si="0"/>
        <v>0</v>
      </c>
    </row>
    <row r="39" spans="1:14" x14ac:dyDescent="0.2">
      <c r="A39" s="265"/>
      <c r="B39" s="383">
        <v>10</v>
      </c>
      <c r="C39" s="666" t="str">
        <f>IF(AND(NOT(Calculations!J53),Calculations!K53),K16,"")</f>
        <v/>
      </c>
      <c r="D39" s="735"/>
      <c r="E39" s="668" t="str">
        <f>IF(AND(NOT(Calculations!J53),Calculations!K53),C39*D39,"")</f>
        <v/>
      </c>
      <c r="F39" s="669"/>
      <c r="G39" s="669"/>
      <c r="H39" s="669"/>
      <c r="I39" s="669"/>
      <c r="J39" s="685"/>
      <c r="K39" s="686"/>
      <c r="L39" s="267"/>
      <c r="N39" s="670">
        <f t="shared" si="0"/>
        <v>0</v>
      </c>
    </row>
    <row r="40" spans="1:14" x14ac:dyDescent="0.2">
      <c r="A40" s="265"/>
      <c r="B40" s="383">
        <v>11</v>
      </c>
      <c r="C40" s="734" t="str">
        <f>IF(AND(NOT(Calculations!J54),Calculations!K54),K17,"")</f>
        <v/>
      </c>
      <c r="D40" s="735"/>
      <c r="E40" s="733" t="str">
        <f>IF(AND(NOT(Calculations!J54),Calculations!K54),C40*D40,"")</f>
        <v/>
      </c>
      <c r="F40" s="669"/>
      <c r="G40" s="669"/>
      <c r="H40" s="669"/>
      <c r="I40" s="669"/>
      <c r="J40" s="686"/>
      <c r="K40" s="686"/>
      <c r="L40" s="267"/>
      <c r="N40" s="670">
        <f t="shared" si="0"/>
        <v>0</v>
      </c>
    </row>
    <row r="41" spans="1:14" x14ac:dyDescent="0.2">
      <c r="A41" s="265"/>
      <c r="B41" s="383">
        <v>12</v>
      </c>
      <c r="C41" s="734" t="str">
        <f>IF(AND(NOT(Calculations!J55),Calculations!K55),K18,"")</f>
        <v/>
      </c>
      <c r="D41" s="735"/>
      <c r="E41" s="733" t="str">
        <f>IF(AND(NOT(Calculations!J55),Calculations!K55),C41*D41,"")</f>
        <v/>
      </c>
      <c r="F41" s="669"/>
      <c r="G41" s="669"/>
      <c r="H41" s="669"/>
      <c r="I41" s="669"/>
      <c r="J41" s="686"/>
      <c r="K41" s="686"/>
      <c r="L41" s="267"/>
      <c r="N41" s="670">
        <f t="shared" si="0"/>
        <v>0</v>
      </c>
    </row>
    <row r="42" spans="1:14" x14ac:dyDescent="0.2">
      <c r="A42" s="265"/>
      <c r="B42" s="383">
        <v>13</v>
      </c>
      <c r="C42" s="734" t="str">
        <f>IF(AND(NOT(Calculations!J56),Calculations!K56),K19,"")</f>
        <v/>
      </c>
      <c r="D42" s="735"/>
      <c r="E42" s="733" t="str">
        <f>IF(AND(NOT(Calculations!J56),Calculations!K56),C42*D42,"")</f>
        <v/>
      </c>
      <c r="F42" s="669"/>
      <c r="G42" s="669"/>
      <c r="H42" s="669"/>
      <c r="I42" s="669"/>
      <c r="J42" s="686"/>
      <c r="K42" s="686"/>
      <c r="L42" s="267"/>
      <c r="N42" s="670">
        <f t="shared" si="0"/>
        <v>0</v>
      </c>
    </row>
    <row r="43" spans="1:14" x14ac:dyDescent="0.2">
      <c r="A43" s="265"/>
      <c r="B43" s="383">
        <v>14</v>
      </c>
      <c r="C43" s="734" t="str">
        <f>IF(AND(NOT(Calculations!J57),Calculations!K57),K20,"")</f>
        <v/>
      </c>
      <c r="D43" s="735"/>
      <c r="E43" s="733" t="str">
        <f>IF(AND(NOT(Calculations!J57),Calculations!K57),C43*D43,"")</f>
        <v/>
      </c>
      <c r="F43" s="669"/>
      <c r="G43" s="669"/>
      <c r="H43" s="669"/>
      <c r="I43" s="669"/>
      <c r="J43" s="686"/>
      <c r="K43" s="686"/>
      <c r="L43" s="267"/>
      <c r="N43" s="670">
        <f t="shared" si="0"/>
        <v>0</v>
      </c>
    </row>
    <row r="44" spans="1:14" x14ac:dyDescent="0.2">
      <c r="A44" s="265"/>
      <c r="B44" s="383">
        <v>15</v>
      </c>
      <c r="C44" s="734" t="str">
        <f>IF(AND(NOT(Calculations!J58),Calculations!K58),K21,"")</f>
        <v/>
      </c>
      <c r="D44" s="735"/>
      <c r="E44" s="733" t="str">
        <f>IF(AND(NOT(Calculations!J58),Calculations!K58),C44*D44,"")</f>
        <v/>
      </c>
      <c r="F44" s="669"/>
      <c r="G44" s="669"/>
      <c r="H44" s="669"/>
      <c r="I44" s="669"/>
      <c r="J44" s="686"/>
      <c r="K44" s="686"/>
      <c r="L44" s="267"/>
      <c r="N44" s="670">
        <f t="shared" si="0"/>
        <v>0</v>
      </c>
    </row>
    <row r="45" spans="1:14" x14ac:dyDescent="0.2">
      <c r="A45" s="265"/>
      <c r="B45" s="383">
        <v>16</v>
      </c>
      <c r="C45" s="734" t="str">
        <f>IF(AND(NOT(Calculations!J59),Calculations!K59),K22,"")</f>
        <v/>
      </c>
      <c r="D45" s="735"/>
      <c r="E45" s="733" t="str">
        <f>IF(AND(NOT(Calculations!J59),Calculations!K59),C45*D45,"")</f>
        <v/>
      </c>
      <c r="F45" s="669"/>
      <c r="G45" s="669"/>
      <c r="H45" s="669"/>
      <c r="I45" s="669"/>
      <c r="J45" s="686"/>
      <c r="K45" s="686"/>
      <c r="L45" s="267"/>
      <c r="N45" s="670">
        <f t="shared" si="0"/>
        <v>0</v>
      </c>
    </row>
    <row r="46" spans="1:14" x14ac:dyDescent="0.2">
      <c r="A46" s="265"/>
      <c r="B46" s="383">
        <v>17</v>
      </c>
      <c r="C46" s="734" t="str">
        <f>IF(AND(NOT(Calculations!J60),Calculations!K60),K23,"")</f>
        <v/>
      </c>
      <c r="D46" s="735"/>
      <c r="E46" s="733" t="str">
        <f>IF(AND(NOT(Calculations!J60),Calculations!K60),C46*D46,"")</f>
        <v/>
      </c>
      <c r="F46" s="669"/>
      <c r="G46" s="669"/>
      <c r="H46" s="669"/>
      <c r="I46" s="669"/>
      <c r="J46" s="686"/>
      <c r="K46" s="686"/>
      <c r="L46" s="267"/>
      <c r="N46" s="670">
        <f t="shared" si="0"/>
        <v>0</v>
      </c>
    </row>
    <row r="47" spans="1:14" x14ac:dyDescent="0.2">
      <c r="A47" s="265"/>
      <c r="B47" s="383">
        <v>18</v>
      </c>
      <c r="C47" s="734" t="str">
        <f>IF(AND(NOT(Calculations!J61),Calculations!K61),K24,"")</f>
        <v/>
      </c>
      <c r="D47" s="735"/>
      <c r="E47" s="733" t="str">
        <f>IF(AND(NOT(Calculations!J61),Calculations!K61),C47*D47,"")</f>
        <v/>
      </c>
      <c r="F47" s="669"/>
      <c r="G47" s="669"/>
      <c r="H47" s="669"/>
      <c r="I47" s="669"/>
      <c r="J47" s="686"/>
      <c r="K47" s="686"/>
      <c r="L47" s="267"/>
      <c r="N47" s="670">
        <f t="shared" si="0"/>
        <v>0</v>
      </c>
    </row>
    <row r="48" spans="1:14" x14ac:dyDescent="0.2">
      <c r="A48" s="265"/>
      <c r="B48" s="383">
        <v>19</v>
      </c>
      <c r="C48" s="734" t="str">
        <f>IF(AND(NOT(Calculations!J62),Calculations!K62),K25,"")</f>
        <v/>
      </c>
      <c r="D48" s="735"/>
      <c r="E48" s="733" t="str">
        <f>IF(AND(NOT(Calculations!J62),Calculations!K62),C48*D48,"")</f>
        <v/>
      </c>
      <c r="F48" s="669"/>
      <c r="G48" s="669"/>
      <c r="H48" s="669"/>
      <c r="I48" s="669"/>
      <c r="J48" s="686"/>
      <c r="K48" s="686"/>
      <c r="L48" s="267"/>
      <c r="N48" s="670">
        <f t="shared" si="0"/>
        <v>0</v>
      </c>
    </row>
    <row r="49" spans="1:14" x14ac:dyDescent="0.2">
      <c r="A49" s="265"/>
      <c r="B49" s="383">
        <v>20</v>
      </c>
      <c r="C49" s="734" t="str">
        <f>IF(AND(NOT(Calculations!J63),Calculations!K63),K26,"")</f>
        <v/>
      </c>
      <c r="D49" s="735"/>
      <c r="E49" s="733" t="str">
        <f>IF(AND(NOT(Calculations!J63),Calculations!K63),C49*D49,"")</f>
        <v/>
      </c>
      <c r="F49" s="669"/>
      <c r="G49" s="669"/>
      <c r="H49" s="669"/>
      <c r="I49" s="669"/>
      <c r="J49" s="686"/>
      <c r="K49" s="686"/>
      <c r="L49" s="267"/>
      <c r="N49" s="670">
        <f t="shared" si="0"/>
        <v>0</v>
      </c>
    </row>
    <row r="50" spans="1:14" ht="25.5" customHeight="1" x14ac:dyDescent="0.2">
      <c r="A50" s="265"/>
      <c r="B50" s="266"/>
      <c r="C50" s="266"/>
      <c r="D50" s="673"/>
      <c r="E50" s="266"/>
      <c r="F50" s="266"/>
      <c r="G50" s="266"/>
      <c r="H50" s="266"/>
      <c r="I50" s="266"/>
      <c r="J50" s="266"/>
      <c r="K50" s="266"/>
      <c r="L50" s="267"/>
    </row>
    <row r="51" spans="1:14" ht="24" customHeight="1" x14ac:dyDescent="0.2">
      <c r="A51" s="265"/>
      <c r="B51" s="689" t="s">
        <v>409</v>
      </c>
      <c r="C51" s="690"/>
      <c r="D51" s="691"/>
      <c r="E51" s="691"/>
      <c r="F51" s="691"/>
      <c r="G51" s="691"/>
      <c r="H51" s="691"/>
      <c r="I51" s="691"/>
      <c r="J51" s="691"/>
      <c r="K51" s="692"/>
      <c r="L51" s="267"/>
    </row>
    <row r="52" spans="1:14" x14ac:dyDescent="0.2">
      <c r="A52" s="265"/>
      <c r="B52" s="266"/>
      <c r="C52" s="266"/>
      <c r="D52" s="673"/>
      <c r="E52" s="266"/>
      <c r="F52" s="266"/>
      <c r="G52" s="266"/>
      <c r="H52" s="266"/>
      <c r="I52" s="266"/>
      <c r="J52" s="266"/>
      <c r="K52" s="266"/>
      <c r="L52" s="267"/>
    </row>
    <row r="53" spans="1:14" ht="25.5" customHeight="1" x14ac:dyDescent="0.2">
      <c r="A53" s="265"/>
      <c r="B53" s="266"/>
      <c r="C53" s="266"/>
      <c r="D53" s="266"/>
      <c r="E53" s="266"/>
      <c r="F53" s="674" t="s">
        <v>85</v>
      </c>
      <c r="G53" s="674" t="s">
        <v>86</v>
      </c>
      <c r="H53" s="674" t="s">
        <v>87</v>
      </c>
      <c r="I53" s="674" t="s">
        <v>88</v>
      </c>
      <c r="J53" s="680"/>
      <c r="K53" s="653"/>
      <c r="L53" s="267"/>
    </row>
    <row r="54" spans="1:14" x14ac:dyDescent="0.2">
      <c r="A54" s="265"/>
      <c r="B54" s="266"/>
      <c r="C54" s="266"/>
      <c r="D54" s="266"/>
      <c r="E54" s="521" t="s">
        <v>410</v>
      </c>
      <c r="F54" s="661">
        <f t="array" ref="F54">SUM(IF($H$7:$H$26="Existing",($E$30:$E$49)*(F30:F49),0))</f>
        <v>0</v>
      </c>
      <c r="G54" s="661">
        <f t="array" ref="G54">SUM(IF($H$7:$H$26="Existing",($E$30:$E$49)*(G30:G49),0))</f>
        <v>0</v>
      </c>
      <c r="H54" s="661">
        <f t="array" ref="H54">SUM(IF($H$7:$H$26="Existing",($E$30:$E$49)*(H30:H49),0))</f>
        <v>0</v>
      </c>
      <c r="I54" s="661">
        <f t="array" ref="I54">SUM(IF($H$7:$H$26="Existing",($E$30:$E$49)*(I30:I49),0))</f>
        <v>0</v>
      </c>
      <c r="J54" s="681"/>
      <c r="K54" s="682"/>
      <c r="L54" s="267"/>
    </row>
    <row r="55" spans="1:14" x14ac:dyDescent="0.2">
      <c r="A55" s="265"/>
      <c r="B55" s="266"/>
      <c r="C55" s="266"/>
      <c r="D55" s="266"/>
      <c r="E55" s="521" t="s">
        <v>411</v>
      </c>
      <c r="F55" s="661">
        <f t="array" ref="F55">SUM(IF($H$7:$H$26="Proposed",($E$30:$E$49)*(F30:F49),0))</f>
        <v>0</v>
      </c>
      <c r="G55" s="661">
        <f t="array" ref="G55">SUM(IF($H$7:$H$26="Proposed",($E$30:$E$49)*(G30:G49),0))</f>
        <v>0</v>
      </c>
      <c r="H55" s="661">
        <f t="array" ref="H55">SUM(IF($H$7:$H$26="Proposed",($E$30:$E$49)*(H30:H49),0))</f>
        <v>0</v>
      </c>
      <c r="I55" s="661">
        <f t="array" ref="I55">SUM(IF($H$7:$H$26="Proposed",($E$30:$E$49)*(I30:I49),0))</f>
        <v>0</v>
      </c>
      <c r="J55" s="681"/>
      <c r="K55" s="682"/>
      <c r="L55" s="267"/>
    </row>
    <row r="56" spans="1:14" x14ac:dyDescent="0.2">
      <c r="A56" s="265"/>
      <c r="B56" s="266"/>
      <c r="C56" s="266"/>
      <c r="D56" s="266"/>
      <c r="E56" s="266"/>
      <c r="F56" s="266"/>
      <c r="G56" s="266"/>
      <c r="H56" s="675"/>
      <c r="I56" s="675"/>
      <c r="J56" s="676"/>
      <c r="K56" s="266"/>
      <c r="L56" s="267"/>
    </row>
    <row r="57" spans="1:14" x14ac:dyDescent="0.2">
      <c r="A57" s="265"/>
      <c r="B57" s="266"/>
      <c r="C57" s="266"/>
      <c r="D57" s="266"/>
      <c r="E57" s="266"/>
      <c r="F57" s="266"/>
      <c r="G57" s="266"/>
      <c r="H57" s="675"/>
      <c r="I57" s="266"/>
      <c r="J57" s="266"/>
      <c r="K57" s="266"/>
      <c r="L57" s="267"/>
    </row>
    <row r="58" spans="1:14" x14ac:dyDescent="0.2">
      <c r="A58" s="677"/>
      <c r="B58" s="678"/>
      <c r="C58" s="678"/>
      <c r="D58" s="678"/>
      <c r="E58" s="678"/>
      <c r="F58" s="678"/>
      <c r="G58" s="678"/>
      <c r="H58" s="679"/>
      <c r="I58" s="678"/>
      <c r="J58" s="678"/>
      <c r="K58" s="679" t="s">
        <v>129</v>
      </c>
      <c r="L58" s="267"/>
    </row>
    <row r="59" spans="1:14" x14ac:dyDescent="0.2">
      <c r="A59" s="274"/>
      <c r="B59" s="275"/>
      <c r="C59" s="275"/>
      <c r="D59" s="275"/>
      <c r="E59" s="275"/>
      <c r="F59" s="275"/>
      <c r="G59" s="275"/>
      <c r="H59" s="275"/>
      <c r="I59" s="275"/>
      <c r="J59" s="275"/>
      <c r="K59" s="275"/>
      <c r="L59" s="276"/>
    </row>
  </sheetData>
  <sheetProtection algorithmName="SHA-512" hashValue="0FdSWedycMGp9z+SZdcyirC0S3y09iJ6tDNxgfi2iHV2aQ4okF764twJ7cr8Qfmc78OGSgw85OHhifgvJsOr6g==" saltValue="d2ADLGYTnnefDjcXYpPl5w==" spinCount="100000" sheet="1" objects="1" scenarios="1"/>
  <mergeCells count="1">
    <mergeCell ref="F28:I28"/>
  </mergeCells>
  <conditionalFormatting sqref="K7:K26">
    <cfRule type="expression" dxfId="72" priority="4" stopIfTrue="1">
      <formula>$K7=($F7*0.08)</formula>
    </cfRule>
  </conditionalFormatting>
  <conditionalFormatting sqref="D30:D49">
    <cfRule type="expression" dxfId="71" priority="3">
      <formula>AND(D30="",C30&lt;&gt;"")</formula>
    </cfRule>
  </conditionalFormatting>
  <conditionalFormatting sqref="F30:I49">
    <cfRule type="expression" dxfId="70" priority="2">
      <formula>AND($E30&lt;&gt;"",$E30&gt;0,SUM($F30:$K30)=0)</formula>
    </cfRule>
  </conditionalFormatting>
  <conditionalFormatting sqref="F7:H26">
    <cfRule type="expression" dxfId="69" priority="1">
      <formula>AND($N7=FALSE,F7="")</formula>
    </cfRule>
  </conditionalFormatting>
  <dataValidations count="8">
    <dataValidation type="decimal" allowBlank="1" showInputMessage="1" showErrorMessage="1" promptTitle="Share of Rental Income" prompt="Enter this applicant's share of rental income as a percentage between 0 and 100." sqref="F30:I49">
      <formula1>0</formula1>
      <formula2>100</formula2>
    </dataValidation>
    <dataValidation type="list" allowBlank="1" showInputMessage="1" showErrorMessage="1" promptTitle="Eligible Percentage" prompt="% of income eligible to be used for servicing. Please refer to the postcode tool for any specific geographic policies that may apply." sqref="D30:D49">
      <formula1>"0%,10%,20%,30%,40%,50%,60%,70%,80%"</formula1>
    </dataValidation>
    <dataValidation allowBlank="1" showInputMessage="1" showErrorMessage="1" promptTitle="Declared Weekly Rental Income" prompt="Enter the weekly rental income from this property" sqref="G7:G26"/>
    <dataValidation type="whole" operator="greaterThan" allowBlank="1" showInputMessage="1" showErrorMessage="1" error="OEV must be a whole number greater than $0." promptTitle="OEV" prompt="Enter the owners estimated value of the property" sqref="F7:F26">
      <formula1>0</formula1>
    </dataValidation>
    <dataValidation allowBlank="1" showInputMessage="1" showErrorMessage="1" promptTitle="Suburb" prompt="Enter the suburb of the property" sqref="D7:D26"/>
    <dataValidation allowBlank="1" showInputMessage="1" showErrorMessage="1" promptTitle="Address" prompt="Enter the address of the property" sqref="C7:C26"/>
    <dataValidation type="whole" operator="lessThanOrEqual" allowBlank="1" showInputMessage="1" showErrorMessage="1" promptTitle="Postcode" prompt="Enter the postcode of the property" sqref="E7:E26">
      <formula1>9999</formula1>
    </dataValidation>
    <dataValidation type="list" allowBlank="1" showInputMessage="1" showErrorMessage="1" promptTitle="Existing or Proposed" prompt="Select whether this property is either an existing or proposed" sqref="H7:H26">
      <formula1>"Existing,Proposed"</formula1>
    </dataValidation>
  </dataValidations>
  <pageMargins left="0.19685039370078741" right="0.19685039370078741" top="0.19685039370078741" bottom="0.19685039370078741" header="0.31496062992125984" footer="0.31496062992125984"/>
  <pageSetup scale="68" orientation="portrait" r:id="rId1"/>
  <headerFooter>
    <oddFooter>&amp;L&amp;"Calibri"&amp;11&amp;K000000&amp;"Calibri"&amp;11&amp;K000000&amp;"Calibri"&amp;11&amp;K000000&amp;"Calibri"&amp;11&amp;K000000&amp;"Calibri"&amp;11&amp;K000000&amp;"Calibri"&amp;11&amp;K000000&amp;"Calibri"&amp;11&amp;K000000&amp;"Calibri"&amp;11&amp;K000000Printed: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2"/>
  <legacyDrawing r:id="rId3"/>
  <oleObjects>
    <mc:AlternateContent xmlns:mc="http://schemas.openxmlformats.org/markup-compatibility/2006">
      <mc:Choice Requires="x14">
        <oleObject progId="MSPhotoEd.3" shapeId="20481" r:id="rId4">
          <objectPr defaultSize="0" autoPict="0" r:id="rId5">
            <anchor moveWithCells="1">
              <from>
                <xdr:col>9</xdr:col>
                <xdr:colOff>133350</xdr:colOff>
                <xdr:row>1</xdr:row>
                <xdr:rowOff>9525</xdr:rowOff>
              </from>
              <to>
                <xdr:col>10</xdr:col>
                <xdr:colOff>1066800</xdr:colOff>
                <xdr:row>2</xdr:row>
                <xdr:rowOff>76200</xdr:rowOff>
              </to>
            </anchor>
          </objectPr>
        </oleObject>
      </mc:Choice>
      <mc:Fallback>
        <oleObject progId="MSPhotoEd.3" shapeId="20481" r:id="rId4"/>
      </mc:Fallback>
    </mc:AlternateContent>
  </oleObjects>
  <mc:AlternateContent xmlns:mc="http://schemas.openxmlformats.org/markup-compatibility/2006">
    <mc:Choice Requires="x14">
      <controls>
        <mc:AlternateContent xmlns:mc="http://schemas.openxmlformats.org/markup-compatibility/2006">
          <mc:Choice Requires="x14">
            <control shapeId="20482" r:id="rId6" name="Button 2">
              <controlPr defaultSize="0" print="0" autoFill="0" autoPict="0" macro="[0]!cmdCalculator">
                <anchor moveWithCells="1">
                  <from>
                    <xdr:col>6</xdr:col>
                    <xdr:colOff>0</xdr:colOff>
                    <xdr:row>56</xdr:row>
                    <xdr:rowOff>9525</xdr:rowOff>
                  </from>
                  <to>
                    <xdr:col>7</xdr:col>
                    <xdr:colOff>323850</xdr:colOff>
                    <xdr:row>57</xdr:row>
                    <xdr:rowOff>114300</xdr:rowOff>
                  </to>
                </anchor>
              </controlPr>
            </control>
          </mc:Choice>
        </mc:AlternateContent>
        <mc:AlternateContent xmlns:mc="http://schemas.openxmlformats.org/markup-compatibility/2006">
          <mc:Choice Requires="x14">
            <control shapeId="20483" r:id="rId7" name="Button 3">
              <controlPr defaultSize="0" print="0" autoFill="0" autoPict="0" macro="[0]!cmdClearRentalYield">
                <anchor moveWithCells="1">
                  <from>
                    <xdr:col>5</xdr:col>
                    <xdr:colOff>0</xdr:colOff>
                    <xdr:row>56</xdr:row>
                    <xdr:rowOff>0</xdr:rowOff>
                  </from>
                  <to>
                    <xdr:col>5</xdr:col>
                    <xdr:colOff>762000</xdr:colOff>
                    <xdr:row>57</xdr:row>
                    <xdr:rowOff>104775</xdr:rowOff>
                  </to>
                </anchor>
              </controlPr>
            </control>
          </mc:Choice>
        </mc:AlternateContent>
        <mc:AlternateContent xmlns:mc="http://schemas.openxmlformats.org/markup-compatibility/2006">
          <mc:Choice Requires="x14">
            <control shapeId="20484" r:id="rId8" name="Button 4">
              <controlPr defaultSize="0" print="0" autoFill="0" autoPict="0" macro="[0]!cmdClearRentalYield">
                <anchor moveWithCells="1">
                  <from>
                    <xdr:col>5</xdr:col>
                    <xdr:colOff>9525</xdr:colOff>
                    <xdr:row>2</xdr:row>
                    <xdr:rowOff>28575</xdr:rowOff>
                  </from>
                  <to>
                    <xdr:col>5</xdr:col>
                    <xdr:colOff>771525</xdr:colOff>
                    <xdr:row>2</xdr:row>
                    <xdr:rowOff>295275</xdr:rowOff>
                  </to>
                </anchor>
              </controlPr>
            </control>
          </mc:Choice>
        </mc:AlternateContent>
        <mc:AlternateContent xmlns:mc="http://schemas.openxmlformats.org/markup-compatibility/2006">
          <mc:Choice Requires="x14">
            <control shapeId="20485" r:id="rId9" name="Button 5">
              <controlPr defaultSize="0" print="0" autoFill="0" autoPict="0" macro="[0]!cmdCalculator">
                <anchor moveWithCells="1">
                  <from>
                    <xdr:col>6</xdr:col>
                    <xdr:colOff>0</xdr:colOff>
                    <xdr:row>2</xdr:row>
                    <xdr:rowOff>28575</xdr:rowOff>
                  </from>
                  <to>
                    <xdr:col>7</xdr:col>
                    <xdr:colOff>323850</xdr:colOff>
                    <xdr:row>2</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H87"/>
  <sheetViews>
    <sheetView showGridLines="0" showRowColHeaders="0" zoomScaleNormal="100" workbookViewId="0"/>
  </sheetViews>
  <sheetFormatPr defaultRowHeight="12.75" x14ac:dyDescent="0.2"/>
  <cols>
    <col min="1" max="1" width="1.5703125" style="439" customWidth="1"/>
    <col min="2" max="2" width="48.85546875" style="439" customWidth="1"/>
    <col min="3" max="4" width="15.140625" style="439" customWidth="1"/>
    <col min="5" max="5" width="12.28515625" style="439" customWidth="1"/>
    <col min="6" max="9" width="13.85546875" style="439" customWidth="1"/>
    <col min="10" max="10" width="13.140625" style="439" customWidth="1"/>
    <col min="11" max="12" width="16" style="439" customWidth="1"/>
    <col min="13" max="13" width="1.7109375" style="541" customWidth="1"/>
    <col min="14" max="14" width="9.140625" style="439"/>
    <col min="15" max="15" width="0" style="439" hidden="1" customWidth="1"/>
    <col min="16" max="19" width="9.140625" style="439"/>
    <col min="20" max="20" width="10.140625" style="439" customWidth="1"/>
    <col min="21" max="22" width="9.140625" style="439"/>
    <col min="23" max="23" width="1.5703125" style="439" customWidth="1"/>
    <col min="24" max="16384" width="9.140625" style="439"/>
  </cols>
  <sheetData>
    <row r="1" spans="1:23" s="466" customFormat="1" ht="12" customHeight="1" thickBot="1" x14ac:dyDescent="0.25">
      <c r="A1" s="464"/>
      <c r="B1" s="465"/>
      <c r="C1" s="821"/>
      <c r="D1" s="465"/>
      <c r="E1" s="465"/>
      <c r="F1" s="465"/>
      <c r="G1" s="465"/>
      <c r="H1" s="465"/>
      <c r="I1" s="465"/>
      <c r="J1" s="465"/>
      <c r="K1" s="465"/>
      <c r="L1" s="465"/>
      <c r="M1" s="874"/>
      <c r="N1" s="875"/>
      <c r="P1" s="851">
        <f>Data!G32</f>
        <v>5.0999999999999997E-2</v>
      </c>
      <c r="W1" s="887"/>
    </row>
    <row r="2" spans="1:23" s="466" customFormat="1" ht="24.75" customHeight="1" thickBot="1" x14ac:dyDescent="0.25">
      <c r="A2" s="467"/>
      <c r="B2" s="468" t="s">
        <v>287</v>
      </c>
      <c r="C2" s="469"/>
      <c r="D2" s="469"/>
      <c r="E2" s="469"/>
      <c r="F2" s="470"/>
      <c r="G2" s="470"/>
      <c r="H2" s="470"/>
      <c r="I2" s="471"/>
      <c r="J2" s="472"/>
      <c r="K2" s="472"/>
      <c r="L2" s="472"/>
      <c r="M2" s="472"/>
      <c r="N2" s="875"/>
      <c r="P2" s="851">
        <f>Data!G33</f>
        <v>2.5000000000000001E-2</v>
      </c>
      <c r="W2" s="887"/>
    </row>
    <row r="3" spans="1:23" s="466" customFormat="1" ht="21" customHeight="1" x14ac:dyDescent="0.2">
      <c r="A3" s="467"/>
      <c r="B3" s="443"/>
      <c r="C3" s="443"/>
      <c r="D3" s="443"/>
      <c r="E3" s="443"/>
      <c r="F3" s="443"/>
      <c r="G3" s="443"/>
      <c r="H3" s="443"/>
      <c r="I3" s="443"/>
      <c r="J3" s="443"/>
      <c r="K3" s="443"/>
      <c r="L3" s="443"/>
      <c r="M3" s="443"/>
      <c r="N3" s="875"/>
      <c r="W3" s="887"/>
    </row>
    <row r="4" spans="1:23" s="466" customFormat="1" x14ac:dyDescent="0.2">
      <c r="A4" s="467"/>
      <c r="B4" s="473"/>
      <c r="C4" s="473"/>
      <c r="D4" s="473"/>
      <c r="E4" s="473" t="s">
        <v>79</v>
      </c>
      <c r="F4" s="968"/>
      <c r="G4" s="969"/>
      <c r="H4" s="266"/>
      <c r="I4" s="279" t="s">
        <v>80</v>
      </c>
      <c r="J4" s="1016"/>
      <c r="K4" s="1017"/>
      <c r="L4" s="266"/>
      <c r="M4" s="266"/>
      <c r="N4" s="875"/>
      <c r="W4" s="887"/>
    </row>
    <row r="5" spans="1:23" s="466" customFormat="1" x14ac:dyDescent="0.2">
      <c r="A5" s="467"/>
      <c r="B5" s="474"/>
      <c r="C5" s="474"/>
      <c r="D5" s="474"/>
      <c r="E5" s="474"/>
      <c r="F5" s="266"/>
      <c r="G5" s="266"/>
      <c r="H5" s="266"/>
      <c r="I5" s="266"/>
      <c r="J5" s="444"/>
      <c r="K5" s="266"/>
      <c r="L5" s="266"/>
      <c r="M5" s="443"/>
      <c r="N5" s="875"/>
      <c r="W5" s="887"/>
    </row>
    <row r="6" spans="1:23" s="466" customFormat="1" x14ac:dyDescent="0.2">
      <c r="A6" s="467"/>
      <c r="B6" s="475" t="s">
        <v>27</v>
      </c>
      <c r="C6" s="475"/>
      <c r="D6" s="475"/>
      <c r="E6" s="475"/>
      <c r="F6" s="266"/>
      <c r="G6" s="266"/>
      <c r="H6" s="266"/>
      <c r="I6" s="476"/>
      <c r="J6" s="810" t="str">
        <f>IF(I6&gt;COUNT(I9:L9),"must be at least one adult residing in each household",IF(AND(I6&gt;K16,I6=COUNTA(F16,H16)),"Each household must have an applicant assigned",IF(I6&gt;COUNTA(F16,H16),"There cannot be more households than applicants",IF(COUNTA(F16,H16)&gt;SUM(I9:L9),"Number of applicants cannot be more than the total number of adults",""))))</f>
        <v/>
      </c>
      <c r="K6" s="688"/>
      <c r="L6" s="266"/>
      <c r="M6" s="443"/>
      <c r="N6" s="875"/>
      <c r="W6" s="887"/>
    </row>
    <row r="7" spans="1:23" s="466" customFormat="1" hidden="1" x14ac:dyDescent="0.2">
      <c r="A7" s="467"/>
      <c r="B7" s="1018" t="s">
        <v>288</v>
      </c>
      <c r="C7" s="1018"/>
      <c r="D7" s="1018"/>
      <c r="E7" s="1018"/>
      <c r="F7" s="1018"/>
      <c r="G7" s="1018"/>
      <c r="H7" s="1019"/>
      <c r="I7" s="477"/>
      <c r="J7" s="266"/>
      <c r="K7" s="610" t="b">
        <f>IF(I6&gt;0,AND(COUNT(I9:L9)&gt;=I6,COUNT(I11:L11)&gt;=I6),FALSE)</f>
        <v>0</v>
      </c>
      <c r="L7" s="610"/>
      <c r="M7" s="443"/>
      <c r="N7" s="875"/>
      <c r="W7" s="887"/>
    </row>
    <row r="8" spans="1:23" s="466" customFormat="1" x14ac:dyDescent="0.2">
      <c r="A8" s="467"/>
      <c r="B8" s="443"/>
      <c r="C8" s="443"/>
      <c r="D8" s="443"/>
      <c r="E8" s="443"/>
      <c r="F8" s="266"/>
      <c r="G8" s="266"/>
      <c r="H8" s="266"/>
      <c r="I8" s="478" t="s">
        <v>83</v>
      </c>
      <c r="J8" s="479" t="str">
        <f>IF(I6&gt;1,"Household 2","")</f>
        <v/>
      </c>
      <c r="K8" s="92" t="str">
        <f>IF(I6&gt;2,"Household 3","")</f>
        <v/>
      </c>
      <c r="L8" s="92" t="str">
        <f>IF(I6&gt;3,"Household 4","")</f>
        <v/>
      </c>
      <c r="M8" s="443"/>
      <c r="N8" s="875"/>
      <c r="W8" s="887"/>
    </row>
    <row r="9" spans="1:23" s="466" customFormat="1" x14ac:dyDescent="0.2">
      <c r="A9" s="467"/>
      <c r="B9" s="475" t="s">
        <v>30</v>
      </c>
      <c r="C9" s="475"/>
      <c r="D9" s="475"/>
      <c r="E9" s="475"/>
      <c r="F9" s="266"/>
      <c r="G9" s="266"/>
      <c r="H9" s="266"/>
      <c r="I9" s="476"/>
      <c r="J9" s="480"/>
      <c r="K9" s="344"/>
      <c r="L9" s="344"/>
      <c r="M9" s="443"/>
      <c r="N9" s="875"/>
      <c r="W9" s="887"/>
    </row>
    <row r="10" spans="1:23" s="466" customFormat="1" x14ac:dyDescent="0.2">
      <c r="A10" s="467"/>
      <c r="B10" s="475" t="s">
        <v>32</v>
      </c>
      <c r="C10" s="475"/>
      <c r="D10" s="475"/>
      <c r="E10" s="475"/>
      <c r="F10" s="266"/>
      <c r="G10" s="266"/>
      <c r="H10" s="266"/>
      <c r="I10" s="476"/>
      <c r="J10" s="480"/>
      <c r="K10" s="344"/>
      <c r="L10" s="344"/>
      <c r="M10" s="443"/>
      <c r="N10" s="875"/>
      <c r="W10" s="887"/>
    </row>
    <row r="11" spans="1:23" s="466" customFormat="1" x14ac:dyDescent="0.2">
      <c r="A11" s="467"/>
      <c r="B11" s="475" t="s">
        <v>362</v>
      </c>
      <c r="C11" s="475"/>
      <c r="D11" s="475"/>
      <c r="E11" s="475"/>
      <c r="F11" s="266"/>
      <c r="G11" s="266"/>
      <c r="H11" s="266"/>
      <c r="I11" s="619"/>
      <c r="J11" s="620"/>
      <c r="K11" s="612"/>
      <c r="L11" s="612"/>
      <c r="M11" s="443"/>
      <c r="N11" s="875"/>
      <c r="W11" s="887"/>
    </row>
    <row r="12" spans="1:23" s="466" customFormat="1" x14ac:dyDescent="0.2">
      <c r="A12" s="467"/>
      <c r="B12" s="266"/>
      <c r="C12" s="266"/>
      <c r="D12" s="266"/>
      <c r="E12" s="266"/>
      <c r="F12" s="266"/>
      <c r="G12" s="266"/>
      <c r="H12" s="266"/>
      <c r="I12" s="266"/>
      <c r="J12" s="266"/>
      <c r="K12" s="266"/>
      <c r="L12" s="266"/>
      <c r="M12" s="443"/>
      <c r="N12" s="875"/>
      <c r="W12" s="887"/>
    </row>
    <row r="13" spans="1:23" ht="27.75" customHeight="1" x14ac:dyDescent="0.2">
      <c r="A13" s="481"/>
      <c r="B13" s="137" t="s">
        <v>84</v>
      </c>
      <c r="C13" s="822"/>
      <c r="D13" s="482"/>
      <c r="E13" s="482"/>
      <c r="F13" s="1020" t="s">
        <v>85</v>
      </c>
      <c r="G13" s="1020"/>
      <c r="H13" s="1020" t="s">
        <v>86</v>
      </c>
      <c r="I13" s="1020"/>
      <c r="J13" s="483"/>
      <c r="K13" s="484" t="s">
        <v>289</v>
      </c>
      <c r="L13" s="885" t="s">
        <v>525</v>
      </c>
      <c r="M13" s="883"/>
      <c r="N13" s="883"/>
      <c r="O13" s="883"/>
      <c r="P13" s="883"/>
      <c r="Q13" s="883"/>
      <c r="R13" s="883"/>
      <c r="S13" s="883"/>
      <c r="T13" s="883"/>
      <c r="U13" s="883"/>
      <c r="V13" s="884"/>
      <c r="W13" s="888"/>
    </row>
    <row r="14" spans="1:23" x14ac:dyDescent="0.2">
      <c r="A14" s="481"/>
      <c r="B14"/>
      <c r="C14"/>
      <c r="D14"/>
      <c r="E14"/>
      <c r="F14"/>
      <c r="G14"/>
      <c r="H14"/>
      <c r="I14"/>
      <c r="J14"/>
      <c r="K14"/>
      <c r="L14"/>
      <c r="M14" s="444"/>
      <c r="N14" s="876"/>
      <c r="W14" s="888"/>
    </row>
    <row r="15" spans="1:23" x14ac:dyDescent="0.2">
      <c r="A15" s="481"/>
      <c r="B15" s="444"/>
      <c r="C15" s="444"/>
      <c r="D15" s="444"/>
      <c r="E15" s="444"/>
      <c r="F15" s="160" t="s">
        <v>285</v>
      </c>
      <c r="G15" s="160" t="s">
        <v>524</v>
      </c>
      <c r="H15" s="160" t="s">
        <v>285</v>
      </c>
      <c r="I15" s="160" t="s">
        <v>524</v>
      </c>
      <c r="J15" s="266"/>
      <c r="K15" s="266"/>
      <c r="L15" s="266"/>
      <c r="M15" s="444"/>
      <c r="N15" s="877"/>
      <c r="W15" s="888"/>
    </row>
    <row r="16" spans="1:23" x14ac:dyDescent="0.2">
      <c r="A16" s="481"/>
      <c r="B16" s="444" t="s">
        <v>468</v>
      </c>
      <c r="C16" s="444"/>
      <c r="D16" s="444"/>
      <c r="E16" s="444"/>
      <c r="F16" s="808"/>
      <c r="G16" s="806" t="str">
        <f>IF(F16="","",F16)</f>
        <v/>
      </c>
      <c r="H16" s="808"/>
      <c r="I16" s="807" t="str">
        <f>IF(H16="","",H16)</f>
        <v/>
      </c>
      <c r="J16" s="266"/>
      <c r="K16" s="601">
        <f>IF(COUNTIF(F16:I16,"Household 1")&gt;0,1,0)+IF(COUNTIF(F16:I16,"Household 2")&gt;0,1,0)+IF(COUNTIF(F16:I16,"Household 3")&gt;0,1,0)+IF(COUNTIF(F16:I16,"Household 4")&gt;0,1,0)</f>
        <v>0</v>
      </c>
      <c r="L16" s="266"/>
      <c r="M16" s="444"/>
      <c r="N16" s="876"/>
      <c r="W16" s="888"/>
    </row>
    <row r="17" spans="1:23" x14ac:dyDescent="0.2">
      <c r="A17" s="481"/>
      <c r="B17" s="444" t="s">
        <v>371</v>
      </c>
      <c r="C17" s="444"/>
      <c r="D17" s="444"/>
      <c r="E17" s="444"/>
      <c r="F17" s="485"/>
      <c r="G17" s="486">
        <f>F17</f>
        <v>0</v>
      </c>
      <c r="H17" s="485"/>
      <c r="I17" s="492">
        <f>H17</f>
        <v>0</v>
      </c>
      <c r="J17" s="487" t="s">
        <v>91</v>
      </c>
      <c r="K17" s="488">
        <f>F17+H17</f>
        <v>0</v>
      </c>
      <c r="L17" s="488">
        <f>G17+I17</f>
        <v>0</v>
      </c>
      <c r="M17" s="444"/>
      <c r="N17" s="876"/>
      <c r="W17" s="888"/>
    </row>
    <row r="18" spans="1:23" x14ac:dyDescent="0.2">
      <c r="A18" s="481"/>
      <c r="B18" s="444" t="s">
        <v>369</v>
      </c>
      <c r="C18" s="444"/>
      <c r="D18" s="444"/>
      <c r="E18" s="444"/>
      <c r="F18" s="485"/>
      <c r="G18" s="486">
        <f>F18</f>
        <v>0</v>
      </c>
      <c r="H18" s="485"/>
      <c r="I18" s="492">
        <f>H18</f>
        <v>0</v>
      </c>
      <c r="J18" s="487" t="s">
        <v>91</v>
      </c>
      <c r="K18" s="488">
        <f>(F18+H18)*Data!C20</f>
        <v>0</v>
      </c>
      <c r="L18" s="488">
        <f>(G18+I18)*Data!C20</f>
        <v>0</v>
      </c>
      <c r="M18" s="444"/>
      <c r="N18" s="876"/>
      <c r="W18" s="888"/>
    </row>
    <row r="19" spans="1:23" x14ac:dyDescent="0.2">
      <c r="A19" s="481"/>
      <c r="B19" s="444" t="s">
        <v>270</v>
      </c>
      <c r="C19" s="444"/>
      <c r="D19" s="444"/>
      <c r="E19" s="444"/>
      <c r="F19" s="485"/>
      <c r="G19" s="725">
        <f>F19</f>
        <v>0</v>
      </c>
      <c r="H19" s="485"/>
      <c r="I19" s="492">
        <f>H19</f>
        <v>0</v>
      </c>
      <c r="J19" s="487" t="s">
        <v>91</v>
      </c>
      <c r="K19" s="488">
        <f>(F19+H19)*Data!C21</f>
        <v>0</v>
      </c>
      <c r="L19" s="488">
        <f>(G19+I19)*Data!C21</f>
        <v>0</v>
      </c>
      <c r="M19" s="444"/>
      <c r="N19" s="876"/>
      <c r="W19" s="888"/>
    </row>
    <row r="20" spans="1:23" x14ac:dyDescent="0.2">
      <c r="A20" s="481"/>
      <c r="B20" s="489" t="s">
        <v>34</v>
      </c>
      <c r="C20" s="489"/>
      <c r="D20" s="489"/>
      <c r="E20" s="489"/>
      <c r="F20" s="718">
        <f>'Bridging Rental Yield'!F54</f>
        <v>0</v>
      </c>
      <c r="G20" s="726">
        <f>'Bridging Rental Yield'!F60</f>
        <v>0</v>
      </c>
      <c r="H20" s="718">
        <f>'Bridging Rental Yield'!G54</f>
        <v>0</v>
      </c>
      <c r="I20" s="720">
        <f>'Bridging Rental Yield'!G60</f>
        <v>0</v>
      </c>
      <c r="J20" s="487"/>
      <c r="K20" s="488">
        <f>(F20+H20)</f>
        <v>0</v>
      </c>
      <c r="L20" s="488">
        <f>(G20+I20)</f>
        <v>0</v>
      </c>
      <c r="M20" s="444"/>
      <c r="N20" s="876"/>
      <c r="W20" s="888"/>
    </row>
    <row r="21" spans="1:23" x14ac:dyDescent="0.2">
      <c r="A21" s="481"/>
      <c r="B21" s="489" t="s">
        <v>35</v>
      </c>
      <c r="C21" s="489"/>
      <c r="D21" s="489"/>
      <c r="E21" s="489"/>
      <c r="F21" s="719">
        <f>'Bridging Rental Yield'!F55</f>
        <v>0</v>
      </c>
      <c r="G21" s="726">
        <f>'Bridging Rental Yield'!F61</f>
        <v>0</v>
      </c>
      <c r="H21" s="719">
        <f>'Bridging Rental Yield'!G55</f>
        <v>0</v>
      </c>
      <c r="I21" s="720">
        <f>'Bridging Rental Yield'!G61</f>
        <v>0</v>
      </c>
      <c r="J21" s="487"/>
      <c r="K21" s="488">
        <f>(F21+H21)</f>
        <v>0</v>
      </c>
      <c r="L21" s="488">
        <f>(G21+I21)</f>
        <v>0</v>
      </c>
      <c r="M21" s="444"/>
      <c r="N21" s="876"/>
      <c r="W21" s="888"/>
    </row>
    <row r="22" spans="1:23" x14ac:dyDescent="0.2">
      <c r="A22" s="481"/>
      <c r="B22" s="444" t="s">
        <v>36</v>
      </c>
      <c r="C22" s="444"/>
      <c r="D22" s="444"/>
      <c r="E22" s="444"/>
      <c r="F22" s="485"/>
      <c r="G22" s="490">
        <f>F22</f>
        <v>0</v>
      </c>
      <c r="H22" s="485"/>
      <c r="I22" s="492">
        <f>H22</f>
        <v>0</v>
      </c>
      <c r="J22" s="487" t="s">
        <v>91</v>
      </c>
      <c r="K22" s="488">
        <f>(F22+H22)*Data!C22</f>
        <v>0</v>
      </c>
      <c r="L22" s="488">
        <f>(G22+I22)*Data!C22</f>
        <v>0</v>
      </c>
      <c r="M22" s="444"/>
      <c r="N22" s="876"/>
      <c r="W22" s="888"/>
    </row>
    <row r="23" spans="1:23" x14ac:dyDescent="0.2">
      <c r="A23" s="481"/>
      <c r="B23" s="444" t="s">
        <v>37</v>
      </c>
      <c r="C23" s="444"/>
      <c r="D23" s="444"/>
      <c r="E23" s="444"/>
      <c r="F23" s="485"/>
      <c r="G23" s="491">
        <f>F23</f>
        <v>0</v>
      </c>
      <c r="H23" s="485"/>
      <c r="I23" s="492">
        <f>H23</f>
        <v>0</v>
      </c>
      <c r="J23" s="487" t="s">
        <v>91</v>
      </c>
      <c r="K23" s="488">
        <f>(F23+H23)*Data!G30</f>
        <v>0</v>
      </c>
      <c r="L23" s="488">
        <f>(G23+I23)*Data!G30</f>
        <v>0</v>
      </c>
      <c r="M23" s="444"/>
      <c r="N23" s="876"/>
      <c r="W23" s="888"/>
    </row>
    <row r="24" spans="1:23" x14ac:dyDescent="0.2">
      <c r="A24" s="481"/>
      <c r="B24" s="444" t="s">
        <v>290</v>
      </c>
      <c r="C24" s="444"/>
      <c r="D24" s="444"/>
      <c r="E24" s="444"/>
      <c r="F24" s="485"/>
      <c r="G24" s="491">
        <f>F24</f>
        <v>0</v>
      </c>
      <c r="H24" s="485"/>
      <c r="I24" s="492">
        <f>H24</f>
        <v>0</v>
      </c>
      <c r="J24" s="487" t="s">
        <v>91</v>
      </c>
      <c r="K24" s="488">
        <f t="shared" ref="K24:L25" si="0">F24+H24</f>
        <v>0</v>
      </c>
      <c r="L24" s="488">
        <f t="shared" si="0"/>
        <v>0</v>
      </c>
      <c r="M24" s="444"/>
      <c r="N24" s="876"/>
      <c r="W24" s="888"/>
    </row>
    <row r="25" spans="1:23" x14ac:dyDescent="0.2">
      <c r="A25" s="481"/>
      <c r="B25" s="444" t="s">
        <v>41</v>
      </c>
      <c r="C25" s="444"/>
      <c r="D25" s="444"/>
      <c r="E25" s="444"/>
      <c r="F25" s="493">
        <f>'Bridging Self Employed'!G9+'Bridging Self Employed'!G14+'Bridging Self Employed'!G16</f>
        <v>0</v>
      </c>
      <c r="G25" s="494">
        <f>F25</f>
        <v>0</v>
      </c>
      <c r="H25" s="493">
        <f>'Bridging Self Employed'!G28+'Bridging Self Employed'!G33+'Bridging Self Employed'!G35</f>
        <v>0</v>
      </c>
      <c r="I25" s="494">
        <f>H25</f>
        <v>0</v>
      </c>
      <c r="J25" s="266"/>
      <c r="K25" s="488">
        <f t="shared" si="0"/>
        <v>0</v>
      </c>
      <c r="L25" s="488">
        <f t="shared" si="0"/>
        <v>0</v>
      </c>
      <c r="M25" s="444"/>
      <c r="N25" s="876"/>
      <c r="W25" s="888"/>
    </row>
    <row r="26" spans="1:23" x14ac:dyDescent="0.2">
      <c r="A26" s="481"/>
      <c r="B26" s="495" t="s">
        <v>44</v>
      </c>
      <c r="C26" s="495"/>
      <c r="D26" s="495"/>
      <c r="E26" s="495"/>
      <c r="F26" s="496">
        <f t="shared" ref="F26:L26" si="1">SUM(F17:F25)</f>
        <v>0</v>
      </c>
      <c r="G26" s="497">
        <f t="shared" si="1"/>
        <v>0</v>
      </c>
      <c r="H26" s="496">
        <f t="shared" si="1"/>
        <v>0</v>
      </c>
      <c r="I26" s="497">
        <f t="shared" si="1"/>
        <v>0</v>
      </c>
      <c r="J26" s="266"/>
      <c r="K26" s="498">
        <f t="shared" si="1"/>
        <v>0</v>
      </c>
      <c r="L26" s="498">
        <f t="shared" si="1"/>
        <v>0</v>
      </c>
      <c r="M26" s="444"/>
      <c r="N26" s="876"/>
      <c r="W26" s="888"/>
    </row>
    <row r="27" spans="1:23" x14ac:dyDescent="0.2">
      <c r="A27" s="481"/>
      <c r="B27" s="444" t="s">
        <v>561</v>
      </c>
      <c r="C27" s="444"/>
      <c r="D27" s="444"/>
      <c r="E27" s="444"/>
      <c r="F27" s="499">
        <f>'Bridging Calculations'!C13-'Bridging Calculations'!C15-'Bridging Calculations'!C16</f>
        <v>0</v>
      </c>
      <c r="G27" s="494">
        <f>'Bridging Calculations'!J13-'Bridging Calculations'!J15-'Bridging Calculations'!J16</f>
        <v>0</v>
      </c>
      <c r="H27" s="499">
        <f>'Bridging Calculations'!F13-'Bridging Calculations'!F15-'Bridging Calculations'!F16</f>
        <v>0</v>
      </c>
      <c r="I27" s="494">
        <f>'Bridging Calculations'!M13-'Bridging Calculations'!M15-'Bridging Calculations'!M16</f>
        <v>0</v>
      </c>
      <c r="J27" s="266"/>
      <c r="K27" s="488">
        <f>F27+H27</f>
        <v>0</v>
      </c>
      <c r="L27" s="488">
        <f>G27+I27</f>
        <v>0</v>
      </c>
      <c r="M27" s="444"/>
      <c r="N27" s="876"/>
      <c r="W27" s="888"/>
    </row>
    <row r="28" spans="1:23" x14ac:dyDescent="0.2">
      <c r="A28" s="481"/>
      <c r="B28" s="444" t="s">
        <v>48</v>
      </c>
      <c r="C28" s="444"/>
      <c r="D28" s="444"/>
      <c r="E28" s="444"/>
      <c r="F28" s="499">
        <f>'Bridging Calculations'!C14</f>
        <v>0</v>
      </c>
      <c r="G28" s="494">
        <f>'Bridging Calculations'!J14</f>
        <v>0</v>
      </c>
      <c r="H28" s="499">
        <f>'Bridging Calculations'!F14</f>
        <v>0</v>
      </c>
      <c r="I28" s="494">
        <f>'Bridging Calculations'!M14</f>
        <v>0</v>
      </c>
      <c r="J28" s="266"/>
      <c r="K28" s="488">
        <f>'Bridging Calculations'!C14+'Bridging Calculations'!F14</f>
        <v>0</v>
      </c>
      <c r="L28" s="488">
        <f>'Bridging Calculations'!J14+'Bridging Calculations'!M14</f>
        <v>0</v>
      </c>
      <c r="M28" s="444"/>
      <c r="N28" s="876"/>
      <c r="W28" s="888"/>
    </row>
    <row r="29" spans="1:23" x14ac:dyDescent="0.2">
      <c r="A29" s="481"/>
      <c r="B29" s="444" t="s">
        <v>291</v>
      </c>
      <c r="C29" s="444"/>
      <c r="D29" s="444"/>
      <c r="E29" s="444"/>
      <c r="F29" s="500">
        <f>'Bridging Calculations'!C27</f>
        <v>0</v>
      </c>
      <c r="G29" s="500">
        <f>'Bridging Calculations'!J27</f>
        <v>0</v>
      </c>
      <c r="H29" s="500">
        <f>'Bridging Calculations'!F27</f>
        <v>0</v>
      </c>
      <c r="I29" s="500">
        <f>'Bridging Calculations'!M27</f>
        <v>0</v>
      </c>
      <c r="J29" s="266"/>
      <c r="K29" s="488">
        <f>('Bridging Calculations'!C17+'Bridging Calculations'!F17)-('Bridging Calculations'!C25+'Bridging Calculations'!F25)</f>
        <v>0</v>
      </c>
      <c r="L29" s="488">
        <f>('Bridging Calculations'!J17+'Bridging Calculations'!M17)-('Bridging Calculations'!J25+'Bridging Calculations'!M25)</f>
        <v>0</v>
      </c>
      <c r="M29" s="444"/>
      <c r="N29" s="876"/>
      <c r="W29" s="888"/>
    </row>
    <row r="30" spans="1:23" x14ac:dyDescent="0.2">
      <c r="A30" s="481"/>
      <c r="B30" s="444" t="s">
        <v>292</v>
      </c>
      <c r="C30" s="444"/>
      <c r="D30" s="444"/>
      <c r="E30" s="444"/>
      <c r="F30" s="485"/>
      <c r="G30" s="852">
        <f>F30</f>
        <v>0</v>
      </c>
      <c r="H30" s="485"/>
      <c r="I30" s="853">
        <f>H30</f>
        <v>0</v>
      </c>
      <c r="J30" s="487" t="s">
        <v>91</v>
      </c>
      <c r="K30" s="501">
        <f>(F30+H30)*Data!G28</f>
        <v>0</v>
      </c>
      <c r="L30" s="501">
        <f>(G30+I30)*Data!G28</f>
        <v>0</v>
      </c>
      <c r="M30" s="444"/>
      <c r="N30" s="876"/>
      <c r="W30" s="888"/>
    </row>
    <row r="31" spans="1:23" x14ac:dyDescent="0.2">
      <c r="A31" s="481"/>
      <c r="B31" s="444" t="s">
        <v>54</v>
      </c>
      <c r="C31" s="444"/>
      <c r="D31" s="444"/>
      <c r="E31" s="444"/>
      <c r="F31" s="493">
        <f>'Bridging Self Employed'!G18-'Bridging Self Employed'!G14-'Bridging Self Employed'!G16</f>
        <v>0</v>
      </c>
      <c r="G31" s="499">
        <f>F31</f>
        <v>0</v>
      </c>
      <c r="H31" s="499">
        <f>'Bridging Self Employed'!G37-'Bridging Self Employed'!G33-'Bridging Self Employed'!G35</f>
        <v>0</v>
      </c>
      <c r="I31" s="499">
        <f>H31</f>
        <v>0</v>
      </c>
      <c r="J31" s="266"/>
      <c r="K31" s="501">
        <f>F31+H31</f>
        <v>0</v>
      </c>
      <c r="L31" s="501">
        <f>G31+I31</f>
        <v>0</v>
      </c>
      <c r="M31" s="444"/>
      <c r="N31" s="876"/>
      <c r="W31" s="888"/>
    </row>
    <row r="32" spans="1:23" x14ac:dyDescent="0.2">
      <c r="A32" s="481"/>
      <c r="B32" s="266"/>
      <c r="C32" s="266"/>
      <c r="D32" s="266"/>
      <c r="E32" s="266"/>
      <c r="F32" s="266"/>
      <c r="G32" s="266"/>
      <c r="H32" s="266"/>
      <c r="I32" s="161" t="s">
        <v>98</v>
      </c>
      <c r="J32" s="161"/>
      <c r="K32" s="498">
        <f>K26-K27-K28+K29+K30+K31</f>
        <v>0</v>
      </c>
      <c r="L32" s="498">
        <f>L26-L27-L28+L29+L30+L31</f>
        <v>0</v>
      </c>
      <c r="M32" s="444"/>
      <c r="N32" s="876"/>
      <c r="W32" s="888"/>
    </row>
    <row r="33" spans="1:23" x14ac:dyDescent="0.2">
      <c r="A33" s="481"/>
      <c r="B33" s="266"/>
      <c r="C33" s="266"/>
      <c r="D33" s="266"/>
      <c r="E33" s="266"/>
      <c r="F33" s="266"/>
      <c r="G33" s="266"/>
      <c r="H33" s="266"/>
      <c r="I33" s="161" t="s">
        <v>99</v>
      </c>
      <c r="J33" s="161"/>
      <c r="K33" s="502">
        <f>K32/12</f>
        <v>0</v>
      </c>
      <c r="L33" s="502">
        <f>L32/12</f>
        <v>0</v>
      </c>
      <c r="M33" s="444"/>
      <c r="N33" s="876"/>
      <c r="W33" s="888"/>
    </row>
    <row r="34" spans="1:23" x14ac:dyDescent="0.2">
      <c r="A34" s="481"/>
      <c r="B34" s="266"/>
      <c r="C34" s="266"/>
      <c r="D34" s="266"/>
      <c r="E34" s="266"/>
      <c r="F34" s="266"/>
      <c r="G34" s="266"/>
      <c r="H34" s="266"/>
      <c r="I34" s="473" t="s">
        <v>293</v>
      </c>
      <c r="J34" s="473"/>
      <c r="K34" s="503"/>
      <c r="L34" s="503"/>
      <c r="M34" s="444"/>
      <c r="N34" s="876"/>
      <c r="W34" s="888"/>
    </row>
    <row r="35" spans="1:23" s="506" customFormat="1" x14ac:dyDescent="0.2">
      <c r="A35" s="504"/>
      <c r="B35" s="444"/>
      <c r="C35" s="444"/>
      <c r="D35" s="444"/>
      <c r="E35" s="444"/>
      <c r="F35" s="444"/>
      <c r="G35" s="505"/>
      <c r="H35" s="444"/>
      <c r="I35" s="161"/>
      <c r="J35" s="161"/>
      <c r="K35" s="444"/>
      <c r="L35" s="444"/>
      <c r="M35" s="444"/>
      <c r="N35" s="878"/>
      <c r="W35" s="889"/>
    </row>
    <row r="36" spans="1:23" ht="24.75" customHeight="1" x14ac:dyDescent="0.2">
      <c r="A36" s="481"/>
      <c r="B36" s="137" t="s">
        <v>294</v>
      </c>
      <c r="C36" s="822"/>
      <c r="D36" s="482"/>
      <c r="E36" s="482"/>
      <c r="F36" s="507"/>
      <c r="G36" s="508"/>
      <c r="H36" s="507"/>
      <c r="I36" s="509"/>
      <c r="J36" s="509"/>
      <c r="K36" s="507"/>
      <c r="L36" s="882"/>
      <c r="M36" s="883"/>
      <c r="N36" s="883"/>
      <c r="O36" s="883"/>
      <c r="P36" s="883"/>
      <c r="Q36" s="883"/>
      <c r="R36" s="883"/>
      <c r="S36" s="883"/>
      <c r="T36" s="883"/>
      <c r="U36" s="883"/>
      <c r="V36" s="884"/>
      <c r="W36" s="888"/>
    </row>
    <row r="37" spans="1:23" x14ac:dyDescent="0.2">
      <c r="A37" s="481"/>
      <c r="B37" s="444"/>
      <c r="C37" s="444"/>
      <c r="D37" s="444"/>
      <c r="E37" s="444"/>
      <c r="F37" s="444"/>
      <c r="G37" s="505"/>
      <c r="H37" s="444"/>
      <c r="I37" s="161"/>
      <c r="J37" s="161"/>
      <c r="K37" s="444"/>
      <c r="L37" s="444"/>
      <c r="M37" s="444"/>
      <c r="N37" s="876"/>
      <c r="W37" s="888"/>
    </row>
    <row r="38" spans="1:23" ht="39" customHeight="1" x14ac:dyDescent="0.2">
      <c r="A38" s="481"/>
      <c r="B38" s="441" t="s">
        <v>56</v>
      </c>
      <c r="C38" s="729" t="s">
        <v>267</v>
      </c>
      <c r="D38" s="441" t="s">
        <v>246</v>
      </c>
      <c r="E38" s="441" t="s">
        <v>295</v>
      </c>
      <c r="F38" s="510" t="s">
        <v>496</v>
      </c>
      <c r="G38" s="823" t="s">
        <v>495</v>
      </c>
      <c r="H38" s="741" t="s">
        <v>426</v>
      </c>
      <c r="I38" s="441" t="s">
        <v>61</v>
      </c>
      <c r="J38" s="441" t="s">
        <v>62</v>
      </c>
      <c r="K38" s="441" t="s">
        <v>63</v>
      </c>
      <c r="L38" s="441" t="s">
        <v>65</v>
      </c>
      <c r="M38" s="444"/>
      <c r="N38" s="876"/>
      <c r="W38" s="888"/>
    </row>
    <row r="39" spans="1:23" x14ac:dyDescent="0.2">
      <c r="A39" s="481"/>
      <c r="B39" s="380"/>
      <c r="C39" s="730"/>
      <c r="D39" s="381"/>
      <c r="E39" s="381"/>
      <c r="F39" s="511"/>
      <c r="G39" s="831"/>
      <c r="H39" s="742"/>
      <c r="I39" s="595"/>
      <c r="J39" s="512"/>
      <c r="K39" s="513"/>
      <c r="L39" s="514">
        <f>IF(AND(NOT('Bridging Calculations'!O3),'Bridging Calculations'!P3),ROUNDUP(IF(OR(E39="With my funds",E39="Add to bridging",B39="Margin Loan"),0,IF(B39="Credit Card",MAX(Data!$G$22,MAX(F39:G39)*Data!$G$16),IF(B39="Overdraft",MAX(F39:G39)*Data!$G$18,IF(B39="Commercial Bill",MAX(F39:G39)*Data!$G$20,IF(OR(B39="OFI home loan (Other financial institution)",B39="OFI Line of Credit (Other financial institution)"),J39*(1+Data!$G$26)+K39,J39+K39))))),0),0)</f>
        <v>0</v>
      </c>
      <c r="M39" s="444"/>
      <c r="N39" s="876"/>
      <c r="O39" s="439" t="b">
        <f>IF(OR(B39="CBA Variable Rate Home Loan",B39="CBA Fixed Rate Home Loan",B39="CBA Line of Credit"),NOT('Bridging Calculations'!P3),FALSE)</f>
        <v>0</v>
      </c>
      <c r="W39" s="888"/>
    </row>
    <row r="40" spans="1:23" x14ac:dyDescent="0.2">
      <c r="A40" s="481"/>
      <c r="B40" s="380"/>
      <c r="C40" s="730"/>
      <c r="D40" s="381"/>
      <c r="E40" s="381"/>
      <c r="F40" s="511"/>
      <c r="G40" s="832"/>
      <c r="H40" s="742"/>
      <c r="I40" s="595"/>
      <c r="J40" s="512"/>
      <c r="K40" s="513"/>
      <c r="L40" s="514">
        <f>IF(AND(NOT('Bridging Calculations'!O4),'Bridging Calculations'!P4),ROUNDUP(IF(OR(E40="With my funds",E40="Add to bridging",B40="Margin Loan"),0,IF(B40="Credit Card",MAX(Data!$G$22,MAX(F40:G40)*Data!$G$16),IF(B40="Overdraft",MAX(F40:G40)*Data!$G$18,IF(B40="Commercial Bill",MAX(F40:G40)*Data!$G$20,IF(OR(B40="OFI home loan (Other financial institution)",B40="OFI Line of Credit (Other financial institution)"),J40*(1+Data!$G$26)+K40,J40+K40))))),0),0)</f>
        <v>0</v>
      </c>
      <c r="M40" s="444"/>
      <c r="N40" s="876"/>
      <c r="O40" s="439" t="b">
        <f>IF(OR(B40="CBA Variable Rate Home Loan",B40="CBA Fixed Rate Home Loan",B40="CBA Line of Credit"),NOT('Bridging Calculations'!P4),FALSE)</f>
        <v>0</v>
      </c>
      <c r="W40" s="888"/>
    </row>
    <row r="41" spans="1:23" x14ac:dyDescent="0.2">
      <c r="A41" s="481"/>
      <c r="B41" s="380"/>
      <c r="C41" s="730"/>
      <c r="D41" s="381"/>
      <c r="E41" s="381"/>
      <c r="F41" s="511"/>
      <c r="G41" s="832"/>
      <c r="H41" s="742"/>
      <c r="I41" s="595"/>
      <c r="J41" s="512"/>
      <c r="K41" s="513"/>
      <c r="L41" s="514">
        <f>IF(AND(NOT('Bridging Calculations'!O5),'Bridging Calculations'!P5),ROUNDUP(IF(OR(E41="With my funds",E41="Add to bridging",B41="Margin Loan"),0,IF(B41="Credit Card",MAX(Data!$G$22,MAX(F41:G41)*Data!$G$16),IF(B41="Overdraft",MAX(F41:G41)*Data!$G$18,IF(B41="Commercial Bill",MAX(F41:G41)*Data!$G$20,IF(OR(B41="OFI home loan (Other financial institution)",B41="OFI Line of Credit (Other financial institution)"),J41*(1+Data!$G$26)+K41,J41+K41))))),0),0)</f>
        <v>0</v>
      </c>
      <c r="M41" s="444"/>
      <c r="N41" s="876"/>
      <c r="O41" s="439" t="b">
        <f>IF(OR(B41="CBA Variable Rate Home Loan",B41="CBA Fixed Rate Home Loan",B41="CBA Line of Credit"),NOT('Bridging Calculations'!P5),FALSE)</f>
        <v>0</v>
      </c>
      <c r="W41" s="888"/>
    </row>
    <row r="42" spans="1:23" x14ac:dyDescent="0.2">
      <c r="A42" s="481"/>
      <c r="B42" s="380"/>
      <c r="C42" s="730"/>
      <c r="D42" s="381"/>
      <c r="E42" s="381"/>
      <c r="F42" s="511"/>
      <c r="G42" s="832"/>
      <c r="H42" s="742"/>
      <c r="I42" s="595"/>
      <c r="J42" s="512"/>
      <c r="K42" s="513"/>
      <c r="L42" s="514">
        <f>IF(AND(NOT('Bridging Calculations'!O6),'Bridging Calculations'!P6),ROUNDUP(IF(OR(E42="With my funds",E42="Add to bridging",B42="Margin Loan"),0,IF(B42="Credit Card",MAX(Data!$G$22,MAX(F42:G42)*Data!$G$16),IF(B42="Overdraft",MAX(F42:G42)*Data!$G$18,IF(B42="Commercial Bill",MAX(F42:G42)*Data!$G$20,IF(OR(B42="OFI home loan (Other financial institution)",B42="OFI Line of Credit (Other financial institution)"),J42*(1+Data!$G$26)+K42,J42+K42))))),0),0)</f>
        <v>0</v>
      </c>
      <c r="M42" s="444"/>
      <c r="N42" s="876"/>
      <c r="O42" s="439" t="b">
        <f>IF(OR(B42="CBA Variable Rate Home Loan",B42="CBA Fixed Rate Home Loan",B42="CBA Line of Credit"),NOT('Bridging Calculations'!P6),FALSE)</f>
        <v>0</v>
      </c>
      <c r="W42" s="888"/>
    </row>
    <row r="43" spans="1:23" x14ac:dyDescent="0.2">
      <c r="A43" s="481"/>
      <c r="B43" s="380"/>
      <c r="C43" s="730"/>
      <c r="D43" s="381"/>
      <c r="E43" s="381"/>
      <c r="F43" s="511"/>
      <c r="G43" s="832"/>
      <c r="H43" s="742"/>
      <c r="I43" s="595"/>
      <c r="J43" s="512"/>
      <c r="K43" s="513"/>
      <c r="L43" s="514">
        <f>IF(AND(NOT('Bridging Calculations'!O7),'Bridging Calculations'!P7),ROUNDUP(IF(OR(E43="With my funds",E43="Add to bridging",B43="Margin Loan"),0,IF(B43="Credit Card",MAX(Data!$G$22,MAX(F43:G43)*Data!$G$16),IF(B43="Overdraft",MAX(F43:G43)*Data!$G$18,IF(B43="Commercial Bill",MAX(F43:G43)*Data!$G$20,IF(OR(B43="OFI home loan (Other financial institution)",B43="OFI Line of Credit (Other financial institution)"),J43*(1+Data!$G$26)+K43,J43+K43))))),0),0)</f>
        <v>0</v>
      </c>
      <c r="M43" s="444"/>
      <c r="N43" s="876"/>
      <c r="O43" s="439" t="b">
        <f>IF(OR(B43="CBA Variable Rate Home Loan",B43="CBA Fixed Rate Home Loan",B43="CBA Line of Credit"),NOT('Bridging Calculations'!P7),FALSE)</f>
        <v>0</v>
      </c>
      <c r="W43" s="888"/>
    </row>
    <row r="44" spans="1:23" x14ac:dyDescent="0.2">
      <c r="A44" s="481"/>
      <c r="B44" s="380"/>
      <c r="C44" s="730"/>
      <c r="D44" s="381"/>
      <c r="E44" s="381"/>
      <c r="F44" s="511"/>
      <c r="G44" s="832"/>
      <c r="H44" s="742"/>
      <c r="I44" s="595"/>
      <c r="J44" s="512"/>
      <c r="K44" s="513"/>
      <c r="L44" s="514">
        <f>IF(AND(NOT('Bridging Calculations'!O8),'Bridging Calculations'!P8),ROUNDUP(IF(OR(E44="With my funds",E44="Add to bridging",B44="Margin Loan"),0,IF(B44="Credit Card",MAX(Data!$G$22,MAX(F44:G44)*Data!$G$16),IF(B44="Overdraft",MAX(F44:G44)*Data!$G$18,IF(B44="Commercial Bill",MAX(F44:G44)*Data!$G$20,IF(OR(B44="OFI home loan (Other financial institution)",B44="OFI Line of Credit (Other financial institution)"),J44*(1+Data!$G$26)+K44,J44+K44))))),0),0)</f>
        <v>0</v>
      </c>
      <c r="M44" s="444"/>
      <c r="N44" s="876"/>
      <c r="O44" s="439" t="b">
        <f>IF(OR(B44="CBA Variable Rate Home Loan",B44="CBA Fixed Rate Home Loan",B44="CBA Line of Credit"),NOT('Bridging Calculations'!P8),FALSE)</f>
        <v>0</v>
      </c>
      <c r="W44" s="888"/>
    </row>
    <row r="45" spans="1:23" ht="13.5" thickBot="1" x14ac:dyDescent="0.25">
      <c r="A45" s="481"/>
      <c r="B45" s="380"/>
      <c r="C45" s="730"/>
      <c r="D45" s="381"/>
      <c r="E45" s="381"/>
      <c r="F45" s="511"/>
      <c r="G45" s="832"/>
      <c r="H45" s="742"/>
      <c r="I45" s="595"/>
      <c r="J45" s="512"/>
      <c r="K45" s="513"/>
      <c r="L45" s="514">
        <f>IF(AND(NOT('Bridging Calculations'!O9),'Bridging Calculations'!P9),ROUNDUP(IF(OR(E45="With my funds",E45="Add to bridging",B45="Margin Loan"),0,IF(B45="Credit Card",MAX(Data!$G$22,MAX(F45:G45)*Data!$G$16),IF(B45="Overdraft",MAX(F45:G45)*Data!$G$18,IF(B45="Commercial Bill",MAX(F45:G45)*Data!$G$20,IF(OR(B45="OFI home loan (Other financial institution)",B45="OFI Line of Credit (Other financial institution)"),J45*(1+Data!$G$26)+K45,J45+K45))))),0),0)</f>
        <v>0</v>
      </c>
      <c r="M45" s="444"/>
      <c r="N45" s="876"/>
      <c r="O45" s="439" t="b">
        <f>IF(OR(B45="CBA Variable Rate Home Loan",B45="CBA Fixed Rate Home Loan",B45="CBA Line of Credit"),NOT('Bridging Calculations'!P9),FALSE)</f>
        <v>0</v>
      </c>
      <c r="W45" s="888"/>
    </row>
    <row r="46" spans="1:23" ht="13.5" thickBot="1" x14ac:dyDescent="0.25">
      <c r="A46" s="481"/>
      <c r="B46" s="1013" t="str">
        <f>IF(NOT('Bridging Calculations'!R10),"Click ""Negative Gearing"" button to input details.","")</f>
        <v/>
      </c>
      <c r="C46" s="1014"/>
      <c r="D46" s="1013"/>
      <c r="E46" s="1013"/>
      <c r="F46" s="266"/>
      <c r="G46" s="266"/>
      <c r="H46" s="266"/>
      <c r="I46" s="266"/>
      <c r="J46" s="266"/>
      <c r="K46" s="161" t="s">
        <v>296</v>
      </c>
      <c r="L46" s="515">
        <f>SUM(L39:L45)</f>
        <v>0</v>
      </c>
      <c r="M46" s="444"/>
      <c r="N46" s="876"/>
      <c r="O46" s="506" t="b">
        <f>OR(O39:O45)</f>
        <v>0</v>
      </c>
      <c r="W46" s="888"/>
    </row>
    <row r="47" spans="1:23" ht="38.25" customHeight="1" x14ac:dyDescent="0.2">
      <c r="A47" s="481"/>
      <c r="B47" s="1015" t="str">
        <f>IF(O46,"Enter the current interest rate for this product. Refer CommBroker for more information","")</f>
        <v/>
      </c>
      <c r="C47" s="1015"/>
      <c r="D47" s="1015"/>
      <c r="E47" s="1015"/>
      <c r="F47" s="1015"/>
      <c r="G47" s="1015"/>
      <c r="H47" s="266"/>
      <c r="I47" s="266"/>
      <c r="J47" s="266"/>
      <c r="K47" s="266"/>
      <c r="L47" s="266"/>
      <c r="M47" s="444"/>
      <c r="N47" s="876"/>
      <c r="W47" s="888"/>
    </row>
    <row r="48" spans="1:23" ht="24.75" customHeight="1" x14ac:dyDescent="0.2">
      <c r="A48" s="481"/>
      <c r="B48" s="137" t="s">
        <v>526</v>
      </c>
      <c r="C48" s="822"/>
      <c r="D48" s="482"/>
      <c r="E48" s="482"/>
      <c r="F48" s="445"/>
      <c r="G48" s="445"/>
      <c r="H48" s="445"/>
      <c r="I48" s="452"/>
      <c r="J48" s="445"/>
      <c r="K48" s="516"/>
      <c r="L48" s="881"/>
      <c r="M48" s="1006"/>
      <c r="N48" s="1006"/>
      <c r="O48" s="1006"/>
      <c r="P48" s="1006"/>
      <c r="Q48" s="1006"/>
      <c r="R48" s="1006"/>
      <c r="S48" s="1006"/>
      <c r="T48" s="1006"/>
      <c r="U48" s="1006"/>
      <c r="V48" s="880"/>
      <c r="W48" s="888"/>
    </row>
    <row r="49" spans="1:34" x14ac:dyDescent="0.2">
      <c r="A49" s="481"/>
      <c r="B49" s="266"/>
      <c r="C49" s="266"/>
      <c r="D49" s="266"/>
      <c r="E49" s="266"/>
      <c r="F49" s="266"/>
      <c r="G49" s="266"/>
      <c r="H49" s="266"/>
      <c r="I49" s="266"/>
      <c r="J49" s="266"/>
      <c r="K49" s="266"/>
      <c r="L49" s="266"/>
      <c r="M49" s="444"/>
      <c r="N49" s="876"/>
      <c r="W49" s="888"/>
    </row>
    <row r="50" spans="1:34" x14ac:dyDescent="0.2">
      <c r="A50" s="481"/>
      <c r="B50" s="473"/>
      <c r="C50" s="473"/>
      <c r="D50" s="473"/>
      <c r="E50" s="473" t="s">
        <v>297</v>
      </c>
      <c r="F50" s="517"/>
      <c r="G50" s="266"/>
      <c r="H50" s="266"/>
      <c r="I50" s="473"/>
      <c r="J50" s="473" t="s">
        <v>298</v>
      </c>
      <c r="K50" s="517"/>
      <c r="L50" s="266"/>
      <c r="M50" s="444"/>
      <c r="N50" s="876"/>
      <c r="P50" s="871" t="s">
        <v>522</v>
      </c>
      <c r="Q50" s="868">
        <f t="array" ref="Q50">IF(U50="IO",ROUNDUP(((K53-K54)*F53)/12+F52,0),0)</f>
        <v>0</v>
      </c>
      <c r="S50" s="901" t="s">
        <v>512</v>
      </c>
      <c r="U50" s="893"/>
      <c r="W50" s="888"/>
    </row>
    <row r="51" spans="1:34" x14ac:dyDescent="0.2">
      <c r="A51" s="481"/>
      <c r="B51" s="473"/>
      <c r="C51" s="473"/>
      <c r="D51" s="473"/>
      <c r="E51" s="473" t="s">
        <v>299</v>
      </c>
      <c r="F51" s="517"/>
      <c r="G51" s="266"/>
      <c r="H51" s="266"/>
      <c r="I51" s="473"/>
      <c r="J51" s="473" t="s">
        <v>300</v>
      </c>
      <c r="K51" s="518">
        <f>F50*Data!G11</f>
        <v>0</v>
      </c>
      <c r="L51" s="266"/>
      <c r="M51" s="444"/>
      <c r="N51" s="876"/>
      <c r="P51" s="871" t="s">
        <v>523</v>
      </c>
      <c r="Q51" s="868">
        <f t="array" ref="Q51">IF(U50="PI",ROUNDUP(((PMT((F53)/12,(1)*12,(K53-K54),0,0))*-1)+F52,0),)</f>
        <v>0</v>
      </c>
      <c r="S51" s="901" t="s">
        <v>544</v>
      </c>
      <c r="T51" s="636"/>
      <c r="U51" s="893"/>
      <c r="W51" s="888"/>
    </row>
    <row r="52" spans="1:34" x14ac:dyDescent="0.2">
      <c r="A52" s="481"/>
      <c r="B52" s="473"/>
      <c r="C52" s="473"/>
      <c r="D52" s="473"/>
      <c r="E52" s="473" t="s">
        <v>301</v>
      </c>
      <c r="F52" s="517"/>
      <c r="G52" s="266"/>
      <c r="H52" s="266"/>
      <c r="I52" s="473"/>
      <c r="J52" s="473" t="s">
        <v>302</v>
      </c>
      <c r="K52" s="517"/>
      <c r="L52" s="266"/>
      <c r="M52" s="444"/>
      <c r="N52" s="876"/>
      <c r="P52" s="869" t="s">
        <v>520</v>
      </c>
      <c r="Q52" s="868">
        <f t="array" ref="Q52">SUM(IF(U51="IO",ROUNDUP(((E65)*F65)/12+K65,0))+IF(U52="IO",ROUNDUP(((E66)*F66)/12+K66,0))+IF(U53="IO",ROUNDUP(((E67)*F67)/12+K67,0))+IF(U54="IO",ROUNDUP(((E68)*F68)/12+K68,0))+IF(U55="IO",ROUNDUP(((E69)*F69)/12+K69,0))+IF(U56="IO",ROUNDUP(((E70)*F70)/12+K70,0)))</f>
        <v>0</v>
      </c>
      <c r="S52" s="901" t="s">
        <v>514</v>
      </c>
      <c r="U52" s="893"/>
      <c r="W52" s="888"/>
    </row>
    <row r="53" spans="1:34" x14ac:dyDescent="0.2">
      <c r="A53" s="481"/>
      <c r="B53" s="473"/>
      <c r="C53" s="473"/>
      <c r="D53" s="473"/>
      <c r="E53" s="473" t="s">
        <v>527</v>
      </c>
      <c r="F53" s="600"/>
      <c r="G53" s="266"/>
      <c r="H53" s="266"/>
      <c r="I53" s="473"/>
      <c r="J53" s="473" t="s">
        <v>303</v>
      </c>
      <c r="K53" s="519">
        <f>SUMIF(E39:E45,"Add to bridging",'Bridging Calculations'!S3:S9)+K50</f>
        <v>0</v>
      </c>
      <c r="L53" s="266"/>
      <c r="M53" s="444"/>
      <c r="N53" s="876"/>
      <c r="P53" s="872" t="s">
        <v>521</v>
      </c>
      <c r="Q53" s="868">
        <f t="array" ref="Q53">SUM(IF(U51="PI",L65)+IF(U52="PI",L66)+IF(U53="PI",L67)+IF(U54="PI",L68)+IF(U55="PI",L69)+IF(U56="PI",L70))</f>
        <v>0</v>
      </c>
      <c r="S53" s="901" t="s">
        <v>518</v>
      </c>
      <c r="U53" s="873"/>
      <c r="W53" s="888"/>
    </row>
    <row r="54" spans="1:34" x14ac:dyDescent="0.2">
      <c r="A54" s="481"/>
      <c r="B54" s="444"/>
      <c r="C54" s="444"/>
      <c r="D54" s="444"/>
      <c r="E54" s="473"/>
      <c r="F54" s="721"/>
      <c r="G54" s="266"/>
      <c r="H54" s="266"/>
      <c r="I54" s="161"/>
      <c r="J54" s="161" t="s">
        <v>528</v>
      </c>
      <c r="K54" s="520">
        <f t="array" ref="K54">SUM(IF((E39:E45="Add to bridging")+(E39:E45="After bridging"),'Bridging Calculations'!S3:S9))+K50-K52</f>
        <v>0</v>
      </c>
      <c r="L54" s="266"/>
      <c r="M54" s="444"/>
      <c r="N54" s="876"/>
      <c r="S54" s="901" t="s">
        <v>515</v>
      </c>
      <c r="U54" s="873"/>
      <c r="W54" s="888"/>
      <c r="AH54" s="902"/>
    </row>
    <row r="55" spans="1:34" x14ac:dyDescent="0.2">
      <c r="A55" s="481"/>
      <c r="B55" s="266"/>
      <c r="C55" s="266"/>
      <c r="D55" s="266"/>
      <c r="E55" s="266"/>
      <c r="F55" s="266"/>
      <c r="G55" s="266"/>
      <c r="H55" s="266"/>
      <c r="I55" s="266"/>
      <c r="J55" s="266"/>
      <c r="K55" s="266"/>
      <c r="L55" s="266"/>
      <c r="M55" s="444"/>
      <c r="N55" s="876"/>
      <c r="S55" s="901" t="s">
        <v>516</v>
      </c>
      <c r="U55" s="873"/>
      <c r="W55" s="888"/>
      <c r="AH55" s="870" t="s">
        <v>513</v>
      </c>
    </row>
    <row r="56" spans="1:34" x14ac:dyDescent="0.2">
      <c r="A56" s="481"/>
      <c r="B56" s="266"/>
      <c r="C56" s="266"/>
      <c r="D56" s="266"/>
      <c r="E56" s="266"/>
      <c r="F56" s="266"/>
      <c r="G56" s="266"/>
      <c r="H56" s="266"/>
      <c r="I56" s="266"/>
      <c r="J56" s="521" t="s">
        <v>305</v>
      </c>
      <c r="K56" s="522">
        <f>ROUNDUP(K53*((F53-F54)/12)+F52,0)</f>
        <v>0</v>
      </c>
      <c r="L56" s="266"/>
      <c r="M56" s="444"/>
      <c r="N56" s="876"/>
      <c r="S56" s="901" t="s">
        <v>519</v>
      </c>
      <c r="U56" s="873"/>
      <c r="W56" s="888"/>
      <c r="AH56" s="870" t="s">
        <v>517</v>
      </c>
    </row>
    <row r="57" spans="1:34" x14ac:dyDescent="0.2">
      <c r="A57" s="481"/>
      <c r="B57" s="266"/>
      <c r="C57" s="266"/>
      <c r="D57" s="266"/>
      <c r="E57" s="266"/>
      <c r="F57" s="266"/>
      <c r="G57" s="266"/>
      <c r="H57" s="266"/>
      <c r="I57" s="266"/>
      <c r="J57" s="521" t="s">
        <v>306</v>
      </c>
      <c r="K57" s="522">
        <f t="array" ref="K57">L46+Q50+Q51+Q52+Q53</f>
        <v>0</v>
      </c>
      <c r="L57" s="266"/>
      <c r="M57" s="444"/>
      <c r="N57" s="876"/>
      <c r="W57" s="888"/>
    </row>
    <row r="58" spans="1:34" ht="13.5" thickBot="1" x14ac:dyDescent="0.25">
      <c r="A58" s="481"/>
      <c r="B58" s="266"/>
      <c r="C58" s="266"/>
      <c r="D58" s="266"/>
      <c r="E58" s="266"/>
      <c r="F58" s="266"/>
      <c r="G58" s="266"/>
      <c r="H58" s="266"/>
      <c r="I58" s="266"/>
      <c r="J58" s="266"/>
      <c r="K58" s="266"/>
      <c r="L58" s="266"/>
      <c r="M58" s="444"/>
      <c r="N58" s="876"/>
      <c r="W58" s="888"/>
    </row>
    <row r="59" spans="1:34" ht="13.5" thickBot="1" x14ac:dyDescent="0.25">
      <c r="A59" s="481"/>
      <c r="B59" s="523"/>
      <c r="C59" s="523"/>
      <c r="D59" s="523"/>
      <c r="E59" s="523"/>
      <c r="F59" s="523" t="s">
        <v>307</v>
      </c>
      <c r="G59" s="1007" t="str">
        <f>IF('Bridging Calculations'!Z15,'Bridging Calculations'!V24,"Input Incomplete")</f>
        <v>Input Incomplete</v>
      </c>
      <c r="H59" s="1008"/>
      <c r="I59" s="266"/>
      <c r="J59" s="523"/>
      <c r="K59" s="523" t="s">
        <v>308</v>
      </c>
      <c r="L59" s="524" t="str">
        <f>IF('Bridging Calculations'!Z15,'Bridging Calculations'!V16,"")</f>
        <v/>
      </c>
      <c r="M59" s="444"/>
      <c r="N59" s="876"/>
      <c r="W59" s="888"/>
    </row>
    <row r="60" spans="1:34" ht="13.5" thickBot="1" x14ac:dyDescent="0.25">
      <c r="A60" s="481"/>
      <c r="B60" s="523"/>
      <c r="C60" s="523"/>
      <c r="D60" s="523"/>
      <c r="E60" s="523"/>
      <c r="F60" s="523" t="s">
        <v>265</v>
      </c>
      <c r="G60" s="525">
        <f>'Bridging Calculations'!V21</f>
        <v>0</v>
      </c>
      <c r="H60" s="526"/>
      <c r="I60" s="266"/>
      <c r="J60" s="523"/>
      <c r="K60" s="523"/>
      <c r="L60" s="527"/>
      <c r="M60" s="444"/>
      <c r="N60" s="876"/>
      <c r="W60" s="888"/>
    </row>
    <row r="61" spans="1:34" x14ac:dyDescent="0.2">
      <c r="A61" s="481"/>
      <c r="B61" s="266"/>
      <c r="C61" s="266"/>
      <c r="D61" s="266"/>
      <c r="E61" s="266"/>
      <c r="F61" s="266"/>
      <c r="G61" s="266"/>
      <c r="H61" s="266"/>
      <c r="I61" s="266"/>
      <c r="J61" s="266"/>
      <c r="K61" s="266"/>
      <c r="L61" s="266"/>
      <c r="M61" s="444"/>
      <c r="N61" s="876"/>
      <c r="W61" s="888"/>
    </row>
    <row r="62" spans="1:34" ht="24.75" customHeight="1" x14ac:dyDescent="0.2">
      <c r="A62" s="481"/>
      <c r="B62" s="137" t="s">
        <v>529</v>
      </c>
      <c r="C62" s="822"/>
      <c r="D62" s="482"/>
      <c r="E62" s="482"/>
      <c r="F62" s="452"/>
      <c r="G62" s="139"/>
      <c r="H62" s="445"/>
      <c r="I62" s="452"/>
      <c r="J62" s="452"/>
      <c r="K62" s="452"/>
      <c r="L62" s="886"/>
      <c r="M62" s="883"/>
      <c r="N62" s="883"/>
      <c r="O62" s="883"/>
      <c r="P62" s="883"/>
      <c r="Q62" s="883"/>
      <c r="R62" s="883"/>
      <c r="S62" s="883"/>
      <c r="T62" s="883"/>
      <c r="U62" s="883"/>
      <c r="V62" s="884"/>
      <c r="W62" s="888"/>
    </row>
    <row r="63" spans="1:34" x14ac:dyDescent="0.2">
      <c r="A63" s="481"/>
      <c r="B63" s="266"/>
      <c r="C63" s="266"/>
      <c r="D63" s="266"/>
      <c r="E63" s="266"/>
      <c r="F63" s="266"/>
      <c r="G63" s="266"/>
      <c r="H63" s="266"/>
      <c r="I63" s="266"/>
      <c r="J63" s="266"/>
      <c r="K63" s="266"/>
      <c r="L63" s="266"/>
      <c r="M63" s="444"/>
      <c r="N63" s="876"/>
      <c r="W63" s="888"/>
    </row>
    <row r="64" spans="1:34" s="466" customFormat="1" ht="39" customHeight="1" x14ac:dyDescent="0.2">
      <c r="A64" s="481"/>
      <c r="B64" s="441" t="s">
        <v>56</v>
      </c>
      <c r="C64" s="441" t="s">
        <v>267</v>
      </c>
      <c r="D64" s="441" t="s">
        <v>246</v>
      </c>
      <c r="E64" s="441" t="s">
        <v>497</v>
      </c>
      <c r="F64" s="441" t="s">
        <v>67</v>
      </c>
      <c r="G64" s="827"/>
      <c r="H64" s="640"/>
      <c r="I64" s="528" t="s">
        <v>68</v>
      </c>
      <c r="J64" s="441" t="s">
        <v>309</v>
      </c>
      <c r="K64" s="441" t="s">
        <v>63</v>
      </c>
      <c r="L64" s="441" t="s">
        <v>71</v>
      </c>
      <c r="M64" s="444"/>
      <c r="N64" s="875"/>
      <c r="W64" s="887"/>
    </row>
    <row r="65" spans="1:23" s="466" customFormat="1" x14ac:dyDescent="0.2">
      <c r="A65" s="467"/>
      <c r="B65" s="380"/>
      <c r="C65" s="380"/>
      <c r="D65" s="839"/>
      <c r="E65" s="894"/>
      <c r="F65" s="840"/>
      <c r="G65" s="829"/>
      <c r="H65" s="828"/>
      <c r="I65" s="381"/>
      <c r="J65" s="381"/>
      <c r="K65" s="529"/>
      <c r="L65" s="530">
        <f>IF(AND(NOT('Bridging Calculations'!O14),'Bridging Calculations'!P14),ROUNDUP(IF(B65="Credit Card",E65*Data!$G$16,-PMT(MAX(F65,Data!$G$32)/12,(I65-J65)*12,E65)+K65),0),0)</f>
        <v>0</v>
      </c>
      <c r="M65" s="444"/>
      <c r="N65" s="875"/>
      <c r="W65" s="887"/>
    </row>
    <row r="66" spans="1:23" s="466" customFormat="1" x14ac:dyDescent="0.2">
      <c r="A66" s="467"/>
      <c r="B66" s="380"/>
      <c r="C66" s="380"/>
      <c r="D66" s="381"/>
      <c r="E66" s="841"/>
      <c r="F66" s="840"/>
      <c r="G66" s="830"/>
      <c r="H66" s="828"/>
      <c r="I66" s="381"/>
      <c r="J66" s="381"/>
      <c r="K66" s="529"/>
      <c r="L66" s="530">
        <f>IF(AND(NOT('Bridging Calculations'!O15),'Bridging Calculations'!P15),ROUNDUP(IF(B66="Credit Card",E66*Data!$G$16,-PMT(MAX(F66,Data!$G$32)/12,(I66-J66)*12,E66)+K66),0),0)</f>
        <v>0</v>
      </c>
      <c r="M66" s="444"/>
      <c r="N66" s="875"/>
      <c r="W66" s="887"/>
    </row>
    <row r="67" spans="1:23" s="466" customFormat="1" x14ac:dyDescent="0.2">
      <c r="A67" s="467"/>
      <c r="B67" s="380"/>
      <c r="C67" s="380"/>
      <c r="D67" s="381"/>
      <c r="E67" s="841"/>
      <c r="F67" s="840"/>
      <c r="G67" s="830"/>
      <c r="H67" s="828"/>
      <c r="I67" s="381"/>
      <c r="J67" s="381"/>
      <c r="K67" s="529"/>
      <c r="L67" s="530">
        <f>IF(AND(NOT('Bridging Calculations'!O16),'Bridging Calculations'!P16),ROUNDUP(IF(B67="Credit Card",E67*Data!$G$16,-PMT(MAX(F67,Data!$G$32)/12,(I67-J67)*12,E67)+K67),0),0)</f>
        <v>0</v>
      </c>
      <c r="M67" s="444"/>
      <c r="N67" s="875"/>
      <c r="W67" s="887"/>
    </row>
    <row r="68" spans="1:23" s="466" customFormat="1" x14ac:dyDescent="0.2">
      <c r="A68" s="467"/>
      <c r="B68" s="380"/>
      <c r="C68" s="380"/>
      <c r="D68" s="381"/>
      <c r="E68" s="841"/>
      <c r="F68" s="840"/>
      <c r="G68" s="830"/>
      <c r="H68" s="828"/>
      <c r="I68" s="381"/>
      <c r="J68" s="381"/>
      <c r="K68" s="529"/>
      <c r="L68" s="530">
        <f>IF(AND(NOT('Bridging Calculations'!O17),'Bridging Calculations'!P17),ROUNDUP(IF(B68="Credit Card",E68*Data!$G$16,-PMT(MAX(F68,Data!$G$32)/12,(I68-J68)*12,E68)+K68),0),0)</f>
        <v>0</v>
      </c>
      <c r="M68" s="444"/>
      <c r="N68" s="875"/>
      <c r="W68" s="887"/>
    </row>
    <row r="69" spans="1:23" s="466" customFormat="1" x14ac:dyDescent="0.2">
      <c r="A69" s="467"/>
      <c r="B69" s="380"/>
      <c r="C69" s="380"/>
      <c r="D69" s="381"/>
      <c r="E69" s="841"/>
      <c r="F69" s="840"/>
      <c r="G69" s="830"/>
      <c r="H69" s="828"/>
      <c r="I69" s="381"/>
      <c r="J69" s="381"/>
      <c r="K69" s="529"/>
      <c r="L69" s="530">
        <f>IF(AND(NOT('Bridging Calculations'!O18),'Bridging Calculations'!P18),ROUNDUP(IF(B69="Credit Card",E69*Data!$G$16,-PMT(MAX(F69,Data!$G$32)/12,(I69-J69)*12,E69)+K69),0),0)</f>
        <v>0</v>
      </c>
      <c r="M69" s="444"/>
      <c r="N69" s="875"/>
      <c r="W69" s="887"/>
    </row>
    <row r="70" spans="1:23" s="466" customFormat="1" ht="13.5" thickBot="1" x14ac:dyDescent="0.25">
      <c r="A70" s="467"/>
      <c r="B70" s="380"/>
      <c r="C70" s="380"/>
      <c r="D70" s="381"/>
      <c r="E70" s="841"/>
      <c r="F70" s="840"/>
      <c r="G70" s="830"/>
      <c r="H70" s="828"/>
      <c r="I70" s="381"/>
      <c r="J70" s="381"/>
      <c r="K70" s="529"/>
      <c r="L70" s="531">
        <f>IF(AND(NOT('Bridging Calculations'!O19),'Bridging Calculations'!P19),ROUNDUP(IF(B70="Credit Card",E70*Data!$G$16,-PMT(MAX(F70,Data!$G$32)/12,(I70-J70)*12,E70)+K70),0),0)</f>
        <v>0</v>
      </c>
      <c r="M70" s="444"/>
      <c r="N70" s="875"/>
      <c r="W70" s="887"/>
    </row>
    <row r="71" spans="1:23" s="466" customFormat="1" ht="13.5" thickBot="1" x14ac:dyDescent="0.25">
      <c r="A71" s="467"/>
      <c r="B71" s="1013" t="str">
        <f>IF(NOT('Bridging Calculations'!R20),"Click ""Negative Gearing"" button to input details.","")</f>
        <v/>
      </c>
      <c r="C71" s="1014"/>
      <c r="D71" s="1013"/>
      <c r="E71" s="1013"/>
      <c r="F71" s="266"/>
      <c r="G71" s="266"/>
      <c r="H71" s="266"/>
      <c r="I71" s="266"/>
      <c r="J71" s="266"/>
      <c r="K71" s="521" t="s">
        <v>530</v>
      </c>
      <c r="L71" s="532">
        <f>SUM(L65:L70)+SUMIF(E39:E45,"No",L39:L45)</f>
        <v>0</v>
      </c>
      <c r="M71" s="444"/>
      <c r="N71" s="875"/>
      <c r="W71" s="887"/>
    </row>
    <row r="72" spans="1:23" s="466" customFormat="1" ht="21" customHeight="1" thickBot="1" x14ac:dyDescent="0.25">
      <c r="A72" s="467"/>
      <c r="B72" s="266"/>
      <c r="C72" s="266"/>
      <c r="D72" s="266"/>
      <c r="E72" s="266"/>
      <c r="F72" s="266"/>
      <c r="G72" s="266"/>
      <c r="H72" s="266"/>
      <c r="I72" s="266"/>
      <c r="J72" s="266"/>
      <c r="K72" s="266"/>
      <c r="L72" s="266"/>
      <c r="M72" s="444"/>
      <c r="N72" s="875"/>
      <c r="W72" s="887"/>
    </row>
    <row r="73" spans="1:23" s="466" customFormat="1" ht="13.5" thickBot="1" x14ac:dyDescent="0.25">
      <c r="A73" s="467"/>
      <c r="B73" s="266"/>
      <c r="C73" s="266"/>
      <c r="D73" s="266"/>
      <c r="E73" s="266"/>
      <c r="F73" s="523" t="s">
        <v>532</v>
      </c>
      <c r="G73" s="1007" t="str">
        <f>IF('Bridging Calculations'!Z15,'Bridging Calculations'!W24,"Input Incomplete")</f>
        <v>Input Incomplete</v>
      </c>
      <c r="H73" s="1008"/>
      <c r="I73" s="266"/>
      <c r="J73" s="266"/>
      <c r="K73" s="523" t="s">
        <v>531</v>
      </c>
      <c r="L73" s="524" t="str">
        <f>IF('Bridging Calculations'!Z15,'Bridging Calculations'!W16,"")</f>
        <v/>
      </c>
      <c r="M73" s="443"/>
      <c r="N73" s="875"/>
      <c r="W73" s="887"/>
    </row>
    <row r="74" spans="1:23" s="466" customFormat="1" ht="13.5" thickBot="1" x14ac:dyDescent="0.25">
      <c r="A74" s="467"/>
      <c r="B74" s="266"/>
      <c r="C74" s="266"/>
      <c r="D74" s="266"/>
      <c r="E74" s="266"/>
      <c r="F74" s="523" t="s">
        <v>265</v>
      </c>
      <c r="G74" s="525">
        <f>'Bridging Calculations'!W21</f>
        <v>0</v>
      </c>
      <c r="H74" s="533"/>
      <c r="I74" s="266"/>
      <c r="J74" s="266"/>
      <c r="K74" s="523"/>
      <c r="L74" s="527"/>
      <c r="M74" s="443"/>
      <c r="N74" s="875"/>
      <c r="W74" s="887"/>
    </row>
    <row r="75" spans="1:23" s="466" customFormat="1" ht="13.5" thickBot="1" x14ac:dyDescent="0.25">
      <c r="A75" s="467"/>
      <c r="B75" s="266"/>
      <c r="C75" s="266"/>
      <c r="D75" s="266"/>
      <c r="E75" s="266"/>
      <c r="F75" s="523" t="s">
        <v>500</v>
      </c>
      <c r="G75" s="860" t="str">
        <f>IF('Bridging Calculations'!Z15,'Bridging Calculations'!B42,"")</f>
        <v/>
      </c>
      <c r="H75" s="526"/>
      <c r="I75" s="266"/>
      <c r="J75" s="266"/>
      <c r="K75" s="523"/>
      <c r="L75" s="527"/>
      <c r="M75" s="443"/>
      <c r="N75" s="875"/>
      <c r="W75" s="887"/>
    </row>
    <row r="76" spans="1:23" s="466" customFormat="1" ht="25.5" customHeight="1" x14ac:dyDescent="0.2">
      <c r="A76" s="467"/>
      <c r="B76" s="266"/>
      <c r="C76" s="266"/>
      <c r="D76" s="865" t="str">
        <f>IF(OR(G75&lt;=6,G75=""), " "," The debt to income ratio is high. Ensure all income sources and account variations are captured accurately.")</f>
        <v xml:space="preserve"> </v>
      </c>
      <c r="E76" s="266"/>
      <c r="F76" s="266"/>
      <c r="G76" s="266"/>
      <c r="H76" s="266"/>
      <c r="I76" s="266"/>
      <c r="J76" s="266"/>
      <c r="K76" s="266"/>
      <c r="L76" s="266"/>
      <c r="M76" s="443"/>
      <c r="N76" s="875"/>
      <c r="W76" s="887"/>
    </row>
    <row r="77" spans="1:23" s="466" customFormat="1" ht="38.25" customHeight="1" x14ac:dyDescent="0.2">
      <c r="A77" s="467"/>
      <c r="B77" s="1009" t="s">
        <v>310</v>
      </c>
      <c r="C77" s="1010"/>
      <c r="D77" s="1011"/>
      <c r="E77" s="1011"/>
      <c r="F77" s="1011"/>
      <c r="G77" s="1011"/>
      <c r="H77" s="1011"/>
      <c r="I77" s="1011"/>
      <c r="J77" s="1011"/>
      <c r="K77" s="1011"/>
      <c r="L77" s="1012"/>
      <c r="M77" s="443"/>
      <c r="N77" s="875"/>
      <c r="W77" s="887"/>
    </row>
    <row r="78" spans="1:23" s="466" customFormat="1" x14ac:dyDescent="0.2">
      <c r="A78" s="467"/>
      <c r="B78" s="266"/>
      <c r="C78" s="266"/>
      <c r="D78" s="266"/>
      <c r="E78" s="266"/>
      <c r="F78" s="266"/>
      <c r="G78" s="266"/>
      <c r="H78" s="266"/>
      <c r="I78" s="266"/>
      <c r="J78" s="266"/>
      <c r="K78" s="266"/>
      <c r="L78" s="266"/>
      <c r="M78" s="443"/>
      <c r="N78" s="875"/>
      <c r="W78" s="887"/>
    </row>
    <row r="79" spans="1:23" s="537" customFormat="1" ht="11.25" x14ac:dyDescent="0.2">
      <c r="A79" s="534"/>
      <c r="B79" s="535"/>
      <c r="C79" s="535"/>
      <c r="D79" s="535"/>
      <c r="E79" s="535"/>
      <c r="F79" s="535"/>
      <c r="G79" s="535"/>
      <c r="H79" s="535"/>
      <c r="I79" s="535"/>
      <c r="J79" s="535"/>
      <c r="K79" s="535"/>
      <c r="L79" s="536" t="s">
        <v>311</v>
      </c>
      <c r="M79" s="535"/>
      <c r="N79" s="879"/>
      <c r="W79" s="890"/>
    </row>
    <row r="80" spans="1:23" s="466" customFormat="1" x14ac:dyDescent="0.2">
      <c r="A80" s="538"/>
      <c r="B80" s="539"/>
      <c r="C80" s="539"/>
      <c r="D80" s="539"/>
      <c r="E80" s="539"/>
      <c r="F80" s="539"/>
      <c r="G80" s="540"/>
      <c r="H80" s="539"/>
      <c r="I80" s="540"/>
      <c r="J80" s="540"/>
      <c r="K80" s="540"/>
      <c r="L80" s="540"/>
      <c r="M80" s="540"/>
      <c r="N80" s="891"/>
      <c r="O80" s="891"/>
      <c r="P80" s="891"/>
      <c r="Q80" s="891"/>
      <c r="R80" s="891"/>
      <c r="S80" s="891"/>
      <c r="T80" s="891"/>
      <c r="U80" s="891"/>
      <c r="V80" s="891"/>
      <c r="W80" s="892"/>
    </row>
    <row r="85" spans="1:13" s="466" customFormat="1" x14ac:dyDescent="0.2">
      <c r="B85" s="439"/>
      <c r="C85" s="439"/>
      <c r="D85" s="439"/>
      <c r="E85" s="439"/>
      <c r="F85" s="439"/>
      <c r="G85" s="439"/>
      <c r="H85" s="439"/>
      <c r="I85" s="439"/>
      <c r="J85" s="439"/>
      <c r="K85" s="439"/>
      <c r="L85" s="439"/>
      <c r="M85" s="542"/>
    </row>
    <row r="86" spans="1:13" s="466" customFormat="1" x14ac:dyDescent="0.2">
      <c r="A86" s="439"/>
      <c r="B86" s="439"/>
      <c r="C86" s="439"/>
      <c r="D86" s="439"/>
      <c r="E86" s="439"/>
      <c r="F86" s="439"/>
      <c r="G86" s="439"/>
      <c r="H86" s="439"/>
      <c r="I86" s="439"/>
      <c r="J86" s="439"/>
      <c r="K86" s="439"/>
      <c r="L86" s="439"/>
      <c r="M86" s="542"/>
    </row>
    <row r="87" spans="1:13" s="466" customFormat="1" x14ac:dyDescent="0.2">
      <c r="A87" s="439"/>
      <c r="B87" s="439"/>
      <c r="C87" s="439"/>
      <c r="D87" s="439"/>
      <c r="E87" s="439"/>
      <c r="F87" s="439"/>
      <c r="G87" s="439"/>
      <c r="H87" s="439"/>
      <c r="I87" s="439"/>
      <c r="J87" s="439"/>
      <c r="K87" s="439"/>
      <c r="L87" s="439"/>
      <c r="M87" s="542"/>
    </row>
  </sheetData>
  <sheetProtection algorithmName="SHA-512" hashValue="IGXa/EMyk/HkRiMcPAzL/eVu393yI5ozNGE3DAbznWf6Y/g5sz+0sF1h+9r3OMZurEltKtZLVXjq8przQLKcZw==" saltValue="6LYZ+AD8th/L139MdfxbbQ==" spinCount="100000" sheet="1" objects="1" scenarios="1"/>
  <mergeCells count="12">
    <mergeCell ref="F4:G4"/>
    <mergeCell ref="J4:K4"/>
    <mergeCell ref="B7:H7"/>
    <mergeCell ref="F13:G13"/>
    <mergeCell ref="H13:I13"/>
    <mergeCell ref="M48:U48"/>
    <mergeCell ref="G59:H59"/>
    <mergeCell ref="G73:H73"/>
    <mergeCell ref="B77:L77"/>
    <mergeCell ref="B46:E46"/>
    <mergeCell ref="B71:E71"/>
    <mergeCell ref="B47:G47"/>
  </mergeCells>
  <conditionalFormatting sqref="F65:F70">
    <cfRule type="expression" dxfId="68" priority="28" stopIfTrue="1">
      <formula>AND(F65="",B65&lt;&gt;"",B65&lt;&gt;"Credit Card")</formula>
    </cfRule>
  </conditionalFormatting>
  <conditionalFormatting sqref="J65:J70">
    <cfRule type="expression" dxfId="67" priority="29" stopIfTrue="1">
      <formula>AND(A65="Yes",J65&lt;=0)</formula>
    </cfRule>
  </conditionalFormatting>
  <conditionalFormatting sqref="K65:K70">
    <cfRule type="expression" dxfId="66" priority="30" stopIfTrue="1">
      <formula>AND(K65="",B65&lt;&gt;"",B65&lt;&gt;"Credit Card")</formula>
    </cfRule>
  </conditionalFormatting>
  <conditionalFormatting sqref="E39:E45">
    <cfRule type="expression" dxfId="65" priority="31" stopIfTrue="1">
      <formula>AND(B39&lt;&gt;"",E39="")</formula>
    </cfRule>
  </conditionalFormatting>
  <conditionalFormatting sqref="F66:F70">
    <cfRule type="expression" dxfId="64" priority="32" stopIfTrue="1">
      <formula>AND(OR(B66="Home Loan",B66="Investment Home Loan",B66="Line of Credit",B66="Personal Loan",B66="Other - Secured",B66="Other - Unsecured",B66="Hire Purchase",B66="Lease"),F66="")</formula>
    </cfRule>
  </conditionalFormatting>
  <conditionalFormatting sqref="I65:I70">
    <cfRule type="expression" dxfId="63" priority="33" stopIfTrue="1">
      <formula>AND(I65="",B65&lt;&gt;"",B65&lt;&gt;"Credit Card")</formula>
    </cfRule>
  </conditionalFormatting>
  <conditionalFormatting sqref="F17:F25 F30:F31">
    <cfRule type="expression" dxfId="62" priority="34" stopIfTrue="1">
      <formula>SUM($F$17:$F$25,$F$30:$F$31)&lt;=0</formula>
    </cfRule>
  </conditionalFormatting>
  <conditionalFormatting sqref="I9">
    <cfRule type="expression" dxfId="61" priority="35" stopIfTrue="1">
      <formula>I9&lt;=0</formula>
    </cfRule>
  </conditionalFormatting>
  <conditionalFormatting sqref="I6:I7">
    <cfRule type="cellIs" dxfId="60" priority="36" stopIfTrue="1" operator="equal">
      <formula>""</formula>
    </cfRule>
  </conditionalFormatting>
  <conditionalFormatting sqref="J10:J11">
    <cfRule type="expression" dxfId="59" priority="37" stopIfTrue="1">
      <formula>$I$6&gt;=2</formula>
    </cfRule>
  </conditionalFormatting>
  <conditionalFormatting sqref="K10:K11">
    <cfRule type="expression" dxfId="58" priority="38" stopIfTrue="1">
      <formula>$I$6&gt;2</formula>
    </cfRule>
  </conditionalFormatting>
  <conditionalFormatting sqref="L10:L11">
    <cfRule type="expression" dxfId="57" priority="39" stopIfTrue="1">
      <formula>$I$6&gt;3</formula>
    </cfRule>
  </conditionalFormatting>
  <conditionalFormatting sqref="K9">
    <cfRule type="expression" dxfId="56" priority="40" stopIfTrue="1">
      <formula>AND($I$6&gt;2,K9&lt;=0)</formula>
    </cfRule>
    <cfRule type="expression" dxfId="55" priority="41" stopIfTrue="1">
      <formula>$I$6&gt;2</formula>
    </cfRule>
  </conditionalFormatting>
  <conditionalFormatting sqref="J9">
    <cfRule type="expression" dxfId="54" priority="42" stopIfTrue="1">
      <formula>AND($I$6&gt;=2,J9&lt;=0)</formula>
    </cfRule>
    <cfRule type="expression" dxfId="53" priority="43" stopIfTrue="1">
      <formula>$I$6&gt;=2</formula>
    </cfRule>
  </conditionalFormatting>
  <conditionalFormatting sqref="L9">
    <cfRule type="expression" dxfId="52" priority="44" stopIfTrue="1">
      <formula>AND($I$6&gt;3,L9&lt;=0)</formula>
    </cfRule>
    <cfRule type="expression" dxfId="51" priority="45" stopIfTrue="1">
      <formula>$I$6&gt;3</formula>
    </cfRule>
  </conditionalFormatting>
  <conditionalFormatting sqref="L8">
    <cfRule type="expression" dxfId="50" priority="46" stopIfTrue="1">
      <formula>$I$6&gt;3</formula>
    </cfRule>
  </conditionalFormatting>
  <conditionalFormatting sqref="K8">
    <cfRule type="expression" dxfId="49" priority="47" stopIfTrue="1">
      <formula>$I$6&gt;2</formula>
    </cfRule>
  </conditionalFormatting>
  <conditionalFormatting sqref="J8">
    <cfRule type="expression" dxfId="48" priority="48" stopIfTrue="1">
      <formula>$I$6&gt;=2</formula>
    </cfRule>
  </conditionalFormatting>
  <conditionalFormatting sqref="E66:E70">
    <cfRule type="expression" dxfId="47" priority="56" stopIfTrue="1">
      <formula>AND(B66&lt;&gt;"",E66="")</formula>
    </cfRule>
  </conditionalFormatting>
  <conditionalFormatting sqref="C65:C70">
    <cfRule type="expression" dxfId="46" priority="57" stopIfTrue="1">
      <formula>AND(C65="",B65&lt;&gt;"",B65&lt;&gt;"Credit Card")</formula>
    </cfRule>
  </conditionalFormatting>
  <conditionalFormatting sqref="C39:C45">
    <cfRule type="expression" dxfId="45" priority="25" stopIfTrue="1">
      <formula>AND(C39="",OR(B39="CBA Variable Rate Home Loan",B39="CBA Fixed Rate Home Loan",B39="OFI Home Loan (Other financial institution)",B39="CBA Line of Credit",B39="OFI Line of Credit (Other financial institution)"))</formula>
    </cfRule>
  </conditionalFormatting>
  <conditionalFormatting sqref="F50">
    <cfRule type="expression" dxfId="44" priority="23" stopIfTrue="1">
      <formula>F50=""</formula>
    </cfRule>
  </conditionalFormatting>
  <conditionalFormatting sqref="F51">
    <cfRule type="expression" dxfId="43" priority="22" stopIfTrue="1">
      <formula>F51=""</formula>
    </cfRule>
  </conditionalFormatting>
  <conditionalFormatting sqref="F52">
    <cfRule type="expression" dxfId="42" priority="21" stopIfTrue="1">
      <formula>F52=""</formula>
    </cfRule>
  </conditionalFormatting>
  <conditionalFormatting sqref="F53">
    <cfRule type="expression" dxfId="41" priority="20" stopIfTrue="1">
      <formula>F53=""</formula>
    </cfRule>
  </conditionalFormatting>
  <conditionalFormatting sqref="K50">
    <cfRule type="expression" dxfId="40" priority="19" stopIfTrue="1">
      <formula>K50=""</formula>
    </cfRule>
  </conditionalFormatting>
  <conditionalFormatting sqref="K52">
    <cfRule type="expression" dxfId="39" priority="18" stopIfTrue="1">
      <formula>K52=""</formula>
    </cfRule>
  </conditionalFormatting>
  <conditionalFormatting sqref="I11">
    <cfRule type="expression" dxfId="38" priority="17" stopIfTrue="1">
      <formula>$I$11=""</formula>
    </cfRule>
  </conditionalFormatting>
  <conditionalFormatting sqref="J11">
    <cfRule type="expression" dxfId="37" priority="16" stopIfTrue="1">
      <formula>AND($I$6&gt;=2,$J$11="")</formula>
    </cfRule>
  </conditionalFormatting>
  <conditionalFormatting sqref="K11">
    <cfRule type="expression" dxfId="36" priority="15" stopIfTrue="1">
      <formula>AND($I$6&gt;=3,$K$11="")</formula>
    </cfRule>
  </conditionalFormatting>
  <conditionalFormatting sqref="L11">
    <cfRule type="expression" dxfId="35" priority="14" stopIfTrue="1">
      <formula>AND($I$6&gt;=4,$L$11="")</formula>
    </cfRule>
  </conditionalFormatting>
  <conditionalFormatting sqref="E65">
    <cfRule type="expression" dxfId="34" priority="13" stopIfTrue="1">
      <formula>AND(B65&lt;&gt;"",E65="")</formula>
    </cfRule>
  </conditionalFormatting>
  <conditionalFormatting sqref="F16">
    <cfRule type="expression" dxfId="33" priority="11">
      <formula>$F$16=""</formula>
    </cfRule>
  </conditionalFormatting>
  <conditionalFormatting sqref="I10">
    <cfRule type="expression" dxfId="32" priority="10">
      <formula>$I$10=""</formula>
    </cfRule>
  </conditionalFormatting>
  <conditionalFormatting sqref="J10">
    <cfRule type="expression" dxfId="31" priority="9">
      <formula>AND($I$6&gt;1,$J$10="")</formula>
    </cfRule>
  </conditionalFormatting>
  <conditionalFormatting sqref="K10">
    <cfRule type="expression" dxfId="30" priority="8">
      <formula>AND(I6&gt;2,$K$10="")</formula>
    </cfRule>
  </conditionalFormatting>
  <conditionalFormatting sqref="L10">
    <cfRule type="expression" dxfId="29" priority="7">
      <formula>AND(I6&gt;3,$L$10="")</formula>
    </cfRule>
  </conditionalFormatting>
  <conditionalFormatting sqref="H65:H70">
    <cfRule type="expression" dxfId="28" priority="118" stopIfTrue="1">
      <formula>IF(OR(C65="Home Loan",C65="Investment Home Loan",C65="Line of Credit",C65="Personal Loan",C65="Other - Secured",C65="Other - Unsecured",C65="Lease",C65="Hire Purchase"),H65&lt;=0)</formula>
    </cfRule>
  </conditionalFormatting>
  <conditionalFormatting sqref="B65">
    <cfRule type="expression" dxfId="27" priority="119" stopIfTrue="1">
      <formula>B65=""</formula>
    </cfRule>
  </conditionalFormatting>
  <conditionalFormatting sqref="F39:F45">
    <cfRule type="expression" dxfId="26" priority="121" stopIfTrue="1">
      <formula>AND(B39&lt;&gt;"",B39&lt;&gt;"Margin Loan",B39&lt;&gt;"HECS",F39="")</formula>
    </cfRule>
  </conditionalFormatting>
  <conditionalFormatting sqref="I39:I45">
    <cfRule type="expression" dxfId="25" priority="122" stopIfTrue="1">
      <formula>AND(E39&lt;&gt;"With my funds",E39&lt;&gt;"Add to bridging",I39="",OR(B39="CBA Variable Rate Home Loan",B39="CBA Fixed Rate Home Loan",B39="OFI home loan (Other financial institution)",B39="CBA Line of Credit",B39="OFI Line of Credit (Other financial institution)",B39="Personal Loan",AND(C39="Investment",D39="Yes")))</formula>
    </cfRule>
  </conditionalFormatting>
  <conditionalFormatting sqref="K39:K45">
    <cfRule type="expression" dxfId="24" priority="123" stopIfTrue="1">
      <formula>AND(OR(B39="CBA Variable Rate Home Loan",B39="CBA Fixed Rate Home Loan",B39="OFI home loan (Other financial institution)",B39="Personal Loan",B39="Other",B39="Lease",B39="Hire Purchase",B39="CBA Line of Credit",B39="OFI Line of Credit (Other financial institution)"),E39&lt;&gt;"With my funds",E39&lt;&gt;"Add to bridging",K39="")</formula>
    </cfRule>
  </conditionalFormatting>
  <conditionalFormatting sqref="J39:J45">
    <cfRule type="expression" dxfId="23" priority="124" stopIfTrue="1">
      <formula>AND(OR(B39="Other",B39="Lease",B39="Hire Purchase",B39="HECS"),E39&lt;&gt;"With my funds",E39&lt;&gt;"Add to bridging",J39&lt;=0)</formula>
    </cfRule>
  </conditionalFormatting>
  <conditionalFormatting sqref="H39:H45">
    <cfRule type="expression" dxfId="22" priority="125">
      <formula>AND(OR(B39="CBA Variable Rate Home Loan",B39="CBA Fixed Rate Home Loan",B39="OFI home loan (Other financial institution)",B39="CBA Line of Credit",B39="OFI Line of Credit (Other financial institution)",B39="Personal Loan"),E39&lt;&gt;"With my funds",E39&lt;&gt;"Add to bridging",H39&lt;=0)</formula>
    </cfRule>
  </conditionalFormatting>
  <conditionalFormatting sqref="G39:G45">
    <cfRule type="expression" dxfId="21" priority="5">
      <formula>AND(B39&lt;&gt;"",B39&lt;&gt;"HECS",G39="")</formula>
    </cfRule>
  </conditionalFormatting>
  <conditionalFormatting sqref="G75">
    <cfRule type="expression" dxfId="20" priority="4">
      <formula>AND($G$75&gt;7,$G$74&lt;500)</formula>
    </cfRule>
  </conditionalFormatting>
  <conditionalFormatting sqref="U50:U51">
    <cfRule type="expression" dxfId="19" priority="3" stopIfTrue="1">
      <formula>U50=""</formula>
    </cfRule>
  </conditionalFormatting>
  <conditionalFormatting sqref="B66:B70">
    <cfRule type="expression" dxfId="18" priority="1">
      <formula>AND(U52&lt;&gt;"",B66="")</formula>
    </cfRule>
  </conditionalFormatting>
  <dataValidations count="61">
    <dataValidation type="decimal" operator="greaterThanOrEqual" allowBlank="1" showErrorMessage="1" sqref="F54">
      <formula1>0</formula1>
    </dataValidation>
    <dataValidation type="decimal" operator="greaterThanOrEqual" allowBlank="1" showInputMessage="1" showErrorMessage="1" error="You must enter a positive number." prompt="Gross bonuses earned by applicant 2" sqref="H19">
      <formula1>0</formula1>
    </dataValidation>
    <dataValidation type="decimal" operator="greaterThanOrEqual" allowBlank="1" showInputMessage="1" showErrorMessage="1" error="You must enter a positive number." prompt="Gross bonuses earned by applicant 1" sqref="F19">
      <formula1>0</formula1>
    </dataValidation>
    <dataValidation type="decimal" operator="greaterThanOrEqual" allowBlank="1" showInputMessage="1" showErrorMessage="1" prompt="Insert any monthly charges, enter 0 if not applicable" sqref="K39:K45">
      <formula1>0</formula1>
    </dataValidation>
    <dataValidation type="decimal" operator="greaterThanOrEqual" allowBlank="1" showInputMessage="1" showErrorMessage="1" error="You must insert a number greater than 0." prompt="Enter any monthly charges, enter 0 if not applicable" sqref="K65:K70">
      <formula1>0</formula1>
    </dataValidation>
    <dataValidation type="decimal" operator="greaterThanOrEqual" allowBlank="1" showInputMessage="1" showErrorMessage="1" prompt="Enter the amount of the sale proceeds of the property that will be used to reduce the residual debt" sqref="K52">
      <formula1>0</formula1>
    </dataValidation>
    <dataValidation type="decimal" operator="greaterThanOrEqual" allowBlank="1" showInputMessage="1" showErrorMessage="1" prompt="Enter the amount that will be needed to settle on the new property" sqref="K50">
      <formula1>0</formula1>
    </dataValidation>
    <dataValidation type="decimal" operator="greaterThanOrEqual" allowBlank="1" showInputMessage="1" showErrorMessage="1" prompt="Enter the final Assessment Rate (post discount) for the bridging period. This rate should not be below the floor of 5.1%. Note that the discount must have the appropriate authorisation/approval imaged to the loan file." sqref="F53">
      <formula1>0</formula1>
    </dataValidation>
    <dataValidation type="decimal" operator="greaterThanOrEqual" allowBlank="1" showInputMessage="1" showErrorMessage="1" prompt="Enter the monthly charges on the bridging debt, if any" sqref="F52">
      <formula1>0</formula1>
    </dataValidation>
    <dataValidation type="decimal" operator="greaterThanOrEqual" allowBlank="1" showInputMessage="1" showErrorMessage="1" prompt="Enter the valuation of the replacement property" sqref="F51">
      <formula1>0</formula1>
    </dataValidation>
    <dataValidation type="decimal" operator="greaterThanOrEqual" allowBlank="1" showInputMessage="1" showErrorMessage="1" prompt="Enter the valuation of the property to be sold" sqref="F50">
      <formula1>0</formula1>
    </dataValidation>
    <dataValidation allowBlank="1" showInputMessage="1" showErrorMessage="1" prompt="Enter any ongoing annual rent expenses during the post bridging period" sqref="L34"/>
    <dataValidation allowBlank="1" showInputMessage="1" showErrorMessage="1" prompt="Enter any ongoing annual rent expenses during the bridging period" sqref="K34"/>
    <dataValidation allowBlank="1" showInputMessage="1" showErrorMessage="1" prompt="Enter the name of applicant 2" sqref="J4:K4"/>
    <dataValidation type="whole" operator="greaterThanOrEqual" allowBlank="1" showInputMessage="1" showErrorMessage="1" prompt="Enter the number of children aged under 18 residing in household 2." sqref="J10">
      <formula1>0</formula1>
    </dataValidation>
    <dataValidation type="whole" operator="greaterThan" allowBlank="1" showInputMessage="1" showErrorMessage="1" error="There must be at least one adult residing in each household.  Enter a positive number." prompt="Enter the number of adults aged 18 or more residing in household 2." sqref="J9">
      <formula1>0</formula1>
    </dataValidation>
    <dataValidation type="list" allowBlank="1" showInputMessage="1" showErrorMessage="1" prompt="To continue paying as normal select &quot;No&quot;._x000a_To repay using your own funds select &quot;With my funds&quot;._x000a_To repay by adding to bridging debt select &quot;Add to bridging&quot;._x000a_To repay after bridging period select &quot;After bridging&quot;." sqref="E39:E45">
      <formula1>"No,With my funds,Add to bridging,After bridging"</formula1>
    </dataValidation>
    <dataValidation type="whole" operator="greaterThanOrEqual" allowBlank="1" showInputMessage="1" showErrorMessage="1" prompt="Enter the number of children aged under 18 residing in household 3." sqref="K10">
      <formula1>0</formula1>
    </dataValidation>
    <dataValidation type="whole" operator="greaterThanOrEqual" allowBlank="1" showInputMessage="1" showErrorMessage="1" prompt="Enter the number of children aged under 18 residing in household 1." sqref="I10">
      <formula1>0</formula1>
    </dataValidation>
    <dataValidation type="whole" operator="greaterThan" allowBlank="1" showInputMessage="1" showErrorMessage="1" error="There must be at least one adult residing in each household.  Enter a positive number." prompt="Enter the number of adults aged 18 or more residing in household 3." sqref="K9">
      <formula1>0</formula1>
    </dataValidation>
    <dataValidation type="decimal" operator="greaterThanOrEqual" allowBlank="1" showInputMessage="1" showErrorMessage="1" prompt="Insert the current interest rate. " sqref="I39:I45">
      <formula1>0</formula1>
    </dataValidation>
    <dataValidation operator="greaterThanOrEqual" allowBlank="1" showInputMessage="1" showErrorMessage="1" prompt="Enter the balloon / residual if any" sqref="L46"/>
    <dataValidation allowBlank="1" showInputMessage="1" showErrorMessage="1" prompt="Enter the name of applicant 1" sqref="F4:G4"/>
    <dataValidation type="decimal" operator="greaterThanOrEqual" allowBlank="1" showInputMessage="1" showErrorMessage="1" error="You must enter a positive number." prompt="Any other taxable income earned by applicant 2" sqref="H24">
      <formula1>0</formula1>
    </dataValidation>
    <dataValidation type="whole" operator="greaterThanOrEqual" allowBlank="1" showInputMessage="1" showErrorMessage="1" prompt="Enter the number of children aged under 18 residing in household 4." sqref="L10">
      <formula1>0</formula1>
    </dataValidation>
    <dataValidation type="decimal" operator="greaterThanOrEqual" allowBlank="1" showInputMessage="1" showErrorMessage="1" error="You must enter a positive number." prompt="Pensions received by applicant 2" sqref="H23">
      <formula1>0</formula1>
    </dataValidation>
    <dataValidation type="decimal" operator="greaterThanOrEqual" allowBlank="1" showInputMessage="1" showErrorMessage="1" error="You must enter a positive number." prompt="Investment income received by applicant 2" sqref="H22">
      <formula1>0</formula1>
    </dataValidation>
    <dataValidation type="decimal" operator="greaterThanOrEqual" allowBlank="1" showInputMessage="1" showErrorMessage="1" error="You must enter a positive number." prompt="Gross overtime earned by applicant 2" sqref="H18">
      <formula1>0</formula1>
    </dataValidation>
    <dataValidation type="decimal" operator="greaterThanOrEqual" allowBlank="1" showInputMessage="1" showErrorMessage="1" error="You must enter a positive number." prompt="Investment income received by applicant 1" sqref="F22">
      <formula1>0</formula1>
    </dataValidation>
    <dataValidation type="decimal" operator="greaterThanOrEqual" allowBlank="1" showInputMessage="1" showErrorMessage="1" error="You must enter a positive number." prompt="Pensions received by applicant 1" sqref="F23">
      <formula1>0</formula1>
    </dataValidation>
    <dataValidation type="decimal" operator="greaterThanOrEqual" allowBlank="1" showInputMessage="1" showErrorMessage="1" error="You must enter a positive number." prompt="Any other taxable income earned by applicant 1" sqref="F24">
      <formula1>0</formula1>
    </dataValidation>
    <dataValidation type="decimal" operator="greaterThanOrEqual" allowBlank="1" showInputMessage="1" showErrorMessage="1" error="You must enter a positive number." prompt="Gross overtime earned by applicant 1" sqref="F18">
      <formula1>0</formula1>
    </dataValidation>
    <dataValidation type="decimal" operator="greaterThanOrEqual" allowBlank="1" showInputMessage="1" showErrorMessage="1" prompt="Include income that is not subject to tax eg Family Allowance" sqref="F30 H30">
      <formula1>0</formula1>
    </dataValidation>
    <dataValidation allowBlank="1" showInputMessage="1" showErrorMessage="1" prompt="Click on the calculator icon to enter self employed income" sqref="F25:I25"/>
    <dataValidation type="decimal" operator="greaterThanOrEqual" allowBlank="1" showInputMessage="1" showErrorMessage="1" prompt="Insert the monthly repayments if applicable" sqref="J39:J45">
      <formula1>0</formula1>
    </dataValidation>
    <dataValidation type="decimal" operator="greaterThanOrEqual" allowBlank="1" showInputMessage="1" showErrorMessage="1" prompt="Enter the current balance for this liability." sqref="F39:F45">
      <formula1>0</formula1>
    </dataValidation>
    <dataValidation allowBlank="1" showInputMessage="1" showErrorMessage="1" prompt="e.g. If two joint applicants reside in separate properties then the answer is 2.  If they reside in the same property, then the answer is 1.  If they reside in the same property and have 1 or more holiday houses, then the answer is 1." sqref="I6"/>
    <dataValidation allowBlank="1" showInputMessage="1" showErrorMessage="1" prompt="Do not include applicant's investment properties from which they currently earn an income or properties that they are currently paying rent on.  If applicant's have a principal residence and holiday home that does not generate an income the answer is 2." sqref="I7"/>
    <dataValidation type="whole" operator="greaterThan" allowBlank="1" showInputMessage="1" showErrorMessage="1" error="There must be at least one adult residing in each household.  Enter a positive number." prompt="Enter the number of adults aged 18 or more residing in household 4." sqref="L9">
      <formula1>0</formula1>
    </dataValidation>
    <dataValidation type="whole" operator="greaterThan" allowBlank="1" showInputMessage="1" showErrorMessage="1" error="There must be at least one adult residing in each household.  Enter a positive number." prompt="Enter the number of adults aged 18 or more residing in household 1." sqref="I9">
      <formula1>0</formula1>
    </dataValidation>
    <dataValidation type="list" allowBlank="1" showInputMessage="1" showErrorMessage="1" prompt="Is this product tax deductible?" sqref="D65:D70">
      <formula1>Boolean</formula1>
    </dataValidation>
    <dataValidation type="decimal" operator="greaterThanOrEqual" allowBlank="1" showInputMessage="1" showErrorMessage="1" prompt="Enter the loan amount or the limit whichever is applicable." sqref="E65:E70">
      <formula1>0</formula1>
    </dataValidation>
    <dataValidation type="list" allowBlank="1" showInputMessage="1" showErrorMessage="1" prompt="Select a product for the residual loan" sqref="B65:B70">
      <formula1>Base_products</formula1>
    </dataValidation>
    <dataValidation type="list" allowBlank="1" showInputMessage="1" showErrorMessage="1" prompt="Select the loan type" sqref="C39:C45 C65:C70">
      <formula1>Loan_type</formula1>
    </dataValidation>
    <dataValidation type="list" allowBlank="1" showInputMessage="1" showErrorMessage="1" prompt="Is this product tax deductible" sqref="D39:D45">
      <formula1>Boolean</formula1>
    </dataValidation>
    <dataValidation type="list" allowBlank="1" showInputMessage="1" showErrorMessage="1" prompt="Select the product you are already committed to" sqref="B39:B45">
      <formula1>Products</formula1>
    </dataValidation>
    <dataValidation type="whole" operator="lessThanOrEqual" showInputMessage="1" showErrorMessage="1" error="This is restricted to a number up to: 30 years for a home loan and 30 years for an investment home loan." prompt="Enter the loan term" sqref="I65:I70">
      <formula1>VLOOKUP(B65,Limits,2,0)</formula1>
    </dataValidation>
    <dataValidation type="whole" operator="greaterThan" allowBlank="1" showInputMessage="1" showErrorMessage="1" error="You must enter a whole number greater than 0." promptTitle="Monthly Living Expenses" prompt="the $ amount needed to maintain a reasonable standard of living, e.g Housing/Property Expenses, Food, Clothing, Personal Care, Medical, Health, Fitness, Insurance, Transport/Auto, Travel, Entertainment, Children, Pets, Education, Communication, and Other." sqref="I11:L11">
      <formula1>0</formula1>
    </dataValidation>
    <dataValidation type="decimal" operator="greaterThanOrEqual" allowBlank="1" showInputMessage="1" showErrorMessage="1" error="You must enter a positive number." prompt="Gross wages or salary earned by applicant 1" sqref="F17">
      <formula1>0</formula1>
    </dataValidation>
    <dataValidation type="decimal" operator="greaterThanOrEqual" allowBlank="1" showInputMessage="1" showErrorMessage="1" error="You must enter a positive number." prompt="Gross wages or salary earned by applicant 2" sqref="H17">
      <formula1>0</formula1>
    </dataValidation>
    <dataValidation type="decimal" operator="lessThanOrEqual" allowBlank="1" showErrorMessage="1" error="You must enter a positive number.  Discounts are not permitted on Base Variable or Credit Cards." prompt="Any non-standard discount must have the appropriate authorisation/approval imaged to the loan file." sqref="H65:H70">
      <formula1>IF(OR(B65="Base Variable (incl 3yr Special)",B65="Credit Card"),0,1)</formula1>
    </dataValidation>
    <dataValidation type="whole" operator="lessThanOrEqual" showInputMessage="1" showErrorMessage="1" error="Enter the interest only period. This is restricted to a number up to 5 years for a Home Loan and Investment Home Loan. Interest only is not permitted for a Line of Credit." prompt="Enter the interest only period." sqref="J65:J70">
      <formula1>VLOOKUP(B65,Limits,3,0)</formula1>
    </dataValidation>
    <dataValidation allowBlank="1" showInputMessage="1" showErrorMessage="1" prompt="Click on the calculator icon to enter rental income" sqref="F20:I21"/>
    <dataValidation type="whole" showInputMessage="1" showErrorMessage="1" error="This is restricted to a number  up to: 30 years for a Home Loan, 30 years for an Investment Home Loan, 7 years for a Personal Loan, 5 years for a Hire or Lease, and 30 years for other loans." prompt="For HL/IHL enter the P&amp;I remaining term in years. For Line of Credit insert the term to retirement." sqref="H39:H45">
      <formula1>0</formula1>
      <formula2>VLOOKUP(B39,Table,2,0)</formula2>
    </dataValidation>
    <dataValidation type="list" allowBlank="1" showInputMessage="1" showErrorMessage="1" sqref="F16 H16">
      <formula1>"Household 1,Household 2,Household 3,Household 4"</formula1>
    </dataValidation>
    <dataValidation type="decimal" operator="greaterThanOrEqual" allowBlank="1" showInputMessage="1" showErrorMessage="1" prompt="Enter the limit for this liability. For HL/IHL, this is the balance + redraw + undrawn balance." sqref="G39:G45">
      <formula1>0</formula1>
    </dataValidation>
    <dataValidation type="list" allowBlank="1" showInputMessage="1" showErrorMessage="1" prompt="Select the repayment" sqref="U51:U52">
      <formula1>AH$54:AH$56</formula1>
    </dataValidation>
    <dataValidation type="list" allowBlank="1" showInputMessage="1" showErrorMessage="1" prompt="Select the repayment" sqref="U53:U56">
      <formula1>AH$54:AH$56</formula1>
    </dataValidation>
    <dataValidation type="list" allowBlank="1" showInputMessage="1" showErrorMessage="1" prompt="Select the repayment" sqref="U50">
      <formula1>"IO,PI"</formula1>
    </dataValidation>
    <dataValidation type="decimal" operator="greaterThanOrEqual" allowBlank="1" showInputMessage="1" showErrorMessage="1" error="You must enter a positive number." prompt="Enter the final Assessment Rate (headline assessment rate less discount) applicable for this product. Note that this rate should not be below the floor of 5.1%. The headline assessment rates are available on CommBroker." sqref="F70">
      <formula1>0</formula1>
    </dataValidation>
    <dataValidation type="decimal" operator="greaterThanOrEqual" allowBlank="1" showInputMessage="1" showErrorMessage="1" error="You must enter a positive number." prompt="Enter the final Assessment Rate (headline assessment rate less discount) applicable for this product. Note that this rate should not be below the floor of 5.1%. The headline assessment rates are available on CommBroker." sqref="F65:F69">
      <formula1>0</formula1>
    </dataValidation>
  </dataValidations>
  <pageMargins left="0.19685039370078741" right="0.19685039370078741" top="0.19685039370078741" bottom="0.19685039370078741" header="0.31496062992125984" footer="0.31496062992125984"/>
  <pageSetup paperSize="9" scale="37" orientation="portrait" r:id="rId1"/>
  <headerFooter>
    <oddFooter>&amp;L&amp;"Calibri"&amp;11&amp;K000000&amp;"Calibri"&amp;11&amp;K000000&amp;"Calibri"&amp;11&amp;K000000&amp;"Calibri"&amp;11&amp;K000000&amp;"Calibri"&amp;11&amp;K000000&amp;"Calibri"&amp;11&amp;K000000&amp;"Calibri"&amp;11&amp;K000000Printed: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2"/>
  <legacyDrawing r:id="rId3"/>
  <oleObjects>
    <mc:AlternateContent xmlns:mc="http://schemas.openxmlformats.org/markup-compatibility/2006">
      <mc:Choice Requires="x14">
        <oleObject progId="MSPhotoEd.3" shapeId="13313" r:id="rId4">
          <objectPr defaultSize="0" print="0" macro="[0]!cmdBridgingSelf" r:id="rId5">
            <anchor moveWithCells="1">
              <from>
                <xdr:col>9</xdr:col>
                <xdr:colOff>57150</xdr:colOff>
                <xdr:row>24</xdr:row>
                <xdr:rowOff>28575</xdr:rowOff>
              </from>
              <to>
                <xdr:col>9</xdr:col>
                <xdr:colOff>285750</xdr:colOff>
                <xdr:row>25</xdr:row>
                <xdr:rowOff>38100</xdr:rowOff>
              </to>
            </anchor>
          </objectPr>
        </oleObject>
      </mc:Choice>
      <mc:Fallback>
        <oleObject progId="MSPhotoEd.3" shapeId="13313" r:id="rId4"/>
      </mc:Fallback>
    </mc:AlternateContent>
    <mc:AlternateContent xmlns:mc="http://schemas.openxmlformats.org/markup-compatibility/2006">
      <mc:Choice Requires="x14">
        <oleObject progId="MSPhotoEd.3" shapeId="13324" r:id="rId6">
          <objectPr defaultSize="0" autoPict="0" r:id="rId7">
            <anchor moveWithCells="1">
              <from>
                <xdr:col>10</xdr:col>
                <xdr:colOff>114300</xdr:colOff>
                <xdr:row>1</xdr:row>
                <xdr:rowOff>9525</xdr:rowOff>
              </from>
              <to>
                <xdr:col>11</xdr:col>
                <xdr:colOff>1057275</xdr:colOff>
                <xdr:row>2</xdr:row>
                <xdr:rowOff>66675</xdr:rowOff>
              </to>
            </anchor>
          </objectPr>
        </oleObject>
      </mc:Choice>
      <mc:Fallback>
        <oleObject progId="MSPhotoEd.3" shapeId="13324" r:id="rId6"/>
      </mc:Fallback>
    </mc:AlternateContent>
    <mc:AlternateContent xmlns:mc="http://schemas.openxmlformats.org/markup-compatibility/2006">
      <mc:Choice Requires="x14">
        <oleObject progId="MSPhotoEd.3" shapeId="13325" r:id="rId8">
          <objectPr defaultSize="0" print="0" macro="[0]!cmdBridgingSelf" r:id="rId5">
            <anchor moveWithCells="1">
              <from>
                <xdr:col>4</xdr:col>
                <xdr:colOff>533400</xdr:colOff>
                <xdr:row>24</xdr:row>
                <xdr:rowOff>28575</xdr:rowOff>
              </from>
              <to>
                <xdr:col>4</xdr:col>
                <xdr:colOff>762000</xdr:colOff>
                <xdr:row>25</xdr:row>
                <xdr:rowOff>38100</xdr:rowOff>
              </to>
            </anchor>
          </objectPr>
        </oleObject>
      </mc:Choice>
      <mc:Fallback>
        <oleObject progId="MSPhotoEd.3" shapeId="13325" r:id="rId8"/>
      </mc:Fallback>
    </mc:AlternateContent>
    <mc:AlternateContent xmlns:mc="http://schemas.openxmlformats.org/markup-compatibility/2006">
      <mc:Choice Requires="x14">
        <oleObject progId="MSPhotoEd.3" shapeId="13326" r:id="rId9">
          <objectPr defaultSize="0" print="0" macro="[0]!cmdBridgingRentalYield" r:id="rId5">
            <anchor moveWithCells="1">
              <from>
                <xdr:col>4</xdr:col>
                <xdr:colOff>533400</xdr:colOff>
                <xdr:row>19</xdr:row>
                <xdr:rowOff>76200</xdr:rowOff>
              </from>
              <to>
                <xdr:col>4</xdr:col>
                <xdr:colOff>762000</xdr:colOff>
                <xdr:row>20</xdr:row>
                <xdr:rowOff>85725</xdr:rowOff>
              </to>
            </anchor>
          </objectPr>
        </oleObject>
      </mc:Choice>
      <mc:Fallback>
        <oleObject progId="MSPhotoEd.3" shapeId="13326" r:id="rId9"/>
      </mc:Fallback>
    </mc:AlternateContent>
    <mc:AlternateContent xmlns:mc="http://schemas.openxmlformats.org/markup-compatibility/2006">
      <mc:Choice Requires="x14">
        <oleObject progId="MSPhotoEd.3" shapeId="13327" r:id="rId10">
          <objectPr defaultSize="0" print="0" macro="[0]!cmdBridgingRentalYield" r:id="rId5">
            <anchor moveWithCells="1">
              <from>
                <xdr:col>9</xdr:col>
                <xdr:colOff>57150</xdr:colOff>
                <xdr:row>19</xdr:row>
                <xdr:rowOff>76200</xdr:rowOff>
              </from>
              <to>
                <xdr:col>9</xdr:col>
                <xdr:colOff>285750</xdr:colOff>
                <xdr:row>20</xdr:row>
                <xdr:rowOff>85725</xdr:rowOff>
              </to>
            </anchor>
          </objectPr>
        </oleObject>
      </mc:Choice>
      <mc:Fallback>
        <oleObject progId="MSPhotoEd.3" shapeId="13327" r:id="rId10"/>
      </mc:Fallback>
    </mc:AlternateContent>
  </oleObjects>
  <mc:AlternateContent xmlns:mc="http://schemas.openxmlformats.org/markup-compatibility/2006">
    <mc:Choice Requires="x14">
      <controls>
        <mc:AlternateContent xmlns:mc="http://schemas.openxmlformats.org/markup-compatibility/2006">
          <mc:Choice Requires="x14">
            <control shapeId="13314" r:id="rId11" name="Button 2">
              <controlPr defaultSize="0" print="0" autoFill="0" autoPict="0" macro="[0]!cmdBridgingNegGearing">
                <anchor moveWithCells="1">
                  <from>
                    <xdr:col>10</xdr:col>
                    <xdr:colOff>990600</xdr:colOff>
                    <xdr:row>46</xdr:row>
                    <xdr:rowOff>76200</xdr:rowOff>
                  </from>
                  <to>
                    <xdr:col>12</xdr:col>
                    <xdr:colOff>0</xdr:colOff>
                    <xdr:row>46</xdr:row>
                    <xdr:rowOff>352425</xdr:rowOff>
                  </to>
                </anchor>
              </controlPr>
            </control>
          </mc:Choice>
        </mc:AlternateContent>
        <mc:AlternateContent xmlns:mc="http://schemas.openxmlformats.org/markup-compatibility/2006">
          <mc:Choice Requires="x14">
            <control shapeId="13316" r:id="rId12" name="Button 4">
              <controlPr defaultSize="0" print="0" autoFill="0" autoPict="0" macro="[0]!cmdClearBridging">
                <anchor moveWithCells="1" sizeWithCells="1">
                  <from>
                    <xdr:col>1</xdr:col>
                    <xdr:colOff>9525</xdr:colOff>
                    <xdr:row>2</xdr:row>
                    <xdr:rowOff>142875</xdr:rowOff>
                  </from>
                  <to>
                    <xdr:col>1</xdr:col>
                    <xdr:colOff>847725</xdr:colOff>
                    <xdr:row>4</xdr:row>
                    <xdr:rowOff>0</xdr:rowOff>
                  </to>
                </anchor>
              </controlPr>
            </control>
          </mc:Choice>
        </mc:AlternateContent>
        <mc:AlternateContent xmlns:mc="http://schemas.openxmlformats.org/markup-compatibility/2006">
          <mc:Choice Requires="x14">
            <control shapeId="13317" r:id="rId13" name="Button 5">
              <controlPr defaultSize="0" print="0" autoFill="0" autoPict="0" macro="[0]!cmdBridgingPrint">
                <anchor moveWithCells="1" sizeWithCells="1">
                  <from>
                    <xdr:col>11</xdr:col>
                    <xdr:colOff>219075</xdr:colOff>
                    <xdr:row>2</xdr:row>
                    <xdr:rowOff>209550</xdr:rowOff>
                  </from>
                  <to>
                    <xdr:col>11</xdr:col>
                    <xdr:colOff>1057275</xdr:colOff>
                    <xdr:row>4</xdr:row>
                    <xdr:rowOff>66675</xdr:rowOff>
                  </to>
                </anchor>
              </controlPr>
            </control>
          </mc:Choice>
        </mc:AlternateContent>
        <mc:AlternateContent xmlns:mc="http://schemas.openxmlformats.org/markup-compatibility/2006">
          <mc:Choice Requires="x14">
            <control shapeId="13318" r:id="rId14" name="Button 6">
              <controlPr defaultSize="0" print="0" autoFill="0" autoPict="0" macro="[0]!cmdMenu">
                <anchor moveWithCells="1" sizeWithCells="1">
                  <from>
                    <xdr:col>1</xdr:col>
                    <xdr:colOff>1038225</xdr:colOff>
                    <xdr:row>2</xdr:row>
                    <xdr:rowOff>142875</xdr:rowOff>
                  </from>
                  <to>
                    <xdr:col>1</xdr:col>
                    <xdr:colOff>1828800</xdr:colOff>
                    <xdr:row>4</xdr:row>
                    <xdr:rowOff>0</xdr:rowOff>
                  </to>
                </anchor>
              </controlPr>
            </control>
          </mc:Choice>
        </mc:AlternateContent>
        <mc:AlternateContent xmlns:mc="http://schemas.openxmlformats.org/markup-compatibility/2006">
          <mc:Choice Requires="x14">
            <control shapeId="13319" r:id="rId15" name="Button 7">
              <controlPr defaultSize="0" print="0" autoFill="0" autoPict="0" macro="[0]!cmdClearBridging">
                <anchor moveWithCells="1" sizeWithCells="1">
                  <from>
                    <xdr:col>1</xdr:col>
                    <xdr:colOff>0</xdr:colOff>
                    <xdr:row>77</xdr:row>
                    <xdr:rowOff>95250</xdr:rowOff>
                  </from>
                  <to>
                    <xdr:col>1</xdr:col>
                    <xdr:colOff>838200</xdr:colOff>
                    <xdr:row>79</xdr:row>
                    <xdr:rowOff>76200</xdr:rowOff>
                  </to>
                </anchor>
              </controlPr>
            </control>
          </mc:Choice>
        </mc:AlternateContent>
        <mc:AlternateContent xmlns:mc="http://schemas.openxmlformats.org/markup-compatibility/2006">
          <mc:Choice Requires="x14">
            <control shapeId="13320" r:id="rId16" name="Button 8">
              <controlPr defaultSize="0" print="0" autoFill="0" autoPict="0" macro="[0]!cmdBridgingPrint">
                <anchor moveWithCells="1" sizeWithCells="1">
                  <from>
                    <xdr:col>3</xdr:col>
                    <xdr:colOff>9525</xdr:colOff>
                    <xdr:row>77</xdr:row>
                    <xdr:rowOff>95250</xdr:rowOff>
                  </from>
                  <to>
                    <xdr:col>3</xdr:col>
                    <xdr:colOff>847725</xdr:colOff>
                    <xdr:row>79</xdr:row>
                    <xdr:rowOff>76200</xdr:rowOff>
                  </to>
                </anchor>
              </controlPr>
            </control>
          </mc:Choice>
        </mc:AlternateContent>
        <mc:AlternateContent xmlns:mc="http://schemas.openxmlformats.org/markup-compatibility/2006">
          <mc:Choice Requires="x14">
            <control shapeId="13321" r:id="rId17" name="Button 9">
              <controlPr defaultSize="0" print="0" autoFill="0" autoPict="0" macro="[0]!cmdMenu">
                <anchor moveWithCells="1" sizeWithCells="1">
                  <from>
                    <xdr:col>1</xdr:col>
                    <xdr:colOff>952500</xdr:colOff>
                    <xdr:row>77</xdr:row>
                    <xdr:rowOff>95250</xdr:rowOff>
                  </from>
                  <to>
                    <xdr:col>1</xdr:col>
                    <xdr:colOff>1790700</xdr:colOff>
                    <xdr:row>79</xdr:row>
                    <xdr:rowOff>76200</xdr:rowOff>
                  </to>
                </anchor>
              </controlPr>
            </control>
          </mc:Choice>
        </mc:AlternateContent>
        <mc:AlternateContent xmlns:mc="http://schemas.openxmlformats.org/markup-compatibility/2006">
          <mc:Choice Requires="x14">
            <control shapeId="13322" r:id="rId18" name="Button 10">
              <controlPr defaultSize="0" print="0" autoFill="0" autoPict="0" macro="[0]!cmdBridgingNegGearing">
                <anchor moveWithCells="1">
                  <from>
                    <xdr:col>6</xdr:col>
                    <xdr:colOff>9525</xdr:colOff>
                    <xdr:row>70</xdr:row>
                    <xdr:rowOff>66675</xdr:rowOff>
                  </from>
                  <to>
                    <xdr:col>7</xdr:col>
                    <xdr:colOff>219075</xdr:colOff>
                    <xdr:row>71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45"/>
  <sheetViews>
    <sheetView showGridLines="0" showRowColHeaders="0" workbookViewId="0"/>
  </sheetViews>
  <sheetFormatPr defaultRowHeight="12.75" x14ac:dyDescent="0.2"/>
  <cols>
    <col min="1" max="1" width="1.7109375" customWidth="1"/>
    <col min="2" max="2" width="50.85546875" customWidth="1"/>
    <col min="3" max="3" width="17.140625" customWidth="1"/>
    <col min="4" max="4" width="3.7109375" customWidth="1"/>
    <col min="5" max="5" width="17.140625" customWidth="1"/>
    <col min="6" max="6" width="3.7109375" customWidth="1"/>
    <col min="7" max="7" width="17.140625" customWidth="1"/>
    <col min="8" max="8" width="1.5703125" customWidth="1"/>
  </cols>
  <sheetData>
    <row r="1" spans="1:9" ht="20.25" customHeight="1" thickBot="1" x14ac:dyDescent="0.25">
      <c r="A1" s="81"/>
      <c r="B1" s="82"/>
      <c r="C1" s="82"/>
      <c r="D1" s="82"/>
      <c r="E1" s="82"/>
      <c r="F1" s="82"/>
      <c r="G1" s="82"/>
      <c r="H1" s="83"/>
      <c r="I1" s="1"/>
    </row>
    <row r="2" spans="1:9" s="74" customFormat="1" ht="24" customHeight="1" thickBot="1" x14ac:dyDescent="0.25">
      <c r="A2" s="87"/>
      <c r="B2" s="88" t="s">
        <v>107</v>
      </c>
      <c r="C2" s="403"/>
      <c r="D2" s="90"/>
      <c r="E2" s="70"/>
      <c r="F2" s="70"/>
      <c r="G2" s="70"/>
      <c r="H2" s="72"/>
      <c r="I2" s="73"/>
    </row>
    <row r="3" spans="1:9" x14ac:dyDescent="0.2">
      <c r="A3" s="84"/>
      <c r="B3" s="85"/>
      <c r="C3" s="85"/>
      <c r="D3" s="85"/>
      <c r="E3" s="85"/>
      <c r="F3" s="85"/>
      <c r="G3" s="85"/>
      <c r="H3" s="86"/>
      <c r="I3" s="1"/>
    </row>
    <row r="4" spans="1:9" s="74" customFormat="1" ht="23.25" customHeight="1" x14ac:dyDescent="0.2">
      <c r="A4" s="87"/>
      <c r="B4" s="36" t="s">
        <v>108</v>
      </c>
      <c r="C4" s="91"/>
      <c r="D4" s="91"/>
      <c r="E4" s="91"/>
      <c r="F4" s="63"/>
      <c r="G4" s="66"/>
      <c r="H4" s="72"/>
      <c r="I4" s="73"/>
    </row>
    <row r="5" spans="1:9" x14ac:dyDescent="0.2">
      <c r="A5" s="84"/>
      <c r="B5" s="85"/>
      <c r="C5" s="85"/>
      <c r="D5" s="85"/>
      <c r="E5" s="85"/>
      <c r="F5" s="85"/>
      <c r="G5" s="85"/>
      <c r="H5" s="86"/>
      <c r="I5" s="1"/>
    </row>
    <row r="6" spans="1:9" x14ac:dyDescent="0.2">
      <c r="A6" s="84"/>
      <c r="B6" s="85"/>
      <c r="C6" s="92" t="s">
        <v>109</v>
      </c>
      <c r="D6" s="92"/>
      <c r="E6" s="92" t="s">
        <v>110</v>
      </c>
      <c r="F6" s="85"/>
      <c r="G6" s="85"/>
      <c r="H6" s="86"/>
      <c r="I6" s="1"/>
    </row>
    <row r="7" spans="1:9" x14ac:dyDescent="0.2">
      <c r="A7" s="84"/>
      <c r="B7" s="404" t="s">
        <v>111</v>
      </c>
      <c r="C7" s="651"/>
      <c r="D7" s="85"/>
      <c r="E7" s="405"/>
      <c r="F7" s="85"/>
      <c r="G7" s="406"/>
      <c r="H7" s="86"/>
      <c r="I7" s="1"/>
    </row>
    <row r="8" spans="1:9" x14ac:dyDescent="0.2">
      <c r="A8" s="98"/>
      <c r="B8" s="407" t="s">
        <v>112</v>
      </c>
      <c r="C8" s="405"/>
      <c r="D8" s="99"/>
      <c r="E8" s="405"/>
      <c r="F8" s="99"/>
      <c r="G8" s="102" t="str">
        <f>IF(AND(C8&gt;0,E8&gt;0),IF(C8=E8,"Average","Extrapolated Average"),"Average")</f>
        <v>Average</v>
      </c>
      <c r="H8" s="104"/>
      <c r="I8" s="1"/>
    </row>
    <row r="9" spans="1:9" x14ac:dyDescent="0.2">
      <c r="A9" s="84"/>
      <c r="B9" s="408" t="s">
        <v>274</v>
      </c>
      <c r="C9" s="409"/>
      <c r="D9" s="85"/>
      <c r="E9" s="409"/>
      <c r="F9" s="85"/>
      <c r="G9" s="410">
        <f>IF(AND($C$10,$E$10),(C9/$C$8+E9/$E$8)/2*12,IF($C$10,C9,IF($E$10,E9,0)))</f>
        <v>0</v>
      </c>
      <c r="H9" s="86"/>
      <c r="I9" s="1"/>
    </row>
    <row r="10" spans="1:9" x14ac:dyDescent="0.2">
      <c r="A10" s="84"/>
      <c r="B10" s="85"/>
      <c r="C10" s="411" t="b">
        <f>AND(C7&lt;&gt;"",C8&lt;&gt;"",C9&lt;&gt;"")</f>
        <v>0</v>
      </c>
      <c r="D10" s="85"/>
      <c r="E10" s="411" t="b">
        <f>AND(E7&lt;&gt;"",E8&lt;&gt;"",E9&lt;&gt;"")</f>
        <v>0</v>
      </c>
      <c r="F10" s="85"/>
      <c r="G10" s="85"/>
      <c r="H10" s="86"/>
      <c r="I10" s="1"/>
    </row>
    <row r="11" spans="1:9" x14ac:dyDescent="0.2">
      <c r="A11" s="84"/>
      <c r="B11" s="105" t="s">
        <v>115</v>
      </c>
      <c r="C11" s="411" t="b">
        <f>AND(C7="",C8="",C9="",C12="",C13="",C14="",C15="",C16="",C17="")</f>
        <v>1</v>
      </c>
      <c r="D11" s="85"/>
      <c r="E11" s="411" t="b">
        <f>AND(E7="",E8="",E9="",E12="",E13="",E14="",E15="",E16="",E17="")</f>
        <v>1</v>
      </c>
      <c r="F11" s="85"/>
      <c r="G11" s="85"/>
      <c r="H11" s="86"/>
      <c r="I11" s="1"/>
    </row>
    <row r="12" spans="1:9" x14ac:dyDescent="0.2">
      <c r="A12" s="84"/>
      <c r="B12" s="85" t="s">
        <v>275</v>
      </c>
      <c r="C12" s="412"/>
      <c r="D12" s="413"/>
      <c r="E12" s="412"/>
      <c r="F12" s="85"/>
      <c r="G12" s="414">
        <f>IF(AND($C$10,$E$10),(C12/$C$8+E12/$E$8)/2*12,IF($C$10,C12,IF($E$10,E12,0)))</f>
        <v>0</v>
      </c>
      <c r="H12" s="86"/>
      <c r="I12" s="1"/>
    </row>
    <row r="13" spans="1:9" x14ac:dyDescent="0.2">
      <c r="A13" s="84"/>
      <c r="B13" s="85" t="s">
        <v>276</v>
      </c>
      <c r="C13" s="412"/>
      <c r="D13" s="413"/>
      <c r="E13" s="412"/>
      <c r="F13" s="85"/>
      <c r="G13" s="414">
        <f t="shared" ref="G13:G18" si="0">IF(AND($C$10,$E$10),(C13/$C$8+E13/$E$8)/2*12,IF($C$10,C13,IF($E$10,E13,0)))</f>
        <v>0</v>
      </c>
      <c r="H13" s="86"/>
      <c r="I13" s="1"/>
    </row>
    <row r="14" spans="1:9" x14ac:dyDescent="0.2">
      <c r="A14" s="84"/>
      <c r="B14" s="85" t="s">
        <v>277</v>
      </c>
      <c r="C14" s="415"/>
      <c r="D14" s="85"/>
      <c r="E14" s="415"/>
      <c r="F14" s="85"/>
      <c r="G14" s="414">
        <f t="shared" si="0"/>
        <v>0</v>
      </c>
      <c r="H14" s="86"/>
      <c r="I14" s="1"/>
    </row>
    <row r="15" spans="1:9" x14ac:dyDescent="0.2">
      <c r="A15" s="84"/>
      <c r="B15" s="85" t="s">
        <v>278</v>
      </c>
      <c r="C15" s="412"/>
      <c r="D15" s="413"/>
      <c r="E15" s="412"/>
      <c r="F15" s="85"/>
      <c r="G15" s="414">
        <f t="shared" si="0"/>
        <v>0</v>
      </c>
      <c r="H15" s="86"/>
      <c r="I15" s="1"/>
    </row>
    <row r="16" spans="1:9" x14ac:dyDescent="0.2">
      <c r="A16" s="84"/>
      <c r="B16" s="85" t="s">
        <v>279</v>
      </c>
      <c r="C16" s="412"/>
      <c r="D16" s="413"/>
      <c r="E16" s="412"/>
      <c r="F16" s="85"/>
      <c r="G16" s="414">
        <f t="shared" si="0"/>
        <v>0</v>
      </c>
      <c r="H16" s="86"/>
      <c r="I16" s="1"/>
    </row>
    <row r="17" spans="1:9" x14ac:dyDescent="0.2">
      <c r="A17" s="84"/>
      <c r="B17" s="85" t="s">
        <v>280</v>
      </c>
      <c r="C17" s="416"/>
      <c r="D17" s="413"/>
      <c r="E17" s="416"/>
      <c r="F17" s="85"/>
      <c r="G17" s="414">
        <f t="shared" si="0"/>
        <v>0</v>
      </c>
      <c r="H17" s="86"/>
      <c r="I17" s="1"/>
    </row>
    <row r="18" spans="1:9" x14ac:dyDescent="0.2">
      <c r="A18" s="84"/>
      <c r="B18" s="105" t="s">
        <v>281</v>
      </c>
      <c r="C18" s="417">
        <f>SUM(C12:C17)</f>
        <v>0</v>
      </c>
      <c r="D18" s="85"/>
      <c r="E18" s="417">
        <f>SUM(E12:E17)</f>
        <v>0</v>
      </c>
      <c r="F18" s="85"/>
      <c r="G18" s="418">
        <f t="shared" si="0"/>
        <v>0</v>
      </c>
      <c r="H18" s="86"/>
      <c r="I18" s="1"/>
    </row>
    <row r="19" spans="1:9" ht="13.5" thickBot="1" x14ac:dyDescent="0.25">
      <c r="A19" s="84"/>
      <c r="B19" s="85"/>
      <c r="C19" s="85"/>
      <c r="D19" s="85"/>
      <c r="E19" s="85"/>
      <c r="F19" s="85"/>
      <c r="G19" s="85"/>
      <c r="H19" s="86"/>
      <c r="I19" s="1"/>
    </row>
    <row r="20" spans="1:9" ht="13.5" thickBot="1" x14ac:dyDescent="0.25">
      <c r="A20" s="84"/>
      <c r="B20" s="105" t="s">
        <v>124</v>
      </c>
      <c r="C20" s="419">
        <f>C21/12</f>
        <v>0</v>
      </c>
      <c r="D20" s="85"/>
      <c r="E20" s="419">
        <f>E21/12</f>
        <v>0</v>
      </c>
      <c r="F20" s="85"/>
      <c r="G20" s="419">
        <f>G21/12</f>
        <v>0</v>
      </c>
      <c r="H20" s="86"/>
      <c r="I20" s="1"/>
    </row>
    <row r="21" spans="1:9" ht="13.5" thickBot="1" x14ac:dyDescent="0.25">
      <c r="A21" s="84"/>
      <c r="B21" s="105" t="s">
        <v>125</v>
      </c>
      <c r="C21" s="419">
        <f>IF(C10,((C9+C18)/C8)*12,0)</f>
        <v>0</v>
      </c>
      <c r="D21" s="85"/>
      <c r="E21" s="419">
        <f>IF(E10,((E9+E18)/E8)*12,0)</f>
        <v>0</v>
      </c>
      <c r="F21" s="85"/>
      <c r="G21" s="419">
        <f>IF(AND(C10,E10),(C21+E21)/2,IF(C10,C21,IF(E10,E21,0)))</f>
        <v>0</v>
      </c>
      <c r="H21" s="86"/>
      <c r="I21" s="1"/>
    </row>
    <row r="22" spans="1:9" x14ac:dyDescent="0.2">
      <c r="A22" s="84"/>
      <c r="B22" s="85"/>
      <c r="C22" s="85"/>
      <c r="D22" s="85"/>
      <c r="E22" s="85"/>
      <c r="F22" s="85"/>
      <c r="G22" s="85"/>
      <c r="H22" s="86"/>
      <c r="I22" s="1"/>
    </row>
    <row r="23" spans="1:9" s="74" customFormat="1" ht="24" customHeight="1" x14ac:dyDescent="0.2">
      <c r="A23" s="87"/>
      <c r="B23" s="36" t="s">
        <v>126</v>
      </c>
      <c r="C23" s="63"/>
      <c r="D23" s="63"/>
      <c r="E23" s="63"/>
      <c r="F23" s="63"/>
      <c r="G23" s="63"/>
      <c r="H23" s="72"/>
      <c r="I23" s="73"/>
    </row>
    <row r="24" spans="1:9" x14ac:dyDescent="0.2">
      <c r="A24" s="84"/>
      <c r="B24" s="85"/>
      <c r="C24" s="85"/>
      <c r="D24" s="85"/>
      <c r="E24" s="85"/>
      <c r="F24" s="85"/>
      <c r="G24" s="85"/>
      <c r="H24" s="86"/>
      <c r="I24" s="1"/>
    </row>
    <row r="25" spans="1:9" x14ac:dyDescent="0.2">
      <c r="A25" s="84"/>
      <c r="B25" s="85"/>
      <c r="C25" s="92" t="s">
        <v>109</v>
      </c>
      <c r="D25" s="92"/>
      <c r="E25" s="92" t="s">
        <v>110</v>
      </c>
      <c r="F25" s="85"/>
      <c r="G25" s="85"/>
      <c r="H25" s="86"/>
      <c r="I25" s="1"/>
    </row>
    <row r="26" spans="1:9" x14ac:dyDescent="0.2">
      <c r="A26" s="84"/>
      <c r="B26" s="404" t="s">
        <v>111</v>
      </c>
      <c r="C26" s="405"/>
      <c r="D26" s="85"/>
      <c r="E26" s="405"/>
      <c r="F26" s="85"/>
      <c r="G26" s="406"/>
      <c r="H26" s="86"/>
      <c r="I26" s="1"/>
    </row>
    <row r="27" spans="1:9" x14ac:dyDescent="0.2">
      <c r="A27" s="98"/>
      <c r="B27" s="407" t="s">
        <v>112</v>
      </c>
      <c r="C27" s="405"/>
      <c r="D27" s="99"/>
      <c r="E27" s="405"/>
      <c r="F27" s="99"/>
      <c r="G27" s="102" t="str">
        <f>IF(AND(C27&gt;0,E27&gt;0),IF(C27=E27,"Average","Extrapolated Average"),"Average")</f>
        <v>Average</v>
      </c>
      <c r="H27" s="104"/>
      <c r="I27" s="1"/>
    </row>
    <row r="28" spans="1:9" x14ac:dyDescent="0.2">
      <c r="A28" s="84"/>
      <c r="B28" s="408" t="s">
        <v>274</v>
      </c>
      <c r="C28" s="409"/>
      <c r="D28" s="85"/>
      <c r="E28" s="409"/>
      <c r="F28" s="85"/>
      <c r="G28" s="410">
        <f>IF(AND($C$29,$E$29),(C28/$C$27+E28/$E$27)/2*12,IF($C$29,C28,IF($E$29,E28,0)))</f>
        <v>0</v>
      </c>
      <c r="H28" s="86"/>
      <c r="I28" s="1"/>
    </row>
    <row r="29" spans="1:9" x14ac:dyDescent="0.2">
      <c r="A29" s="84"/>
      <c r="B29" s="85"/>
      <c r="C29" s="411" t="b">
        <f>AND(C26&lt;&gt;"",C27&lt;&gt;"",C28&lt;&gt;"")</f>
        <v>0</v>
      </c>
      <c r="D29" s="85"/>
      <c r="E29" s="411" t="b">
        <f>AND(E26&lt;&gt;"",E27&lt;&gt;"",E28&lt;&gt;"")</f>
        <v>0</v>
      </c>
      <c r="F29" s="85"/>
      <c r="G29" s="85"/>
      <c r="H29" s="86"/>
      <c r="I29" s="1"/>
    </row>
    <row r="30" spans="1:9" x14ac:dyDescent="0.2">
      <c r="A30" s="84"/>
      <c r="B30" s="105" t="s">
        <v>115</v>
      </c>
      <c r="C30" s="411" t="b">
        <f>AND(C26="",C27="",C28="",C31="",C32="",C33="",C34="",C35="",C36="")</f>
        <v>1</v>
      </c>
      <c r="D30" s="85"/>
      <c r="E30" s="411" t="b">
        <f>AND(E26="",E27="",E28="",E31="",E32="",E33="",E34="",E35="",E36="")</f>
        <v>1</v>
      </c>
      <c r="F30" s="85"/>
      <c r="G30" s="85"/>
      <c r="H30" s="86"/>
      <c r="I30" s="1"/>
    </row>
    <row r="31" spans="1:9" x14ac:dyDescent="0.2">
      <c r="A31" s="84"/>
      <c r="B31" s="85" t="s">
        <v>275</v>
      </c>
      <c r="C31" s="412"/>
      <c r="D31" s="413"/>
      <c r="E31" s="412"/>
      <c r="F31" s="85"/>
      <c r="G31" s="410">
        <f>IF(AND($C$29,$E$29),(C31/$C$27+E31/$E$27)/2*12,IF($C$29,C31,IF($E$29,E31,0)))</f>
        <v>0</v>
      </c>
      <c r="H31" s="86"/>
      <c r="I31" s="1"/>
    </row>
    <row r="32" spans="1:9" x14ac:dyDescent="0.2">
      <c r="A32" s="84"/>
      <c r="B32" s="85" t="s">
        <v>276</v>
      </c>
      <c r="C32" s="412"/>
      <c r="D32" s="413"/>
      <c r="E32" s="412"/>
      <c r="F32" s="85"/>
      <c r="G32" s="410">
        <f t="shared" ref="G32:G37" si="1">IF(AND($C$29,$E$29),(C32/$C$27+E32/$E$27)/2*12,IF($C$29,C32,IF($E$29,E32,0)))</f>
        <v>0</v>
      </c>
      <c r="H32" s="86"/>
      <c r="I32" s="1"/>
    </row>
    <row r="33" spans="1:9" x14ac:dyDescent="0.2">
      <c r="A33" s="84"/>
      <c r="B33" s="85" t="s">
        <v>277</v>
      </c>
      <c r="C33" s="415"/>
      <c r="D33" s="85"/>
      <c r="E33" s="415"/>
      <c r="F33" s="85"/>
      <c r="G33" s="410">
        <f t="shared" si="1"/>
        <v>0</v>
      </c>
      <c r="H33" s="86"/>
      <c r="I33" s="1"/>
    </row>
    <row r="34" spans="1:9" x14ac:dyDescent="0.2">
      <c r="A34" s="84"/>
      <c r="B34" s="85" t="s">
        <v>278</v>
      </c>
      <c r="C34" s="412"/>
      <c r="D34" s="413"/>
      <c r="E34" s="412"/>
      <c r="F34" s="85"/>
      <c r="G34" s="410">
        <f t="shared" si="1"/>
        <v>0</v>
      </c>
      <c r="H34" s="86"/>
      <c r="I34" s="1"/>
    </row>
    <row r="35" spans="1:9" x14ac:dyDescent="0.2">
      <c r="A35" s="84"/>
      <c r="B35" s="85" t="s">
        <v>279</v>
      </c>
      <c r="C35" s="412"/>
      <c r="D35" s="413"/>
      <c r="E35" s="412"/>
      <c r="F35" s="85"/>
      <c r="G35" s="410">
        <f t="shared" si="1"/>
        <v>0</v>
      </c>
      <c r="H35" s="86"/>
      <c r="I35" s="1"/>
    </row>
    <row r="36" spans="1:9" x14ac:dyDescent="0.2">
      <c r="A36" s="84"/>
      <c r="B36" s="85" t="s">
        <v>280</v>
      </c>
      <c r="C36" s="416"/>
      <c r="D36" s="413"/>
      <c r="E36" s="416"/>
      <c r="F36" s="85"/>
      <c r="G36" s="410">
        <f t="shared" si="1"/>
        <v>0</v>
      </c>
      <c r="H36" s="86"/>
      <c r="I36" s="1"/>
    </row>
    <row r="37" spans="1:9" x14ac:dyDescent="0.2">
      <c r="A37" s="84"/>
      <c r="B37" s="105" t="s">
        <v>281</v>
      </c>
      <c r="C37" s="417">
        <f>SUM(C31:C36)</f>
        <v>0</v>
      </c>
      <c r="D37" s="85"/>
      <c r="E37" s="417">
        <f>SUM(E31:E36)</f>
        <v>0</v>
      </c>
      <c r="F37" s="85"/>
      <c r="G37" s="418">
        <f t="shared" si="1"/>
        <v>0</v>
      </c>
      <c r="H37" s="86"/>
      <c r="I37" s="1"/>
    </row>
    <row r="38" spans="1:9" ht="13.5" thickBot="1" x14ac:dyDescent="0.25">
      <c r="A38" s="420"/>
      <c r="B38" s="413"/>
      <c r="C38" s="413"/>
      <c r="D38" s="413"/>
      <c r="E38" s="413"/>
      <c r="F38" s="413"/>
      <c r="G38" s="413"/>
      <c r="H38" s="421"/>
      <c r="I38" s="1"/>
    </row>
    <row r="39" spans="1:9" ht="13.5" thickBot="1" x14ac:dyDescent="0.25">
      <c r="A39" s="420"/>
      <c r="B39" s="105" t="s">
        <v>124</v>
      </c>
      <c r="C39" s="419">
        <f>C40/12</f>
        <v>0</v>
      </c>
      <c r="D39" s="413"/>
      <c r="E39" s="419">
        <f>E40/12</f>
        <v>0</v>
      </c>
      <c r="F39" s="413"/>
      <c r="G39" s="419">
        <f>G40/12</f>
        <v>0</v>
      </c>
      <c r="H39" s="421"/>
      <c r="I39" s="1"/>
    </row>
    <row r="40" spans="1:9" ht="13.5" thickBot="1" x14ac:dyDescent="0.25">
      <c r="A40" s="420"/>
      <c r="B40" s="105" t="s">
        <v>125</v>
      </c>
      <c r="C40" s="419">
        <f>IF(C29,((C28+C37)/C27)*12,0)</f>
        <v>0</v>
      </c>
      <c r="D40" s="413"/>
      <c r="E40" s="419">
        <f>IF(E29,((E28+E37)/E27)*12,0)</f>
        <v>0</v>
      </c>
      <c r="F40" s="413"/>
      <c r="G40" s="419">
        <f>IF(AND(C29,E29),(C40+E40)/2,IF(C29,C40,IF(E29,E40,0)))</f>
        <v>0</v>
      </c>
      <c r="H40" s="421"/>
      <c r="I40" s="1"/>
    </row>
    <row r="41" spans="1:9" x14ac:dyDescent="0.2">
      <c r="A41" s="420"/>
      <c r="B41" s="413"/>
      <c r="C41" s="413"/>
      <c r="D41" s="413"/>
      <c r="E41" s="413"/>
      <c r="F41" s="413"/>
      <c r="G41" s="413"/>
      <c r="H41" s="421"/>
      <c r="I41" s="1"/>
    </row>
    <row r="42" spans="1:9" s="427" customFormat="1" ht="11.25" x14ac:dyDescent="0.2">
      <c r="A42" s="422"/>
      <c r="B42" s="423"/>
      <c r="C42" s="424"/>
      <c r="D42" s="424"/>
      <c r="E42" s="424"/>
      <c r="F42" s="423"/>
      <c r="G42" s="341" t="s">
        <v>129</v>
      </c>
      <c r="H42" s="425"/>
      <c r="I42" s="426"/>
    </row>
    <row r="43" spans="1:9" x14ac:dyDescent="0.2">
      <c r="A43" s="428"/>
      <c r="B43" s="429"/>
      <c r="C43" s="429"/>
      <c r="D43" s="429"/>
      <c r="E43" s="429"/>
      <c r="F43" s="429"/>
      <c r="G43" s="429"/>
      <c r="H43" s="430"/>
      <c r="I43" s="1"/>
    </row>
    <row r="44" spans="1:9" x14ac:dyDescent="0.2">
      <c r="A44" s="1"/>
      <c r="B44" s="1"/>
      <c r="C44" s="1"/>
      <c r="D44" s="1"/>
      <c r="E44" s="1"/>
      <c r="F44" s="1"/>
      <c r="G44" s="1"/>
      <c r="H44" s="1"/>
      <c r="I44" s="1"/>
    </row>
    <row r="45" spans="1:9" x14ac:dyDescent="0.2">
      <c r="A45" s="1"/>
      <c r="B45" s="1"/>
      <c r="C45" s="1"/>
      <c r="D45" s="1"/>
      <c r="E45" s="1"/>
      <c r="F45" s="1"/>
      <c r="G45" s="1"/>
      <c r="H45" s="1"/>
      <c r="I45" s="1"/>
    </row>
  </sheetData>
  <sheetProtection algorithmName="SHA-512" hashValue="I44+8EIFG7G2TAQa8+jBDKmgB525v9qG+L6azqvM7dmyoDW+VwFnY34P66hZ3GxrlMdcvCQgMn3utT3MX6fNOw==" saltValue="A8xPMM9a84XnGfirnFiJGA==" spinCount="100000" sheet="1" objects="1" scenarios="1"/>
  <conditionalFormatting sqref="C7 E7 E26 C26">
    <cfRule type="expression" dxfId="17" priority="1" stopIfTrue="1">
      <formula>AND(C7="",OR(C8&lt;&gt;"",C9&lt;&gt;""))</formula>
    </cfRule>
  </conditionalFormatting>
  <conditionalFormatting sqref="C8 E8 E27 C27">
    <cfRule type="expression" dxfId="16" priority="2" stopIfTrue="1">
      <formula>AND(C8="",OR(C7&lt;&gt;"",C9&lt;&gt;""))</formula>
    </cfRule>
  </conditionalFormatting>
  <conditionalFormatting sqref="C9 E9 E28 C28">
    <cfRule type="expression" dxfId="15" priority="3" stopIfTrue="1">
      <formula>AND(C9="",OR(C7&lt;&gt;"",C8&lt;&gt;""))</formula>
    </cfRule>
  </conditionalFormatting>
  <conditionalFormatting sqref="C42:E42">
    <cfRule type="expression" dxfId="14" priority="4" stopIfTrue="1">
      <formula>#REF!</formula>
    </cfRule>
  </conditionalFormatting>
  <dataValidations count="15">
    <dataValidation type="decimal" operator="greaterThanOrEqual" allowBlank="1" showInputMessage="1" showErrorMessage="1" prompt="Enter any personal wages/salary for year 2" sqref="E33 E14">
      <formula1>0</formula1>
    </dataValidation>
    <dataValidation type="decimal" operator="greaterThanOrEqual" allowBlank="1" showInputMessage="1" showErrorMessage="1" prompt="Enter any personal wages/salary for year 1" sqref="C33 C14">
      <formula1>0</formula1>
    </dataValidation>
    <dataValidation type="decimal" operator="lessThanOrEqual" allowBlank="1" showInputMessage="1" showErrorMessage="1" prompt="Enter any other add backs for year 2." sqref="E36 E17">
      <formula1>9999999999</formula1>
    </dataValidation>
    <dataValidation type="decimal" operator="lessThanOrEqual" allowBlank="1" showInputMessage="1" showErrorMessage="1" prompt="Enter any other add backs for year 1." sqref="C36 C17">
      <formula1>9999999999</formula1>
    </dataValidation>
    <dataValidation type="decimal" operator="lessThanOrEqual" allowBlank="1" showInputMessage="1" showErrorMessage="1" prompt="Enter any other non-cash/non-recurring expenses for year 2." sqref="E35 E16">
      <formula1>9999999999</formula1>
    </dataValidation>
    <dataValidation type="decimal" operator="lessThanOrEqual" allowBlank="1" showInputMessage="1" showErrorMessage="1" prompt="Enter any other non-cash/non-recurring expenses for year 1." sqref="C35 C16">
      <formula1>9999999999</formula1>
    </dataValidation>
    <dataValidation type="decimal" operator="lessThanOrEqual" allowBlank="1" showInputMessage="1" showErrorMessage="1" prompt="Enter any non-cash personal benefits for year 2." sqref="E34 E15">
      <formula1>9999999999</formula1>
    </dataValidation>
    <dataValidation type="decimal" operator="lessThanOrEqual" allowBlank="1" showInputMessage="1" showErrorMessage="1" prompt="Enter any non-cash personal benefits for year 1." sqref="C34 C15">
      <formula1>9999999999</formula1>
    </dataValidation>
    <dataValidation type="decimal" operator="lessThanOrEqual" allowBlank="1" showInputMessage="1" showErrorMessage="1" prompt="Enter any depreciation/amortisation for year 2." sqref="E32 E13">
      <formula1>9999999999</formula1>
    </dataValidation>
    <dataValidation type="decimal" operator="lessThanOrEqual" allowBlank="1" showInputMessage="1" showErrorMessage="1" prompt="Enter any depreciation/amortisation for year 1." sqref="C32 C13">
      <formula1>9999999999</formula1>
    </dataValidation>
    <dataValidation type="decimal" operator="lessThanOrEqual" allowBlank="1" showInputMessage="1" showErrorMessage="1" prompt="Enter any interest for year 2." sqref="E31 E12">
      <formula1>9999999999</formula1>
    </dataValidation>
    <dataValidation type="decimal" operator="lessThanOrEqual" allowBlank="1" showInputMessage="1" showErrorMessage="1" prompt="Enter any interest for year 1." sqref="C31 C12">
      <formula1>9999999999</formula1>
    </dataValidation>
    <dataValidation type="whole" showInputMessage="1" showErrorMessage="1" error="Please Check Number of Months Input (Maximum 12 Months)" prompt="Enter the number of months that the financial data covers (between 1 and 12)." sqref="C27 E27 C8 E8">
      <formula1>1</formula1>
      <formula2>12</formula2>
    </dataValidation>
    <dataValidation type="decimal" operator="lessThanOrEqual" allowBlank="1" showInputMessage="1" showErrorMessage="1" prompt="Enter the net profit before tax.  A loss should be expressed as a negative number." sqref="C28 E28 C9 E9">
      <formula1>9999999999</formula1>
    </dataValidation>
    <dataValidation type="date" errorStyle="warning" operator="lessThanOrEqual" allowBlank="1" showInputMessage="1" showErrorMessage="1" errorTitle="Invalid Date" error="Please check the Statement Date Entered." prompt="Enter Statement Year of Financial Data (eg. 2003)" sqref="E26 C26 C7 E7">
      <formula1>TODAY()</formula1>
    </dataValidation>
  </dataValidations>
  <pageMargins left="0.19685039370078741" right="0.19685039370078741" top="0.19685039370078741" bottom="0.19685039370078741" header="0.31496062992125984" footer="0.31496062992125984"/>
  <pageSetup paperSize="9" scale="89" orientation="portrait" r:id="rId1"/>
  <headerFooter>
    <oddFooter>&amp;L&amp;"Calibri"&amp;11&amp;K000000&amp;"Calibri"&amp;11&amp;K000000&amp;"Calibri"&amp;11&amp;K000000&amp;"Calibri"&amp;11&amp;K000000&amp;"Calibri"&amp;11&amp;K000000&amp;"Calibri"&amp;11&amp;K000000&amp;"Calibri"&amp;11&amp;K000000Printed: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2"/>
  <legacyDrawing r:id="rId3"/>
  <oleObjects>
    <mc:AlternateContent xmlns:mc="http://schemas.openxmlformats.org/markup-compatibility/2006">
      <mc:Choice Requires="x14">
        <oleObject progId="MSPhotoEd.3" shapeId="11270" r:id="rId4">
          <objectPr defaultSize="0" autoPict="0" r:id="rId5">
            <anchor moveWithCells="1">
              <from>
                <xdr:col>4</xdr:col>
                <xdr:colOff>514350</xdr:colOff>
                <xdr:row>0</xdr:row>
                <xdr:rowOff>180975</xdr:rowOff>
              </from>
              <to>
                <xdr:col>6</xdr:col>
                <xdr:colOff>1133475</xdr:colOff>
                <xdr:row>1</xdr:row>
                <xdr:rowOff>295275</xdr:rowOff>
              </to>
            </anchor>
          </objectPr>
        </oleObject>
      </mc:Choice>
      <mc:Fallback>
        <oleObject progId="MSPhotoEd.3" shapeId="11270" r:id="rId4"/>
      </mc:Fallback>
    </mc:AlternateContent>
  </oleObjects>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cmdClearBridgingSelf">
                <anchor moveWithCells="1" sizeWithCells="1">
                  <from>
                    <xdr:col>1</xdr:col>
                    <xdr:colOff>0</xdr:colOff>
                    <xdr:row>7</xdr:row>
                    <xdr:rowOff>57150</xdr:rowOff>
                  </from>
                  <to>
                    <xdr:col>1</xdr:col>
                    <xdr:colOff>885825</xdr:colOff>
                    <xdr:row>9</xdr:row>
                    <xdr:rowOff>47625</xdr:rowOff>
                  </to>
                </anchor>
              </controlPr>
            </control>
          </mc:Choice>
        </mc:AlternateContent>
        <mc:AlternateContent xmlns:mc="http://schemas.openxmlformats.org/markup-compatibility/2006">
          <mc:Choice Requires="x14">
            <control shapeId="11266" r:id="rId7" name="Button 2">
              <controlPr defaultSize="0" print="0" autoFill="0" autoPict="0" macro="[0]!cmdBridging">
                <anchor moveWithCells="1" sizeWithCells="1">
                  <from>
                    <xdr:col>1</xdr:col>
                    <xdr:colOff>0</xdr:colOff>
                    <xdr:row>5</xdr:row>
                    <xdr:rowOff>9525</xdr:rowOff>
                  </from>
                  <to>
                    <xdr:col>1</xdr:col>
                    <xdr:colOff>1314450</xdr:colOff>
                    <xdr:row>7</xdr:row>
                    <xdr:rowOff>0</xdr:rowOff>
                  </to>
                </anchor>
              </controlPr>
            </control>
          </mc:Choice>
        </mc:AlternateContent>
        <mc:AlternateContent xmlns:mc="http://schemas.openxmlformats.org/markup-compatibility/2006">
          <mc:Choice Requires="x14">
            <control shapeId="11267" r:id="rId8" name="Button 3">
              <controlPr defaultSize="0" print="0" autoFill="0" autoPict="0" macro="[0]!cmdClearBridgingSelf">
                <anchor moveWithCells="1" sizeWithCells="1">
                  <from>
                    <xdr:col>1</xdr:col>
                    <xdr:colOff>1390650</xdr:colOff>
                    <xdr:row>40</xdr:row>
                    <xdr:rowOff>66675</xdr:rowOff>
                  </from>
                  <to>
                    <xdr:col>1</xdr:col>
                    <xdr:colOff>2276475</xdr:colOff>
                    <xdr:row>42</xdr:row>
                    <xdr:rowOff>76200</xdr:rowOff>
                  </to>
                </anchor>
              </controlPr>
            </control>
          </mc:Choice>
        </mc:AlternateContent>
        <mc:AlternateContent xmlns:mc="http://schemas.openxmlformats.org/markup-compatibility/2006">
          <mc:Choice Requires="x14">
            <control shapeId="11268" r:id="rId9" name="Button 4">
              <controlPr defaultSize="0" print="0" autoFill="0" autoPict="0" macro="[0]!cmdBridging">
                <anchor moveWithCells="1" sizeWithCells="1">
                  <from>
                    <xdr:col>1</xdr:col>
                    <xdr:colOff>0</xdr:colOff>
                    <xdr:row>40</xdr:row>
                    <xdr:rowOff>66675</xdr:rowOff>
                  </from>
                  <to>
                    <xdr:col>1</xdr:col>
                    <xdr:colOff>1314450</xdr:colOff>
                    <xdr:row>42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G48"/>
  <sheetViews>
    <sheetView showGridLines="0" showRowColHeaders="0" workbookViewId="0"/>
  </sheetViews>
  <sheetFormatPr defaultRowHeight="12.75" x14ac:dyDescent="0.2"/>
  <cols>
    <col min="1" max="1" width="1.7109375" style="431" customWidth="1"/>
    <col min="2" max="2" width="17.140625" style="463" customWidth="1"/>
    <col min="3" max="3" width="17.140625" style="431" customWidth="1"/>
    <col min="4" max="4" width="17.140625" style="463" customWidth="1"/>
    <col min="5" max="6" width="17.140625" style="431" customWidth="1"/>
    <col min="7" max="7" width="1.7109375" style="431" customWidth="1"/>
    <col min="8" max="16384" width="9.140625" style="431"/>
  </cols>
  <sheetData>
    <row r="1" spans="1:7" ht="13.5" thickBot="1" x14ac:dyDescent="0.25">
      <c r="A1" s="255"/>
      <c r="B1" s="256"/>
      <c r="C1" s="256"/>
      <c r="D1" s="256"/>
      <c r="E1" s="256"/>
      <c r="F1" s="256"/>
      <c r="G1" s="257"/>
    </row>
    <row r="2" spans="1:7" ht="24.75" customHeight="1" thickBot="1" x14ac:dyDescent="0.25">
      <c r="A2" s="265"/>
      <c r="B2" s="126" t="s">
        <v>282</v>
      </c>
      <c r="C2" s="432"/>
      <c r="D2" s="433"/>
      <c r="E2" s="434"/>
      <c r="F2" s="434"/>
      <c r="G2" s="267"/>
    </row>
    <row r="3" spans="1:7" ht="114.75" customHeight="1" x14ac:dyDescent="0.2">
      <c r="A3" s="265"/>
      <c r="B3" s="1002" t="s">
        <v>533</v>
      </c>
      <c r="C3" s="1023"/>
      <c r="D3" s="1023"/>
      <c r="E3" s="1023"/>
      <c r="F3" s="1023"/>
      <c r="G3" s="267"/>
    </row>
    <row r="4" spans="1:7" ht="24.75" customHeight="1" x14ac:dyDescent="0.2">
      <c r="A4" s="265"/>
      <c r="B4" s="137" t="s">
        <v>131</v>
      </c>
      <c r="C4" s="435"/>
      <c r="D4" s="436"/>
      <c r="E4" s="435"/>
      <c r="F4" s="437"/>
      <c r="G4" s="267"/>
    </row>
    <row r="5" spans="1:7" x14ac:dyDescent="0.2">
      <c r="A5" s="265"/>
      <c r="B5" s="266"/>
      <c r="C5" s="266"/>
      <c r="D5" s="266"/>
      <c r="E5" s="438">
        <f>(Bridging!F26+SUM(Bridging!F30:F31)&gt;0)+(Bridging!H26+SUM(Bridging!H30:H31)&gt;0)</f>
        <v>0</v>
      </c>
      <c r="F5" s="266"/>
      <c r="G5" s="267"/>
    </row>
    <row r="6" spans="1:7" s="439" customFormat="1" x14ac:dyDescent="0.2">
      <c r="A6" s="265"/>
      <c r="B6" s="266"/>
      <c r="C6" s="266"/>
      <c r="D6" s="266"/>
      <c r="E6" s="1021" t="s">
        <v>283</v>
      </c>
      <c r="F6" s="1022"/>
      <c r="G6" s="267"/>
    </row>
    <row r="7" spans="1:7" ht="25.5" customHeight="1" x14ac:dyDescent="0.2">
      <c r="A7" s="265"/>
      <c r="B7" s="440" t="s">
        <v>132</v>
      </c>
      <c r="C7" s="441" t="s">
        <v>61</v>
      </c>
      <c r="D7" s="440" t="s">
        <v>116</v>
      </c>
      <c r="E7" s="441" t="s">
        <v>85</v>
      </c>
      <c r="F7" s="441" t="s">
        <v>86</v>
      </c>
      <c r="G7" s="267"/>
    </row>
    <row r="8" spans="1:7" x14ac:dyDescent="0.2">
      <c r="A8" s="265"/>
      <c r="B8" s="448" t="str">
        <f>IF('Bridging Calculations'!Q3,IF(OR(Bridging!B39="CBA Line of Credit",Bridging!B39="OFI Line of Credit (Other financial institution)"),Bridging!G39,Bridging!F39),"")</f>
        <v/>
      </c>
      <c r="C8" s="744"/>
      <c r="D8" s="743" t="str">
        <f>IF(AND(B8&lt;&gt;"",C8&lt;&gt;""),B8*C8,"")</f>
        <v/>
      </c>
      <c r="E8" s="442"/>
      <c r="F8" s="442"/>
      <c r="G8" s="267"/>
    </row>
    <row r="9" spans="1:7" x14ac:dyDescent="0.2">
      <c r="A9" s="265"/>
      <c r="B9" s="448" t="str">
        <f>IF('Bridging Calculations'!Q4,IF(OR(Bridging!B40="CBA Line of Credit",Bridging!B40="OFI Line of Credit (Other financial institution)"),Bridging!G40,Bridging!F40),"")</f>
        <v/>
      </c>
      <c r="C9" s="744"/>
      <c r="D9" s="743" t="str">
        <f t="shared" ref="D9:D14" si="0">IF(AND(B9&lt;&gt;"",C9&lt;&gt;""),B9*C9,"")</f>
        <v/>
      </c>
      <c r="E9" s="442"/>
      <c r="F9" s="442"/>
      <c r="G9" s="267"/>
    </row>
    <row r="10" spans="1:7" x14ac:dyDescent="0.2">
      <c r="A10" s="265"/>
      <c r="B10" s="448" t="str">
        <f>IF('Bridging Calculations'!Q5,IF(OR(Bridging!B41="CBA Line of Credit",Bridging!B41="OFI Line of Credit (Other financial institution)"),Bridging!G41,Bridging!F41),"")</f>
        <v/>
      </c>
      <c r="C10" s="744"/>
      <c r="D10" s="743" t="str">
        <f t="shared" si="0"/>
        <v/>
      </c>
      <c r="E10" s="442"/>
      <c r="F10" s="442"/>
      <c r="G10" s="267"/>
    </row>
    <row r="11" spans="1:7" x14ac:dyDescent="0.2">
      <c r="A11" s="265"/>
      <c r="B11" s="448" t="str">
        <f>IF('Bridging Calculations'!Q6,IF(OR(Bridging!B42="CBA Line of Credit",Bridging!B42="OFI Line of Credit (Other financial institution)"),Bridging!G42,Bridging!F42),"")</f>
        <v/>
      </c>
      <c r="C11" s="744"/>
      <c r="D11" s="743" t="str">
        <f t="shared" si="0"/>
        <v/>
      </c>
      <c r="E11" s="442"/>
      <c r="F11" s="442"/>
      <c r="G11" s="267"/>
    </row>
    <row r="12" spans="1:7" x14ac:dyDescent="0.2">
      <c r="A12" s="265"/>
      <c r="B12" s="448" t="str">
        <f>IF('Bridging Calculations'!Q7,IF(OR(Bridging!B43="CBA Line of Credit",Bridging!B43="OFI Line of Credit (Other financial institution)"),Bridging!G43,Bridging!F43),"")</f>
        <v/>
      </c>
      <c r="C12" s="744"/>
      <c r="D12" s="743" t="str">
        <f t="shared" si="0"/>
        <v/>
      </c>
      <c r="E12" s="442"/>
      <c r="F12" s="442"/>
      <c r="G12" s="267"/>
    </row>
    <row r="13" spans="1:7" x14ac:dyDescent="0.2">
      <c r="A13" s="265"/>
      <c r="B13" s="448" t="str">
        <f>IF('Bridging Calculations'!Q8,IF(OR(Bridging!B44="CBA Line of Credit",Bridging!B44="OFI Line of Credit (Other financial institution)"),Bridging!G44,Bridging!F44),"")</f>
        <v/>
      </c>
      <c r="C13" s="744"/>
      <c r="D13" s="743" t="str">
        <f t="shared" si="0"/>
        <v/>
      </c>
      <c r="E13" s="442"/>
      <c r="F13" s="442"/>
      <c r="G13" s="267"/>
    </row>
    <row r="14" spans="1:7" x14ac:dyDescent="0.2">
      <c r="A14" s="265"/>
      <c r="B14" s="448" t="str">
        <f>IF('Bridging Calculations'!Q9,IF(OR(Bridging!B45="CBA Line of Credit",Bridging!B45="OFI Line of Credit (Other financial institution)"),Bridging!G45,Bridging!F45),"")</f>
        <v/>
      </c>
      <c r="C14" s="744"/>
      <c r="D14" s="743" t="str">
        <f t="shared" si="0"/>
        <v/>
      </c>
      <c r="E14" s="442"/>
      <c r="F14" s="442"/>
      <c r="G14" s="267"/>
    </row>
    <row r="15" spans="1:7" x14ac:dyDescent="0.2">
      <c r="A15" s="265"/>
      <c r="B15" s="895"/>
      <c r="C15" s="896"/>
      <c r="D15" s="897"/>
      <c r="E15" s="898"/>
      <c r="F15" s="898"/>
      <c r="G15" s="267"/>
    </row>
    <row r="16" spans="1:7" ht="18" x14ac:dyDescent="0.2">
      <c r="A16" s="265"/>
      <c r="B16" s="137" t="s">
        <v>526</v>
      </c>
      <c r="C16" s="445"/>
      <c r="D16" s="445"/>
      <c r="E16" s="445"/>
      <c r="F16" s="446"/>
      <c r="G16" s="267"/>
    </row>
    <row r="17" spans="1:7" x14ac:dyDescent="0.2">
      <c r="A17" s="265"/>
      <c r="B17" s="443"/>
      <c r="C17" s="444"/>
      <c r="D17" s="443"/>
      <c r="E17" s="444"/>
      <c r="F17" s="444"/>
      <c r="G17" s="267"/>
    </row>
    <row r="18" spans="1:7" x14ac:dyDescent="0.2">
      <c r="A18" s="265"/>
      <c r="B18" s="443"/>
      <c r="C18" s="444"/>
      <c r="D18" s="443"/>
      <c r="E18" s="1021" t="s">
        <v>260</v>
      </c>
      <c r="F18" s="1022"/>
      <c r="G18" s="267"/>
    </row>
    <row r="19" spans="1:7" x14ac:dyDescent="0.2">
      <c r="A19" s="265"/>
      <c r="B19" s="440" t="s">
        <v>132</v>
      </c>
      <c r="C19" s="441" t="s">
        <v>61</v>
      </c>
      <c r="D19" s="440" t="s">
        <v>116</v>
      </c>
      <c r="E19" s="447" t="s">
        <v>85</v>
      </c>
      <c r="F19" s="441" t="s">
        <v>86</v>
      </c>
      <c r="G19" s="267"/>
    </row>
    <row r="20" spans="1:7" x14ac:dyDescent="0.2">
      <c r="A20" s="265"/>
      <c r="B20" s="448" t="str">
        <f t="array" ref="B20">IF('Bridging Calculations'!Q14,Bridging!E65,"")</f>
        <v/>
      </c>
      <c r="C20" s="598"/>
      <c r="D20" s="449" t="str">
        <f t="shared" ref="D20:D25" si="1">IF(AND(B20&lt;&gt;"",C20&lt;&gt;""),B20*C20,"")</f>
        <v/>
      </c>
      <c r="E20" s="442"/>
      <c r="F20" s="442"/>
      <c r="G20" s="267"/>
    </row>
    <row r="21" spans="1:7" x14ac:dyDescent="0.2">
      <c r="A21" s="265"/>
      <c r="B21" s="448" t="str">
        <f t="array" ref="B21">IF('Bridging Calculations'!Q15,Bridging!E66,"")</f>
        <v/>
      </c>
      <c r="C21" s="598"/>
      <c r="D21" s="449" t="str">
        <f t="shared" si="1"/>
        <v/>
      </c>
      <c r="E21" s="442"/>
      <c r="F21" s="442"/>
      <c r="G21" s="267"/>
    </row>
    <row r="22" spans="1:7" x14ac:dyDescent="0.2">
      <c r="A22" s="265"/>
      <c r="B22" s="448" t="str">
        <f t="array" ref="B22">IF('Bridging Calculations'!Q16,Bridging!E67,"")</f>
        <v/>
      </c>
      <c r="C22" s="598"/>
      <c r="D22" s="449" t="str">
        <f t="shared" si="1"/>
        <v/>
      </c>
      <c r="E22" s="442"/>
      <c r="F22" s="442"/>
      <c r="G22" s="267"/>
    </row>
    <row r="23" spans="1:7" x14ac:dyDescent="0.2">
      <c r="A23" s="265"/>
      <c r="B23" s="448" t="str">
        <f t="array" ref="B23">IF('Bridging Calculations'!Q17,Bridging!E68,"")</f>
        <v/>
      </c>
      <c r="C23" s="598"/>
      <c r="D23" s="449" t="str">
        <f t="shared" si="1"/>
        <v/>
      </c>
      <c r="E23" s="442"/>
      <c r="F23" s="442"/>
      <c r="G23" s="267"/>
    </row>
    <row r="24" spans="1:7" x14ac:dyDescent="0.2">
      <c r="A24" s="265"/>
      <c r="B24" s="448" t="str">
        <f t="array" ref="B24">IF('Bridging Calculations'!Q18,Bridging!E69,"")</f>
        <v/>
      </c>
      <c r="C24" s="598"/>
      <c r="D24" s="449" t="str">
        <f t="shared" si="1"/>
        <v/>
      </c>
      <c r="E24" s="442"/>
      <c r="F24" s="442"/>
      <c r="G24" s="267"/>
    </row>
    <row r="25" spans="1:7" x14ac:dyDescent="0.2">
      <c r="A25" s="265"/>
      <c r="B25" s="448" t="str">
        <f t="array" ref="B25">IF('Bridging Calculations'!Q19,Bridging!E70,"")</f>
        <v/>
      </c>
      <c r="C25" s="598"/>
      <c r="D25" s="449" t="str">
        <f t="shared" si="1"/>
        <v/>
      </c>
      <c r="E25" s="442"/>
      <c r="F25" s="442"/>
      <c r="G25" s="267"/>
    </row>
    <row r="26" spans="1:7" x14ac:dyDescent="0.2">
      <c r="A26" s="265"/>
      <c r="B26" s="895"/>
      <c r="C26" s="896"/>
      <c r="D26" s="897"/>
      <c r="E26" s="898"/>
      <c r="F26" s="898"/>
      <c r="G26" s="267"/>
    </row>
    <row r="27" spans="1:7" x14ac:dyDescent="0.2">
      <c r="A27" s="265"/>
      <c r="B27" s="443"/>
      <c r="C27" s="444"/>
      <c r="D27" s="443"/>
      <c r="E27" s="444"/>
      <c r="F27" s="444"/>
      <c r="G27" s="267"/>
    </row>
    <row r="28" spans="1:7" ht="24.75" customHeight="1" x14ac:dyDescent="0.2">
      <c r="A28" s="265"/>
      <c r="B28" s="137" t="s">
        <v>529</v>
      </c>
      <c r="C28" s="445"/>
      <c r="D28" s="445"/>
      <c r="E28" s="445"/>
      <c r="F28" s="446"/>
      <c r="G28" s="267"/>
    </row>
    <row r="29" spans="1:7" x14ac:dyDescent="0.2">
      <c r="A29" s="265"/>
      <c r="B29" s="443"/>
      <c r="C29" s="444"/>
      <c r="D29" s="443"/>
      <c r="E29" s="444"/>
      <c r="F29" s="444"/>
      <c r="G29" s="267"/>
    </row>
    <row r="30" spans="1:7" x14ac:dyDescent="0.2">
      <c r="A30" s="265"/>
      <c r="B30" s="443"/>
      <c r="C30" s="444"/>
      <c r="D30" s="443"/>
      <c r="E30" s="1021" t="s">
        <v>260</v>
      </c>
      <c r="F30" s="1022"/>
      <c r="G30" s="267"/>
    </row>
    <row r="31" spans="1:7" ht="25.5" customHeight="1" x14ac:dyDescent="0.2">
      <c r="A31" s="265"/>
      <c r="B31" s="440" t="s">
        <v>132</v>
      </c>
      <c r="C31" s="441" t="s">
        <v>61</v>
      </c>
      <c r="D31" s="440" t="s">
        <v>116</v>
      </c>
      <c r="E31" s="447" t="s">
        <v>85</v>
      </c>
      <c r="F31" s="441" t="s">
        <v>86</v>
      </c>
      <c r="G31" s="267"/>
    </row>
    <row r="32" spans="1:7" x14ac:dyDescent="0.2">
      <c r="A32" s="265"/>
      <c r="B32" s="448" t="str">
        <f>IF('Bridging Calculations'!Q14,Bridging!E65,"")</f>
        <v/>
      </c>
      <c r="C32" s="598"/>
      <c r="D32" s="449" t="str">
        <f t="shared" ref="D32:D37" si="2">IF(AND(B32&lt;&gt;"",C32&lt;&gt;""),B32*C32,"")</f>
        <v/>
      </c>
      <c r="E32" s="442"/>
      <c r="F32" s="442"/>
      <c r="G32" s="267"/>
    </row>
    <row r="33" spans="1:7" x14ac:dyDescent="0.2">
      <c r="A33" s="265"/>
      <c r="B33" s="448" t="str">
        <f>IF('Bridging Calculations'!Q15,Bridging!E66,"")</f>
        <v/>
      </c>
      <c r="C33" s="598"/>
      <c r="D33" s="449" t="str">
        <f t="shared" si="2"/>
        <v/>
      </c>
      <c r="E33" s="442"/>
      <c r="F33" s="442"/>
      <c r="G33" s="267"/>
    </row>
    <row r="34" spans="1:7" x14ac:dyDescent="0.2">
      <c r="A34" s="265"/>
      <c r="B34" s="448" t="str">
        <f>IF('Bridging Calculations'!Q16,Bridging!E67,"")</f>
        <v/>
      </c>
      <c r="C34" s="598"/>
      <c r="D34" s="449" t="str">
        <f t="shared" si="2"/>
        <v/>
      </c>
      <c r="E34" s="442"/>
      <c r="F34" s="442"/>
      <c r="G34" s="267"/>
    </row>
    <row r="35" spans="1:7" x14ac:dyDescent="0.2">
      <c r="A35" s="265"/>
      <c r="B35" s="448" t="str">
        <f>IF('Bridging Calculations'!Q17,Bridging!E68,"")</f>
        <v/>
      </c>
      <c r="C35" s="598"/>
      <c r="D35" s="449" t="str">
        <f t="shared" si="2"/>
        <v/>
      </c>
      <c r="E35" s="442"/>
      <c r="F35" s="442"/>
      <c r="G35" s="267"/>
    </row>
    <row r="36" spans="1:7" x14ac:dyDescent="0.2">
      <c r="A36" s="265"/>
      <c r="B36" s="448" t="str">
        <f>IF('Bridging Calculations'!Q18,Bridging!E69,"")</f>
        <v/>
      </c>
      <c r="C36" s="598"/>
      <c r="D36" s="449" t="str">
        <f t="shared" si="2"/>
        <v/>
      </c>
      <c r="E36" s="442"/>
      <c r="F36" s="442"/>
      <c r="G36" s="267"/>
    </row>
    <row r="37" spans="1:7" x14ac:dyDescent="0.2">
      <c r="A37" s="265"/>
      <c r="B37" s="448" t="str">
        <f>IF('Bridging Calculations'!Q19,Bridging!E70,"")</f>
        <v/>
      </c>
      <c r="C37" s="598"/>
      <c r="D37" s="449" t="str">
        <f t="shared" si="2"/>
        <v/>
      </c>
      <c r="E37" s="442"/>
      <c r="F37" s="442"/>
      <c r="G37" s="267"/>
    </row>
    <row r="38" spans="1:7" s="439" customFormat="1" x14ac:dyDescent="0.2">
      <c r="A38" s="265"/>
      <c r="B38" s="443"/>
      <c r="C38" s="450"/>
      <c r="D38" s="451"/>
      <c r="E38" s="444"/>
      <c r="F38" s="444"/>
      <c r="G38" s="267"/>
    </row>
    <row r="39" spans="1:7" s="455" customFormat="1" ht="24.75" customHeight="1" x14ac:dyDescent="0.2">
      <c r="A39" s="265"/>
      <c r="B39" s="137" t="s">
        <v>284</v>
      </c>
      <c r="C39" s="452"/>
      <c r="D39" s="453"/>
      <c r="E39" s="452"/>
      <c r="F39" s="454"/>
      <c r="G39" s="267"/>
    </row>
    <row r="40" spans="1:7" s="455" customFormat="1" x14ac:dyDescent="0.2">
      <c r="A40" s="265"/>
      <c r="B40" s="268"/>
      <c r="C40" s="268" t="s">
        <v>285</v>
      </c>
      <c r="E40" s="268"/>
      <c r="F40" s="268" t="s">
        <v>524</v>
      </c>
      <c r="G40" s="267"/>
    </row>
    <row r="41" spans="1:7" s="439" customFormat="1" x14ac:dyDescent="0.2">
      <c r="A41" s="265"/>
      <c r="B41" s="161"/>
      <c r="C41" s="160" t="s">
        <v>136</v>
      </c>
      <c r="E41" s="160" t="s">
        <v>134</v>
      </c>
      <c r="F41" s="456" t="s">
        <v>135</v>
      </c>
      <c r="G41" s="267"/>
    </row>
    <row r="42" spans="1:7" s="439" customFormat="1" x14ac:dyDescent="0.2">
      <c r="A42" s="265"/>
      <c r="B42" s="161" t="s">
        <v>255</v>
      </c>
      <c r="C42" s="457">
        <f t="array" ref="C42">SUM(IF(D8:D14&lt;&gt;"",D8:D14*E8:E14))+SUM(IF(D20:D25&lt;&gt;"",D20:D25*E20:E25))</f>
        <v>0</v>
      </c>
      <c r="E42" s="457">
        <f t="array" ref="E42">SUM(IF((D8:D14&lt;&gt;"")*(Bridging!E39:E45="No"),D8:D14*E8:E14))</f>
        <v>0</v>
      </c>
      <c r="F42" s="457">
        <f t="array" ref="F42">SUM(IF(D32:D37&lt;&gt;"",D32:D37*E32:E37))</f>
        <v>0</v>
      </c>
      <c r="G42" s="267"/>
    </row>
    <row r="43" spans="1:7" s="439" customFormat="1" x14ac:dyDescent="0.2">
      <c r="A43" s="265"/>
      <c r="B43" s="161" t="s">
        <v>256</v>
      </c>
      <c r="C43" s="457">
        <f t="array" ref="C43">SUM(IF(D8:D14&lt;&gt;"",D8:D14*E8:E14))+SUM(IF(D20:D25&lt;&gt;"",D20:D25*F20:F25))</f>
        <v>0</v>
      </c>
      <c r="E43" s="457">
        <f t="array" ref="E43">SUM(IF((D8:D14&lt;&gt;"")*(Bridging!E39:E45="No"),D8:D14*F8:F14))</f>
        <v>0</v>
      </c>
      <c r="F43" s="457">
        <f t="array" ref="F43">SUM(IF(D32:D37&lt;&gt;"",D32:D37*F32:F37))</f>
        <v>0</v>
      </c>
      <c r="G43" s="267"/>
    </row>
    <row r="44" spans="1:7" s="439" customFormat="1" x14ac:dyDescent="0.2">
      <c r="A44" s="265"/>
      <c r="B44" s="161" t="s">
        <v>259</v>
      </c>
      <c r="C44" s="458">
        <f>SUM(C42:C43)</f>
        <v>0</v>
      </c>
      <c r="E44" s="458">
        <f>SUM(E42:E43)</f>
        <v>0</v>
      </c>
      <c r="F44" s="458">
        <f>SUM(F42:F43)</f>
        <v>0</v>
      </c>
      <c r="G44" s="267"/>
    </row>
    <row r="45" spans="1:7" s="439" customFormat="1" x14ac:dyDescent="0.2">
      <c r="A45" s="265"/>
      <c r="B45" s="161"/>
      <c r="C45" s="218"/>
      <c r="E45" s="218"/>
      <c r="F45" s="218"/>
      <c r="G45" s="267"/>
    </row>
    <row r="46" spans="1:7" s="636" customFormat="1" x14ac:dyDescent="0.2">
      <c r="A46" s="634"/>
      <c r="B46" s="723"/>
      <c r="C46" s="724"/>
      <c r="D46" s="724"/>
      <c r="E46" s="724"/>
      <c r="F46" s="724"/>
      <c r="G46" s="635"/>
    </row>
    <row r="47" spans="1:7" s="460" customFormat="1" ht="11.25" customHeight="1" x14ac:dyDescent="0.2">
      <c r="A47" s="265"/>
      <c r="B47" s="266"/>
      <c r="C47" s="266"/>
      <c r="D47" s="266"/>
      <c r="E47" s="266"/>
      <c r="F47" s="459" t="s">
        <v>106</v>
      </c>
      <c r="G47" s="267"/>
    </row>
    <row r="48" spans="1:7" x14ac:dyDescent="0.2">
      <c r="A48" s="274"/>
      <c r="B48" s="461"/>
      <c r="C48" s="462"/>
      <c r="D48" s="461"/>
      <c r="E48" s="462"/>
      <c r="F48" s="462"/>
      <c r="G48" s="276"/>
    </row>
  </sheetData>
  <sheetProtection algorithmName="SHA-512" hashValue="eLSC2VNiErTwvu0B4bszDQcMGZFDhA+NyHqCjTU30+OEnEloIG6UDebs9M+7KwHfUbGIzmMX3vOZw5tQc6DFOA==" saltValue="dRyGXL/rEAVAxly2S0VJlA==" spinCount="100000" sheet="1" objects="1" scenarios="1"/>
  <mergeCells count="4">
    <mergeCell ref="E6:F6"/>
    <mergeCell ref="E30:F30"/>
    <mergeCell ref="B3:F3"/>
    <mergeCell ref="E18:F18"/>
  </mergeCells>
  <conditionalFormatting sqref="E8:F15 E26:F26">
    <cfRule type="expression" dxfId="13" priority="6" stopIfTrue="1">
      <formula>AND($D8&lt;&gt;"",COUNTBLANK($E8:$F8)=2)</formula>
    </cfRule>
  </conditionalFormatting>
  <conditionalFormatting sqref="E32:F37">
    <cfRule type="expression" dxfId="12" priority="5" stopIfTrue="1">
      <formula>AND($D32&lt;&gt;"",COUNTBLANK($E32:$F32)=2)</formula>
    </cfRule>
  </conditionalFormatting>
  <conditionalFormatting sqref="C32:C37">
    <cfRule type="expression" dxfId="11" priority="4">
      <formula>AND(C32="",B32&lt;&gt;"",B32&gt;0)</formula>
    </cfRule>
  </conditionalFormatting>
  <conditionalFormatting sqref="C8:C15 C26">
    <cfRule type="expression" dxfId="10" priority="3">
      <formula>AND(B8&lt;&gt;"",C8="")</formula>
    </cfRule>
  </conditionalFormatting>
  <conditionalFormatting sqref="E20:F25">
    <cfRule type="expression" dxfId="9" priority="2" stopIfTrue="1">
      <formula>AND($D20&lt;&gt;"",COUNTBLANK($E20:$F20)=2)</formula>
    </cfRule>
  </conditionalFormatting>
  <conditionalFormatting sqref="C20:C25">
    <cfRule type="expression" dxfId="8" priority="1">
      <formula>AND(C20="",B20&lt;&gt;"",B20&gt;0)</formula>
    </cfRule>
  </conditionalFormatting>
  <dataValidations count="6">
    <dataValidation type="custom" allowBlank="1" showInputMessage="1" showErrorMessage="1" error="Total Tax benefit % of all four applicants must not be greater than 100%." prompt="Enter the tax benefit % applicable for applicant 2 on this proposed loan" sqref="F32:F37 F20:F25">
      <formula1>SUM($E20:$G20)&lt;=100%</formula1>
    </dataValidation>
    <dataValidation type="custom" allowBlank="1" showInputMessage="1" showErrorMessage="1" error="Total Tax benefit % of all four applicants must not be greater than 100%." prompt="Enter the tax benefit % applicable for applicant 1 on this proposed loan" sqref="E32:E37 E20:E25">
      <formula1>SUM($E20:$G20)&lt;=100%</formula1>
    </dataValidation>
    <dataValidation type="custom" allowBlank="1" showInputMessage="1" showErrorMessage="1" error="Total Tax benefit % of all four applicants must not be greater than 100%." prompt="Enter the tax benefit % applicable for applicant 2 on this existing loan" sqref="F8:F15 F26">
      <formula1>SUM($E8:$G8)&lt;=100%</formula1>
    </dataValidation>
    <dataValidation type="custom" allowBlank="1" showInputMessage="1" showErrorMessage="1" error="Total Tax benefit % of all four applicants must not be greater than 100%." prompt="Enter the tax benefit % applicable for applicant 1 on this existing loan" sqref="E8:E15 E26">
      <formula1>SUM($E8:$G8)&lt;=100%</formula1>
    </dataValidation>
    <dataValidation type="decimal" operator="greaterThanOrEqual" allowBlank="1" showInputMessage="1" showErrorMessage="1" error="You must enter a positive number" prompt="Enter the interest rate (post discount) for this proposed loan." sqref="C32:C37 C20:C25">
      <formula1>0</formula1>
    </dataValidation>
    <dataValidation type="decimal" operator="greaterThanOrEqual" allowBlank="1" showInputMessage="1" showErrorMessage="1" error="You must enter a positive number." prompt="Enter the actual interest rate" sqref="C8:C15 C26">
      <formula1>0</formula1>
    </dataValidation>
  </dataValidations>
  <pageMargins left="0.19685039370078741" right="0.19685039370078741" top="0.19685039370078741" bottom="0.19685039370078741" header="0.31496062992125984" footer="0.31496062992125984"/>
  <pageSetup paperSize="9" orientation="portrait" r:id="rId1"/>
  <headerFooter>
    <oddFooter>&amp;L&amp;"Calibri"&amp;11&amp;K000000&amp;"Calibri"&amp;11&amp;K000000&amp;"Calibri"&amp;11&amp;K000000&amp;"Calibri"&amp;11&amp;K000000&amp;"Calibri"&amp;11&amp;K000000&amp;"Calibri"&amp;11&amp;K000000&amp;"Calibri"&amp;11&amp;K000000Printed: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2"/>
  <legacyDrawing r:id="rId3"/>
  <oleObjects>
    <mc:AlternateContent xmlns:mc="http://schemas.openxmlformats.org/markup-compatibility/2006">
      <mc:Choice Requires="x14">
        <oleObject progId="MSPhotoEd.3" shapeId="12295" r:id="rId4">
          <objectPr defaultSize="0" autoPict="0" r:id="rId5">
            <anchor moveWithCells="1">
              <from>
                <xdr:col>4</xdr:col>
                <xdr:colOff>266700</xdr:colOff>
                <xdr:row>1</xdr:row>
                <xdr:rowOff>9525</xdr:rowOff>
              </from>
              <to>
                <xdr:col>5</xdr:col>
                <xdr:colOff>1133475</xdr:colOff>
                <xdr:row>2</xdr:row>
                <xdr:rowOff>66675</xdr:rowOff>
              </to>
            </anchor>
          </objectPr>
        </oleObject>
      </mc:Choice>
      <mc:Fallback>
        <oleObject progId="MSPhotoEd.3" shapeId="12295" r:id="rId4"/>
      </mc:Fallback>
    </mc:AlternateContent>
  </oleObjects>
  <mc:AlternateContent xmlns:mc="http://schemas.openxmlformats.org/markup-compatibility/2006">
    <mc:Choice Requires="x14">
      <controls>
        <mc:AlternateContent xmlns:mc="http://schemas.openxmlformats.org/markup-compatibility/2006">
          <mc:Choice Requires="x14">
            <control shapeId="12289" r:id="rId6" name="Button 1">
              <controlPr defaultSize="0" print="0" autoFill="0" autoPict="0" macro="[0]!cmdClearBridgingNeg">
                <anchor moveWithCells="1" sizeWithCells="1">
                  <from>
                    <xdr:col>2</xdr:col>
                    <xdr:colOff>266700</xdr:colOff>
                    <xdr:row>2</xdr:row>
                    <xdr:rowOff>47625</xdr:rowOff>
                  </from>
                  <to>
                    <xdr:col>2</xdr:col>
                    <xdr:colOff>1019175</xdr:colOff>
                    <xdr:row>2</xdr:row>
                    <xdr:rowOff>314325</xdr:rowOff>
                  </to>
                </anchor>
              </controlPr>
            </control>
          </mc:Choice>
        </mc:AlternateContent>
        <mc:AlternateContent xmlns:mc="http://schemas.openxmlformats.org/markup-compatibility/2006">
          <mc:Choice Requires="x14">
            <control shapeId="12290" r:id="rId7" name="Button 2">
              <controlPr defaultSize="0" print="0" autoFill="0" autoPict="0" macro="[0]!cmdBridging">
                <anchor moveWithCells="1" sizeWithCells="1">
                  <from>
                    <xdr:col>2</xdr:col>
                    <xdr:colOff>1095375</xdr:colOff>
                    <xdr:row>2</xdr:row>
                    <xdr:rowOff>47625</xdr:rowOff>
                  </from>
                  <to>
                    <xdr:col>3</xdr:col>
                    <xdr:colOff>1133475</xdr:colOff>
                    <xdr:row>2</xdr:row>
                    <xdr:rowOff>314325</xdr:rowOff>
                  </to>
                </anchor>
              </controlPr>
            </control>
          </mc:Choice>
        </mc:AlternateContent>
        <mc:AlternateContent xmlns:mc="http://schemas.openxmlformats.org/markup-compatibility/2006">
          <mc:Choice Requires="x14">
            <control shapeId="12291" r:id="rId8" name="Button 3">
              <controlPr defaultSize="0" print="0" autoFill="0" autoPict="0" macro="[0]!cmdClearBridgingNeg">
                <anchor moveWithCells="1" sizeWithCells="1">
                  <from>
                    <xdr:col>1</xdr:col>
                    <xdr:colOff>238125</xdr:colOff>
                    <xdr:row>45</xdr:row>
                    <xdr:rowOff>38100</xdr:rowOff>
                  </from>
                  <to>
                    <xdr:col>1</xdr:col>
                    <xdr:colOff>990600</xdr:colOff>
                    <xdr:row>47</xdr:row>
                    <xdr:rowOff>0</xdr:rowOff>
                  </to>
                </anchor>
              </controlPr>
            </control>
          </mc:Choice>
        </mc:AlternateContent>
        <mc:AlternateContent xmlns:mc="http://schemas.openxmlformats.org/markup-compatibility/2006">
          <mc:Choice Requires="x14">
            <control shapeId="12292" r:id="rId9" name="Button 4">
              <controlPr defaultSize="0" print="0" autoFill="0" autoPict="0" macro="[0]!cmdBridging">
                <anchor moveWithCells="1" sizeWithCells="1">
                  <from>
                    <xdr:col>1</xdr:col>
                    <xdr:colOff>1104900</xdr:colOff>
                    <xdr:row>45</xdr:row>
                    <xdr:rowOff>28575</xdr:rowOff>
                  </from>
                  <to>
                    <xdr:col>3</xdr:col>
                    <xdr:colOff>0</xdr:colOff>
                    <xdr:row>46</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O65"/>
  <sheetViews>
    <sheetView showGridLines="0" showRowColHeaders="0" zoomScaleNormal="100" workbookViewId="0"/>
  </sheetViews>
  <sheetFormatPr defaultRowHeight="12.75" x14ac:dyDescent="0.2"/>
  <cols>
    <col min="1" max="1" width="1.7109375" customWidth="1"/>
    <col min="2" max="2" width="4.7109375" customWidth="1"/>
    <col min="3" max="3" width="23.140625" customWidth="1"/>
    <col min="4" max="4" width="18.140625" customWidth="1"/>
    <col min="5" max="5" width="14.140625" customWidth="1"/>
    <col min="6" max="6" width="13.85546875" bestFit="1" customWidth="1"/>
    <col min="7" max="10" width="13.7109375" customWidth="1"/>
    <col min="11" max="12" width="14.140625" customWidth="1"/>
    <col min="13" max="13" width="1.7109375" customWidth="1"/>
    <col min="15" max="15" width="9.140625" hidden="1" customWidth="1"/>
  </cols>
  <sheetData>
    <row r="1" spans="1:15" ht="13.5" thickBot="1" x14ac:dyDescent="0.25">
      <c r="A1" s="705"/>
      <c r="B1" s="706"/>
      <c r="C1" s="706"/>
      <c r="D1" s="706"/>
      <c r="E1" s="706"/>
      <c r="F1" s="706"/>
      <c r="G1" s="706"/>
      <c r="H1" s="706"/>
      <c r="I1" s="706"/>
      <c r="J1" s="706"/>
      <c r="K1" s="706"/>
      <c r="L1" s="706"/>
      <c r="M1" s="707"/>
    </row>
    <row r="2" spans="1:15" ht="24" customHeight="1" thickBot="1" x14ac:dyDescent="0.25">
      <c r="A2" s="265"/>
      <c r="B2" s="693" t="s">
        <v>419</v>
      </c>
      <c r="C2" s="694"/>
      <c r="D2" s="695"/>
      <c r="E2" s="695"/>
      <c r="F2" s="695"/>
      <c r="G2" s="695"/>
      <c r="H2" s="696"/>
      <c r="I2" s="266"/>
      <c r="J2" s="266"/>
      <c r="K2" s="266"/>
      <c r="L2" s="266"/>
      <c r="M2" s="267"/>
    </row>
    <row r="3" spans="1:15" ht="25.5" customHeight="1" x14ac:dyDescent="0.2">
      <c r="A3" s="265"/>
      <c r="B3" s="266"/>
      <c r="C3" s="266"/>
      <c r="D3" s="266"/>
      <c r="E3" s="266"/>
      <c r="F3" s="266"/>
      <c r="G3" s="266"/>
      <c r="H3" s="266"/>
      <c r="I3" s="266"/>
      <c r="J3" s="266"/>
      <c r="K3" s="266"/>
      <c r="L3" s="266"/>
      <c r="M3" s="267"/>
    </row>
    <row r="4" spans="1:15" ht="24" customHeight="1" x14ac:dyDescent="0.2">
      <c r="A4" s="265"/>
      <c r="B4" s="689" t="s">
        <v>398</v>
      </c>
      <c r="C4" s="690"/>
      <c r="D4" s="691"/>
      <c r="E4" s="691"/>
      <c r="F4" s="691"/>
      <c r="G4" s="691"/>
      <c r="H4" s="691"/>
      <c r="I4" s="691"/>
      <c r="J4" s="691"/>
      <c r="K4" s="691"/>
      <c r="L4" s="692"/>
      <c r="M4" s="267"/>
    </row>
    <row r="5" spans="1:15" x14ac:dyDescent="0.2">
      <c r="A5" s="265"/>
      <c r="B5" s="266"/>
      <c r="C5" s="266"/>
      <c r="D5" s="266"/>
      <c r="E5" s="266"/>
      <c r="F5" s="266"/>
      <c r="G5" s="266"/>
      <c r="H5" s="266"/>
      <c r="I5" s="266"/>
      <c r="J5" s="266"/>
      <c r="K5" s="266"/>
      <c r="L5" s="266"/>
      <c r="M5" s="267"/>
    </row>
    <row r="6" spans="1:15" ht="38.25" x14ac:dyDescent="0.2">
      <c r="A6" s="265"/>
      <c r="B6" s="653"/>
      <c r="C6" s="708" t="s">
        <v>399</v>
      </c>
      <c r="D6" s="708" t="s">
        <v>400</v>
      </c>
      <c r="E6" s="708" t="s">
        <v>401</v>
      </c>
      <c r="F6" s="708" t="s">
        <v>402</v>
      </c>
      <c r="G6" s="708" t="s">
        <v>403</v>
      </c>
      <c r="H6" s="708" t="s">
        <v>404</v>
      </c>
      <c r="I6" s="709" t="s">
        <v>534</v>
      </c>
      <c r="J6" s="655" t="s">
        <v>405</v>
      </c>
      <c r="K6" s="655" t="s">
        <v>406</v>
      </c>
      <c r="L6" s="655" t="s">
        <v>407</v>
      </c>
      <c r="M6" s="267"/>
    </row>
    <row r="7" spans="1:15" x14ac:dyDescent="0.2">
      <c r="A7" s="265"/>
      <c r="B7" s="656">
        <v>1</v>
      </c>
      <c r="C7" s="657"/>
      <c r="D7" s="657"/>
      <c r="E7" s="658"/>
      <c r="F7" s="659"/>
      <c r="G7" s="660"/>
      <c r="H7" s="657"/>
      <c r="I7" s="657"/>
      <c r="J7" s="731" t="str">
        <f>IF(AND(NOT('Bridging Calculations'!O30),'Bridging Calculations'!P30),(G7*52)/F7,"")</f>
        <v/>
      </c>
      <c r="K7" s="661" t="str">
        <f>IF(AND(NOT('Bridging Calculations'!O30),'Bridging Calculations'!P30),MIN((G7*52)/12,(F7*0.06)/12),"")</f>
        <v/>
      </c>
      <c r="L7" s="661" t="str">
        <f>IF(AND(NOT('Bridging Calculations'!O30),'Bridging Calculations'!P30),K7*12,"")</f>
        <v/>
      </c>
      <c r="M7" s="267"/>
      <c r="O7" t="b">
        <f>'Bridging Calculations'!O30</f>
        <v>1</v>
      </c>
    </row>
    <row r="8" spans="1:15" x14ac:dyDescent="0.2">
      <c r="A8" s="265"/>
      <c r="B8" s="656">
        <v>2</v>
      </c>
      <c r="C8" s="657"/>
      <c r="D8" s="657"/>
      <c r="E8" s="658"/>
      <c r="F8" s="659"/>
      <c r="G8" s="660"/>
      <c r="H8" s="657"/>
      <c r="I8" s="657"/>
      <c r="J8" s="731" t="str">
        <f>IF(AND(NOT('Bridging Calculations'!O31),'Bridging Calculations'!P31),(G8*52)/F8,"")</f>
        <v/>
      </c>
      <c r="K8" s="661" t="str">
        <f>IF(AND(NOT('Bridging Calculations'!O31),'Bridging Calculations'!P31),MIN((G8*52)/12,(F8*0.06)/12),"")</f>
        <v/>
      </c>
      <c r="L8" s="661" t="str">
        <f>IF(AND(NOT('Bridging Calculations'!O31),'Bridging Calculations'!P31),K8*12,"")</f>
        <v/>
      </c>
      <c r="M8" s="267"/>
      <c r="O8" t="b">
        <f>'Bridging Calculations'!O31</f>
        <v>1</v>
      </c>
    </row>
    <row r="9" spans="1:15" x14ac:dyDescent="0.2">
      <c r="A9" s="265"/>
      <c r="B9" s="656">
        <v>3</v>
      </c>
      <c r="C9" s="657"/>
      <c r="D9" s="657"/>
      <c r="E9" s="658"/>
      <c r="F9" s="659"/>
      <c r="G9" s="660"/>
      <c r="H9" s="657"/>
      <c r="I9" s="657"/>
      <c r="J9" s="731" t="str">
        <f>IF(AND(NOT('Bridging Calculations'!O32),'Bridging Calculations'!P32),(G9*52)/F9,"")</f>
        <v/>
      </c>
      <c r="K9" s="661" t="str">
        <f>IF(AND(NOT('Bridging Calculations'!O32),'Bridging Calculations'!P32),MIN((G9*52)/12,(F9*0.06)/12),"")</f>
        <v/>
      </c>
      <c r="L9" s="661" t="str">
        <f>IF(AND(NOT('Bridging Calculations'!O32),'Bridging Calculations'!P32),K9*12,"")</f>
        <v/>
      </c>
      <c r="M9" s="267"/>
      <c r="O9" t="b">
        <f>'Bridging Calculations'!O32</f>
        <v>1</v>
      </c>
    </row>
    <row r="10" spans="1:15" x14ac:dyDescent="0.2">
      <c r="A10" s="265"/>
      <c r="B10" s="383">
        <v>4</v>
      </c>
      <c r="C10" s="657"/>
      <c r="D10" s="657"/>
      <c r="E10" s="658"/>
      <c r="F10" s="659"/>
      <c r="G10" s="660"/>
      <c r="H10" s="657"/>
      <c r="I10" s="657"/>
      <c r="J10" s="731" t="str">
        <f>IF(AND(NOT('Bridging Calculations'!O33),'Bridging Calculations'!P33),(G10*52)/F10,"")</f>
        <v/>
      </c>
      <c r="K10" s="661" t="str">
        <f>IF(AND(NOT('Bridging Calculations'!O33),'Bridging Calculations'!P33),MIN((G10*52)/12,(F10*0.06)/12),"")</f>
        <v/>
      </c>
      <c r="L10" s="661" t="str">
        <f>IF(AND(NOT('Bridging Calculations'!O33),'Bridging Calculations'!P33),K10*12,"")</f>
        <v/>
      </c>
      <c r="M10" s="267"/>
      <c r="O10" t="b">
        <f>'Bridging Calculations'!O33</f>
        <v>1</v>
      </c>
    </row>
    <row r="11" spans="1:15" x14ac:dyDescent="0.2">
      <c r="A11" s="265"/>
      <c r="B11" s="383">
        <v>5</v>
      </c>
      <c r="C11" s="658"/>
      <c r="D11" s="658"/>
      <c r="E11" s="658"/>
      <c r="F11" s="659"/>
      <c r="G11" s="660"/>
      <c r="H11" s="657"/>
      <c r="I11" s="657"/>
      <c r="J11" s="731" t="str">
        <f>IF(AND(NOT('Bridging Calculations'!O34),'Bridging Calculations'!P34),(G11*52)/F11,"")</f>
        <v/>
      </c>
      <c r="K11" s="661" t="str">
        <f>IF(AND(NOT('Bridging Calculations'!O34),'Bridging Calculations'!P34),MIN((G11*52)/12,(F11*0.06)/12),"")</f>
        <v/>
      </c>
      <c r="L11" s="661" t="str">
        <f>IF(AND(NOT('Bridging Calculations'!O34),'Bridging Calculations'!P34),K11*12,"")</f>
        <v/>
      </c>
      <c r="M11" s="267"/>
      <c r="O11" t="b">
        <f>'Bridging Calculations'!O34</f>
        <v>1</v>
      </c>
    </row>
    <row r="12" spans="1:15" x14ac:dyDescent="0.2">
      <c r="A12" s="265"/>
      <c r="B12" s="383">
        <v>6</v>
      </c>
      <c r="C12" s="658"/>
      <c r="D12" s="658"/>
      <c r="E12" s="658"/>
      <c r="F12" s="659"/>
      <c r="G12" s="660"/>
      <c r="H12" s="657"/>
      <c r="I12" s="657"/>
      <c r="J12" s="731" t="str">
        <f>IF(AND(NOT('Bridging Calculations'!O35),'Bridging Calculations'!P35),(G12*52)/F12,"")</f>
        <v/>
      </c>
      <c r="K12" s="661" t="str">
        <f>IF(AND(NOT('Bridging Calculations'!O35),'Bridging Calculations'!P35),MIN((G12*52)/12,(F12*0.06)/12),"")</f>
        <v/>
      </c>
      <c r="L12" s="661" t="str">
        <f>IF(AND(NOT('Bridging Calculations'!O35),'Bridging Calculations'!P35),K12*12,"")</f>
        <v/>
      </c>
      <c r="M12" s="267"/>
      <c r="O12" t="b">
        <f>'Bridging Calculations'!O35</f>
        <v>1</v>
      </c>
    </row>
    <row r="13" spans="1:15" x14ac:dyDescent="0.2">
      <c r="A13" s="265"/>
      <c r="B13" s="383">
        <v>7</v>
      </c>
      <c r="C13" s="658"/>
      <c r="D13" s="658"/>
      <c r="E13" s="658"/>
      <c r="F13" s="659"/>
      <c r="G13" s="660"/>
      <c r="H13" s="657"/>
      <c r="I13" s="657"/>
      <c r="J13" s="731" t="str">
        <f>IF(AND(NOT('Bridging Calculations'!O36),'Bridging Calculations'!P36),(G13*52)/F13,"")</f>
        <v/>
      </c>
      <c r="K13" s="661" t="str">
        <f>IF(AND(NOT('Bridging Calculations'!O36),'Bridging Calculations'!P36),MIN((G13*52)/12,(F13*0.06)/12),"")</f>
        <v/>
      </c>
      <c r="L13" s="661" t="str">
        <f>IF(AND(NOT('Bridging Calculations'!O36),'Bridging Calculations'!P36),K13*12,"")</f>
        <v/>
      </c>
      <c r="M13" s="267"/>
      <c r="O13" t="b">
        <f>'Bridging Calculations'!O36</f>
        <v>1</v>
      </c>
    </row>
    <row r="14" spans="1:15" x14ac:dyDescent="0.2">
      <c r="A14" s="265"/>
      <c r="B14" s="383">
        <v>8</v>
      </c>
      <c r="C14" s="658"/>
      <c r="D14" s="658"/>
      <c r="E14" s="658"/>
      <c r="F14" s="659"/>
      <c r="G14" s="660"/>
      <c r="H14" s="657"/>
      <c r="I14" s="657"/>
      <c r="J14" s="731" t="str">
        <f>IF(AND(NOT('Bridging Calculations'!O37),'Bridging Calculations'!P37),(G14*52)/F14,"")</f>
        <v/>
      </c>
      <c r="K14" s="661" t="str">
        <f>IF(AND(NOT('Bridging Calculations'!O37),'Bridging Calculations'!P37),MIN((G14*52)/12,(F14*0.06)/12),"")</f>
        <v/>
      </c>
      <c r="L14" s="661" t="str">
        <f>IF(AND(NOT('Bridging Calculations'!O37),'Bridging Calculations'!P37),K14*12,"")</f>
        <v/>
      </c>
      <c r="M14" s="267"/>
      <c r="O14" t="b">
        <f>'Bridging Calculations'!O37</f>
        <v>1</v>
      </c>
    </row>
    <row r="15" spans="1:15" x14ac:dyDescent="0.2">
      <c r="A15" s="265"/>
      <c r="B15" s="383">
        <v>9</v>
      </c>
      <c r="C15" s="658"/>
      <c r="D15" s="658"/>
      <c r="E15" s="658"/>
      <c r="F15" s="659"/>
      <c r="G15" s="660"/>
      <c r="H15" s="657"/>
      <c r="I15" s="657"/>
      <c r="J15" s="731" t="str">
        <f>IF(AND(NOT('Bridging Calculations'!O38),'Bridging Calculations'!P38),(G15*52)/F15,"")</f>
        <v/>
      </c>
      <c r="K15" s="661" t="str">
        <f>IF(AND(NOT('Bridging Calculations'!O38),'Bridging Calculations'!P38),MIN((G15*52)/12,(F15*0.06)/12),"")</f>
        <v/>
      </c>
      <c r="L15" s="661" t="str">
        <f>IF(AND(NOT('Bridging Calculations'!O38),'Bridging Calculations'!P38),K15*12,"")</f>
        <v/>
      </c>
      <c r="M15" s="267"/>
      <c r="O15" t="b">
        <f>'Bridging Calculations'!O38</f>
        <v>1</v>
      </c>
    </row>
    <row r="16" spans="1:15" x14ac:dyDescent="0.2">
      <c r="A16" s="265"/>
      <c r="B16" s="383">
        <v>10</v>
      </c>
      <c r="C16" s="658"/>
      <c r="D16" s="658"/>
      <c r="E16" s="658"/>
      <c r="F16" s="659"/>
      <c r="G16" s="660"/>
      <c r="H16" s="657"/>
      <c r="I16" s="657"/>
      <c r="J16" s="731" t="str">
        <f>IF(AND(NOT('Bridging Calculations'!O39),'Bridging Calculations'!P39),(G16*52)/F16,"")</f>
        <v/>
      </c>
      <c r="K16" s="661" t="str">
        <f>IF(AND(NOT('Bridging Calculations'!O39),'Bridging Calculations'!P39),MIN((G16*52)/12,(F16*0.06)/12),"")</f>
        <v/>
      </c>
      <c r="L16" s="661" t="str">
        <f>IF(AND(NOT('Bridging Calculations'!O39),'Bridging Calculations'!P39),K16*12,"")</f>
        <v/>
      </c>
      <c r="M16" s="267"/>
      <c r="O16" t="b">
        <f>'Bridging Calculations'!O39</f>
        <v>1</v>
      </c>
    </row>
    <row r="17" spans="1:15" x14ac:dyDescent="0.2">
      <c r="A17" s="265"/>
      <c r="B17" s="383">
        <v>11</v>
      </c>
      <c r="C17" s="658"/>
      <c r="D17" s="658"/>
      <c r="E17" s="658"/>
      <c r="F17" s="659"/>
      <c r="G17" s="660"/>
      <c r="H17" s="657"/>
      <c r="I17" s="657"/>
      <c r="J17" s="736" t="str">
        <f>IF(AND(NOT('Bridging Calculations'!O40),'Bridging Calculations'!P40),(G17*52)/F17,"")</f>
        <v/>
      </c>
      <c r="K17" s="737" t="str">
        <f>IF(AND(NOT('Bridging Calculations'!O40),'Bridging Calculations'!P40),MIN((G17*52)/12,(F17*0.06)/12),"")</f>
        <v/>
      </c>
      <c r="L17" s="737" t="str">
        <f>IF(AND(NOT('Bridging Calculations'!O40),'Bridging Calculations'!P40),K17*12,"")</f>
        <v/>
      </c>
      <c r="M17" s="267"/>
      <c r="O17" t="b">
        <f>'Bridging Calculations'!O40</f>
        <v>1</v>
      </c>
    </row>
    <row r="18" spans="1:15" x14ac:dyDescent="0.2">
      <c r="A18" s="265"/>
      <c r="B18" s="383">
        <v>12</v>
      </c>
      <c r="C18" s="658"/>
      <c r="D18" s="658"/>
      <c r="E18" s="658"/>
      <c r="F18" s="659"/>
      <c r="G18" s="660"/>
      <c r="H18" s="657"/>
      <c r="I18" s="657"/>
      <c r="J18" s="738" t="str">
        <f>IF(AND(NOT('Bridging Calculations'!O41),'Bridging Calculations'!P41),(G18*52)/F18,"")</f>
        <v/>
      </c>
      <c r="K18" s="739" t="str">
        <f>IF(AND(NOT('Bridging Calculations'!O41),'Bridging Calculations'!P41),MIN((G18*52)/12,(F18*0.06)/12),"")</f>
        <v/>
      </c>
      <c r="L18" s="739" t="str">
        <f>IF(AND(NOT('Bridging Calculations'!O41),'Bridging Calculations'!P41),K18*12,"")</f>
        <v/>
      </c>
      <c r="M18" s="267"/>
      <c r="O18" t="b">
        <f>'Bridging Calculations'!O41</f>
        <v>1</v>
      </c>
    </row>
    <row r="19" spans="1:15" x14ac:dyDescent="0.2">
      <c r="A19" s="265"/>
      <c r="B19" s="383">
        <v>13</v>
      </c>
      <c r="C19" s="658"/>
      <c r="D19" s="658"/>
      <c r="E19" s="658"/>
      <c r="F19" s="659"/>
      <c r="G19" s="660"/>
      <c r="H19" s="657"/>
      <c r="I19" s="657"/>
      <c r="J19" s="738" t="str">
        <f>IF(AND(NOT('Bridging Calculations'!O42),'Bridging Calculations'!P42),(G19*52)/F19,"")</f>
        <v/>
      </c>
      <c r="K19" s="739" t="str">
        <f>IF(AND(NOT('Bridging Calculations'!O42),'Bridging Calculations'!P42),MIN((G19*52)/12,(F19*0.06)/12),"")</f>
        <v/>
      </c>
      <c r="L19" s="739" t="str">
        <f>IF(AND(NOT('Bridging Calculations'!O42),'Bridging Calculations'!P42),K19*12,"")</f>
        <v/>
      </c>
      <c r="M19" s="267"/>
      <c r="O19" t="b">
        <f>'Bridging Calculations'!O42</f>
        <v>1</v>
      </c>
    </row>
    <row r="20" spans="1:15" x14ac:dyDescent="0.2">
      <c r="A20" s="265"/>
      <c r="B20" s="383">
        <v>14</v>
      </c>
      <c r="C20" s="658"/>
      <c r="D20" s="658"/>
      <c r="E20" s="658"/>
      <c r="F20" s="659"/>
      <c r="G20" s="660"/>
      <c r="H20" s="657"/>
      <c r="I20" s="657"/>
      <c r="J20" s="738" t="str">
        <f>IF(AND(NOT('Bridging Calculations'!O43),'Bridging Calculations'!P43),(G20*52)/F20,"")</f>
        <v/>
      </c>
      <c r="K20" s="739" t="str">
        <f>IF(AND(NOT('Bridging Calculations'!O43),'Bridging Calculations'!P43),MIN((G20*52)/12,(F20*0.06)/12),"")</f>
        <v/>
      </c>
      <c r="L20" s="739" t="str">
        <f>IF(AND(NOT('Bridging Calculations'!O43),'Bridging Calculations'!P43),K20*12,"")</f>
        <v/>
      </c>
      <c r="M20" s="267"/>
      <c r="O20" t="b">
        <f>'Bridging Calculations'!O43</f>
        <v>1</v>
      </c>
    </row>
    <row r="21" spans="1:15" x14ac:dyDescent="0.2">
      <c r="A21" s="265"/>
      <c r="B21" s="383">
        <v>15</v>
      </c>
      <c r="C21" s="658"/>
      <c r="D21" s="658"/>
      <c r="E21" s="658"/>
      <c r="F21" s="659"/>
      <c r="G21" s="660"/>
      <c r="H21" s="657"/>
      <c r="I21" s="657"/>
      <c r="J21" s="738" t="str">
        <f>IF(AND(NOT('Bridging Calculations'!O44),'Bridging Calculations'!P44),(G21*52)/F21,"")</f>
        <v/>
      </c>
      <c r="K21" s="739" t="str">
        <f>IF(AND(NOT('Bridging Calculations'!O44),'Bridging Calculations'!P44),MIN((G21*52)/12,(F21*0.06)/12),"")</f>
        <v/>
      </c>
      <c r="L21" s="739" t="str">
        <f>IF(AND(NOT('Bridging Calculations'!O44),'Bridging Calculations'!P44),K21*12,"")</f>
        <v/>
      </c>
      <c r="M21" s="267"/>
      <c r="O21" t="b">
        <f>'Bridging Calculations'!O44</f>
        <v>1</v>
      </c>
    </row>
    <row r="22" spans="1:15" x14ac:dyDescent="0.2">
      <c r="A22" s="265"/>
      <c r="B22" s="383">
        <v>16</v>
      </c>
      <c r="C22" s="658"/>
      <c r="D22" s="658"/>
      <c r="E22" s="658"/>
      <c r="F22" s="659"/>
      <c r="G22" s="660"/>
      <c r="H22" s="657"/>
      <c r="I22" s="657"/>
      <c r="J22" s="738" t="str">
        <f>IF(AND(NOT('Bridging Calculations'!O45),'Bridging Calculations'!P45),(G22*52)/F22,"")</f>
        <v/>
      </c>
      <c r="K22" s="739" t="str">
        <f>IF(AND(NOT('Bridging Calculations'!O45),'Bridging Calculations'!P45),MIN((G22*52)/12,(F22*0.06)/12),"")</f>
        <v/>
      </c>
      <c r="L22" s="739" t="str">
        <f>IF(AND(NOT('Bridging Calculations'!O45),'Bridging Calculations'!P45),K22*12,"")</f>
        <v/>
      </c>
      <c r="M22" s="267"/>
      <c r="O22" t="b">
        <f>'Bridging Calculations'!O45</f>
        <v>1</v>
      </c>
    </row>
    <row r="23" spans="1:15" x14ac:dyDescent="0.2">
      <c r="A23" s="265"/>
      <c r="B23" s="383">
        <v>17</v>
      </c>
      <c r="C23" s="658"/>
      <c r="D23" s="658"/>
      <c r="E23" s="658"/>
      <c r="F23" s="659"/>
      <c r="G23" s="660"/>
      <c r="H23" s="657"/>
      <c r="I23" s="657"/>
      <c r="J23" s="738" t="str">
        <f>IF(AND(NOT('Bridging Calculations'!O46),'Bridging Calculations'!P46),(G23*52)/F23,"")</f>
        <v/>
      </c>
      <c r="K23" s="739" t="str">
        <f>IF(AND(NOT('Bridging Calculations'!O46),'Bridging Calculations'!P46),MIN((G23*52)/12,(F23*0.06)/12),"")</f>
        <v/>
      </c>
      <c r="L23" s="739" t="str">
        <f>IF(AND(NOT('Bridging Calculations'!O46),'Bridging Calculations'!P46),K23*12,"")</f>
        <v/>
      </c>
      <c r="M23" s="267"/>
      <c r="O23" t="b">
        <f>'Bridging Calculations'!O46</f>
        <v>1</v>
      </c>
    </row>
    <row r="24" spans="1:15" x14ac:dyDescent="0.2">
      <c r="A24" s="265"/>
      <c r="B24" s="383">
        <v>18</v>
      </c>
      <c r="C24" s="658"/>
      <c r="D24" s="658"/>
      <c r="E24" s="658"/>
      <c r="F24" s="659"/>
      <c r="G24" s="660"/>
      <c r="H24" s="657"/>
      <c r="I24" s="657"/>
      <c r="J24" s="738" t="str">
        <f>IF(AND(NOT('Bridging Calculations'!O47),'Bridging Calculations'!P47),(G24*52)/F24,"")</f>
        <v/>
      </c>
      <c r="K24" s="739" t="str">
        <f>IF(AND(NOT('Bridging Calculations'!O47),'Bridging Calculations'!P47),MIN((G24*52)/12,(F24*0.06)/12),"")</f>
        <v/>
      </c>
      <c r="L24" s="739" t="str">
        <f>IF(AND(NOT('Bridging Calculations'!O47),'Bridging Calculations'!P47),K24*12,"")</f>
        <v/>
      </c>
      <c r="M24" s="267"/>
      <c r="O24" t="b">
        <f>'Bridging Calculations'!O47</f>
        <v>1</v>
      </c>
    </row>
    <row r="25" spans="1:15" x14ac:dyDescent="0.2">
      <c r="A25" s="265"/>
      <c r="B25" s="383">
        <v>19</v>
      </c>
      <c r="C25" s="658"/>
      <c r="D25" s="658"/>
      <c r="E25" s="658"/>
      <c r="F25" s="659"/>
      <c r="G25" s="660"/>
      <c r="H25" s="657"/>
      <c r="I25" s="657"/>
      <c r="J25" s="738" t="str">
        <f>IF(AND(NOT('Bridging Calculations'!O48),'Bridging Calculations'!P48),(G25*52)/F25,"")</f>
        <v/>
      </c>
      <c r="K25" s="739" t="str">
        <f>IF(AND(NOT('Bridging Calculations'!O48),'Bridging Calculations'!P48),MIN((G25*52)/12,(F25*0.06)/12),"")</f>
        <v/>
      </c>
      <c r="L25" s="739" t="str">
        <f>IF(AND(NOT('Bridging Calculations'!O48),'Bridging Calculations'!P48),K25*12,"")</f>
        <v/>
      </c>
      <c r="M25" s="267"/>
      <c r="O25" t="b">
        <f>'Bridging Calculations'!O48</f>
        <v>1</v>
      </c>
    </row>
    <row r="26" spans="1:15" x14ac:dyDescent="0.2">
      <c r="A26" s="265"/>
      <c r="B26" s="383">
        <v>20</v>
      </c>
      <c r="C26" s="658"/>
      <c r="D26" s="658"/>
      <c r="E26" s="658"/>
      <c r="F26" s="659"/>
      <c r="G26" s="660"/>
      <c r="H26" s="657"/>
      <c r="I26" s="657"/>
      <c r="J26" s="738" t="str">
        <f>IF(AND(NOT('Bridging Calculations'!O49),'Bridging Calculations'!P49),(G26*52)/F26,"")</f>
        <v/>
      </c>
      <c r="K26" s="739" t="str">
        <f>IF(AND(NOT('Bridging Calculations'!O49),'Bridging Calculations'!P49),MIN((G26*52)/12,(F26*0.06)/12),"")</f>
        <v/>
      </c>
      <c r="L26" s="739" t="str">
        <f>IF(AND(NOT('Bridging Calculations'!O49),'Bridging Calculations'!P49),K26*12,"")</f>
        <v/>
      </c>
      <c r="M26" s="267"/>
      <c r="O26" t="b">
        <f>'Bridging Calculations'!O49</f>
        <v>1</v>
      </c>
    </row>
    <row r="27" spans="1:15" ht="25.5" customHeight="1" x14ac:dyDescent="0.2">
      <c r="A27" s="265"/>
      <c r="B27" s="266"/>
      <c r="C27" s="266"/>
      <c r="D27" s="266"/>
      <c r="E27" s="266"/>
      <c r="F27" s="266"/>
      <c r="G27" s="266"/>
      <c r="H27" s="266"/>
      <c r="I27" s="266"/>
      <c r="J27" s="266"/>
      <c r="K27" s="266"/>
      <c r="L27" s="266"/>
      <c r="M27" s="267"/>
    </row>
    <row r="28" spans="1:15" x14ac:dyDescent="0.2">
      <c r="A28" s="265"/>
      <c r="B28" s="266"/>
      <c r="C28" s="266"/>
      <c r="D28" s="266"/>
      <c r="E28" s="266"/>
      <c r="F28" s="1003" t="s">
        <v>408</v>
      </c>
      <c r="G28" s="1005"/>
      <c r="H28" s="688"/>
      <c r="I28" s="688"/>
      <c r="J28" s="688"/>
      <c r="K28" s="688"/>
      <c r="L28" s="688"/>
      <c r="M28" s="267"/>
    </row>
    <row r="29" spans="1:15" ht="25.5" x14ac:dyDescent="0.2">
      <c r="A29" s="265"/>
      <c r="B29" s="266"/>
      <c r="C29" s="655" t="s">
        <v>407</v>
      </c>
      <c r="D29" s="662" t="s">
        <v>428</v>
      </c>
      <c r="E29" s="710" t="s">
        <v>89</v>
      </c>
      <c r="F29" s="664" t="s">
        <v>85</v>
      </c>
      <c r="G29" s="664" t="s">
        <v>86</v>
      </c>
      <c r="H29" s="715"/>
      <c r="I29" s="684"/>
      <c r="J29" s="684"/>
      <c r="K29" s="684"/>
      <c r="L29" s="684"/>
      <c r="M29" s="267"/>
    </row>
    <row r="30" spans="1:15" x14ac:dyDescent="0.2">
      <c r="A30" s="265"/>
      <c r="B30" s="383">
        <v>1</v>
      </c>
      <c r="C30" s="666" t="str">
        <f>IF(AND(NOT('Bridging Calculations'!O30),'Bridging Calculations'!P30),L7,"")</f>
        <v/>
      </c>
      <c r="D30" s="667"/>
      <c r="E30" s="711" t="str">
        <f>IF(AND(NOT('Bridging Calculations'!O30),'Bridging Calculations'!P30),C30*D30,"")</f>
        <v/>
      </c>
      <c r="F30" s="669"/>
      <c r="G30" s="669"/>
      <c r="H30" s="712"/>
      <c r="I30" s="713"/>
      <c r="J30" s="713"/>
      <c r="K30" s="713"/>
      <c r="L30" s="713"/>
      <c r="M30" s="267"/>
      <c r="O30" s="670">
        <f>SUM(F30:I30)</f>
        <v>0</v>
      </c>
    </row>
    <row r="31" spans="1:15" x14ac:dyDescent="0.2">
      <c r="A31" s="265"/>
      <c r="B31" s="383">
        <v>2</v>
      </c>
      <c r="C31" s="666" t="str">
        <f>IF(AND(NOT('Bridging Calculations'!O31),'Bridging Calculations'!P31),L8,"")</f>
        <v/>
      </c>
      <c r="D31" s="667"/>
      <c r="E31" s="711" t="str">
        <f>IF(AND(NOT('Bridging Calculations'!O31),'Bridging Calculations'!P31),C31*D31,"")</f>
        <v/>
      </c>
      <c r="F31" s="669"/>
      <c r="G31" s="669"/>
      <c r="H31" s="712"/>
      <c r="I31" s="713"/>
      <c r="J31" s="713"/>
      <c r="K31" s="713"/>
      <c r="L31" s="713"/>
      <c r="M31" s="267"/>
      <c r="O31" s="670">
        <f t="shared" ref="O31:O49" si="0">SUM(F31:I31)</f>
        <v>0</v>
      </c>
    </row>
    <row r="32" spans="1:15" x14ac:dyDescent="0.2">
      <c r="A32" s="265"/>
      <c r="B32" s="383">
        <v>3</v>
      </c>
      <c r="C32" s="666" t="str">
        <f>IF(AND(NOT('Bridging Calculations'!O32),'Bridging Calculations'!P32),L9,"")</f>
        <v/>
      </c>
      <c r="D32" s="671"/>
      <c r="E32" s="711" t="str">
        <f>IF(AND(NOT('Bridging Calculations'!O32),'Bridging Calculations'!P32),C32*D32,"")</f>
        <v/>
      </c>
      <c r="F32" s="669"/>
      <c r="G32" s="669"/>
      <c r="H32" s="712"/>
      <c r="I32" s="713"/>
      <c r="J32" s="713"/>
      <c r="K32" s="713"/>
      <c r="L32" s="713"/>
      <c r="M32" s="267"/>
      <c r="O32" s="670">
        <f t="shared" si="0"/>
        <v>0</v>
      </c>
    </row>
    <row r="33" spans="1:15" x14ac:dyDescent="0.2">
      <c r="A33" s="265"/>
      <c r="B33" s="383">
        <v>4</v>
      </c>
      <c r="C33" s="666" t="str">
        <f>IF(AND(NOT('Bridging Calculations'!O33),'Bridging Calculations'!P33),L10,"")</f>
        <v/>
      </c>
      <c r="D33" s="671"/>
      <c r="E33" s="711" t="str">
        <f>IF(AND(NOT('Bridging Calculations'!O33),'Bridging Calculations'!P33),C33*D33,"")</f>
        <v/>
      </c>
      <c r="F33" s="669"/>
      <c r="G33" s="669"/>
      <c r="H33" s="712"/>
      <c r="I33" s="713"/>
      <c r="J33" s="713"/>
      <c r="K33" s="713"/>
      <c r="L33" s="713"/>
      <c r="M33" s="267"/>
      <c r="O33" s="670">
        <f t="shared" si="0"/>
        <v>0</v>
      </c>
    </row>
    <row r="34" spans="1:15" x14ac:dyDescent="0.2">
      <c r="A34" s="265"/>
      <c r="B34" s="383">
        <v>5</v>
      </c>
      <c r="C34" s="666" t="str">
        <f>IF(AND(NOT('Bridging Calculations'!O34),'Bridging Calculations'!P34),L11,"")</f>
        <v/>
      </c>
      <c r="D34" s="735"/>
      <c r="E34" s="711" t="str">
        <f>IF(AND(NOT('Bridging Calculations'!O34),'Bridging Calculations'!P34),C34*D34,"")</f>
        <v/>
      </c>
      <c r="F34" s="669"/>
      <c r="G34" s="669"/>
      <c r="H34" s="712"/>
      <c r="I34" s="713"/>
      <c r="J34" s="714"/>
      <c r="K34" s="713"/>
      <c r="L34" s="713"/>
      <c r="M34" s="267"/>
      <c r="O34" s="670">
        <f t="shared" si="0"/>
        <v>0</v>
      </c>
    </row>
    <row r="35" spans="1:15" x14ac:dyDescent="0.2">
      <c r="A35" s="265"/>
      <c r="B35" s="383">
        <v>6</v>
      </c>
      <c r="C35" s="666" t="str">
        <f>IF(AND(NOT('Bridging Calculations'!O35),'Bridging Calculations'!P35),L12,"")</f>
        <v/>
      </c>
      <c r="D35" s="735"/>
      <c r="E35" s="711" t="str">
        <f>IF(AND(NOT('Bridging Calculations'!O35),'Bridging Calculations'!P35),C35*D35,"")</f>
        <v/>
      </c>
      <c r="F35" s="672"/>
      <c r="G35" s="669"/>
      <c r="H35" s="712"/>
      <c r="I35" s="713"/>
      <c r="J35" s="713"/>
      <c r="K35" s="713"/>
      <c r="L35" s="713"/>
      <c r="M35" s="267"/>
      <c r="O35" s="670">
        <f t="shared" si="0"/>
        <v>0</v>
      </c>
    </row>
    <row r="36" spans="1:15" x14ac:dyDescent="0.2">
      <c r="A36" s="265"/>
      <c r="B36" s="383">
        <v>7</v>
      </c>
      <c r="C36" s="666" t="str">
        <f>IF(AND(NOT('Bridging Calculations'!O36),'Bridging Calculations'!P36),L13,"")</f>
        <v/>
      </c>
      <c r="D36" s="735"/>
      <c r="E36" s="711" t="str">
        <f>IF(AND(NOT('Bridging Calculations'!O36),'Bridging Calculations'!P36),C36*D36,"")</f>
        <v/>
      </c>
      <c r="F36" s="669"/>
      <c r="G36" s="669"/>
      <c r="H36" s="712"/>
      <c r="I36" s="713"/>
      <c r="J36" s="713"/>
      <c r="K36" s="713"/>
      <c r="L36" s="713"/>
      <c r="M36" s="267"/>
      <c r="O36" s="670">
        <f t="shared" si="0"/>
        <v>0</v>
      </c>
    </row>
    <row r="37" spans="1:15" x14ac:dyDescent="0.2">
      <c r="A37" s="265"/>
      <c r="B37" s="383">
        <v>8</v>
      </c>
      <c r="C37" s="666" t="str">
        <f>IF(AND(NOT('Bridging Calculations'!O37),'Bridging Calculations'!P37),L14,"")</f>
        <v/>
      </c>
      <c r="D37" s="735"/>
      <c r="E37" s="711" t="str">
        <f>IF(AND(NOT('Bridging Calculations'!O37),'Bridging Calculations'!P37),C37*D37,"")</f>
        <v/>
      </c>
      <c r="F37" s="669"/>
      <c r="G37" s="669"/>
      <c r="H37" s="712"/>
      <c r="I37" s="713"/>
      <c r="J37" s="713"/>
      <c r="K37" s="713"/>
      <c r="L37" s="713"/>
      <c r="M37" s="267"/>
      <c r="O37" s="670">
        <f t="shared" si="0"/>
        <v>0</v>
      </c>
    </row>
    <row r="38" spans="1:15" x14ac:dyDescent="0.2">
      <c r="A38" s="265"/>
      <c r="B38" s="383">
        <v>9</v>
      </c>
      <c r="C38" s="666" t="str">
        <f>IF(AND(NOT('Bridging Calculations'!O38),'Bridging Calculations'!P38),L15,"")</f>
        <v/>
      </c>
      <c r="D38" s="735"/>
      <c r="E38" s="711" t="str">
        <f>IF(AND(NOT('Bridging Calculations'!O38),'Bridging Calculations'!P38),C38*D38,"")</f>
        <v/>
      </c>
      <c r="F38" s="669"/>
      <c r="G38" s="669"/>
      <c r="H38" s="712"/>
      <c r="I38" s="713"/>
      <c r="J38" s="713"/>
      <c r="K38" s="713"/>
      <c r="L38" s="713"/>
      <c r="M38" s="267"/>
      <c r="O38" s="670">
        <f t="shared" si="0"/>
        <v>0</v>
      </c>
    </row>
    <row r="39" spans="1:15" x14ac:dyDescent="0.2">
      <c r="A39" s="265"/>
      <c r="B39" s="383">
        <v>10</v>
      </c>
      <c r="C39" s="666" t="str">
        <f>IF(AND(NOT('Bridging Calculations'!O39),'Bridging Calculations'!P39),L16,"")</f>
        <v/>
      </c>
      <c r="D39" s="735"/>
      <c r="E39" s="711" t="str">
        <f>IF(AND(NOT('Bridging Calculations'!O39),'Bridging Calculations'!P39),C39*D39,"")</f>
        <v/>
      </c>
      <c r="F39" s="669"/>
      <c r="G39" s="669"/>
      <c r="H39" s="712"/>
      <c r="I39" s="713"/>
      <c r="J39" s="713"/>
      <c r="K39" s="713"/>
      <c r="L39" s="713"/>
      <c r="M39" s="267"/>
      <c r="O39" s="670">
        <f t="shared" si="0"/>
        <v>0</v>
      </c>
    </row>
    <row r="40" spans="1:15" x14ac:dyDescent="0.2">
      <c r="A40" s="265"/>
      <c r="B40" s="383">
        <v>11</v>
      </c>
      <c r="C40" s="734" t="str">
        <f>IF(AND(NOT('Bridging Calculations'!O40),'Bridging Calculations'!P40),L17,"")</f>
        <v/>
      </c>
      <c r="D40" s="735"/>
      <c r="E40" s="733" t="str">
        <f>IF(AND(NOT('Bridging Calculations'!O40),'Bridging Calculations'!P40),C40*D40,"")</f>
        <v/>
      </c>
      <c r="F40" s="669"/>
      <c r="G40" s="669"/>
      <c r="H40" s="713"/>
      <c r="I40" s="713"/>
      <c r="J40" s="713"/>
      <c r="K40" s="713"/>
      <c r="L40" s="713"/>
      <c r="M40" s="267"/>
      <c r="O40" s="670">
        <f t="shared" si="0"/>
        <v>0</v>
      </c>
    </row>
    <row r="41" spans="1:15" x14ac:dyDescent="0.2">
      <c r="A41" s="265"/>
      <c r="B41" s="383">
        <v>12</v>
      </c>
      <c r="C41" s="734" t="str">
        <f>IF(AND(NOT('Bridging Calculations'!O41),'Bridging Calculations'!P41),L18,"")</f>
        <v/>
      </c>
      <c r="D41" s="735"/>
      <c r="E41" s="733" t="str">
        <f>IF(AND(NOT('Bridging Calculations'!O41),'Bridging Calculations'!P41),C41*D41,"")</f>
        <v/>
      </c>
      <c r="F41" s="669"/>
      <c r="G41" s="669"/>
      <c r="H41" s="713"/>
      <c r="I41" s="713"/>
      <c r="J41" s="713"/>
      <c r="K41" s="713"/>
      <c r="L41" s="713"/>
      <c r="M41" s="267"/>
      <c r="O41" s="670">
        <f t="shared" si="0"/>
        <v>0</v>
      </c>
    </row>
    <row r="42" spans="1:15" x14ac:dyDescent="0.2">
      <c r="A42" s="265"/>
      <c r="B42" s="383">
        <v>13</v>
      </c>
      <c r="C42" s="734" t="str">
        <f>IF(AND(NOT('Bridging Calculations'!O42),'Bridging Calculations'!P42),L19,"")</f>
        <v/>
      </c>
      <c r="D42" s="735"/>
      <c r="E42" s="733" t="str">
        <f>IF(AND(NOT('Bridging Calculations'!O42),'Bridging Calculations'!P42),C42*D42,"")</f>
        <v/>
      </c>
      <c r="F42" s="669"/>
      <c r="G42" s="669"/>
      <c r="H42" s="713"/>
      <c r="I42" s="713"/>
      <c r="J42" s="713"/>
      <c r="K42" s="713"/>
      <c r="L42" s="713"/>
      <c r="M42" s="267"/>
      <c r="O42" s="670">
        <f t="shared" si="0"/>
        <v>0</v>
      </c>
    </row>
    <row r="43" spans="1:15" x14ac:dyDescent="0.2">
      <c r="A43" s="265"/>
      <c r="B43" s="383">
        <v>14</v>
      </c>
      <c r="C43" s="734" t="str">
        <f>IF(AND(NOT('Bridging Calculations'!O43),'Bridging Calculations'!P43),L20,"")</f>
        <v/>
      </c>
      <c r="D43" s="735"/>
      <c r="E43" s="733" t="str">
        <f>IF(AND(NOT('Bridging Calculations'!O43),'Bridging Calculations'!P43),C43*D43,"")</f>
        <v/>
      </c>
      <c r="F43" s="669"/>
      <c r="G43" s="669"/>
      <c r="H43" s="713"/>
      <c r="I43" s="713"/>
      <c r="J43" s="713"/>
      <c r="K43" s="713"/>
      <c r="L43" s="713"/>
      <c r="M43" s="267"/>
      <c r="O43" s="670">
        <f t="shared" si="0"/>
        <v>0</v>
      </c>
    </row>
    <row r="44" spans="1:15" x14ac:dyDescent="0.2">
      <c r="A44" s="265"/>
      <c r="B44" s="383">
        <v>15</v>
      </c>
      <c r="C44" s="734" t="str">
        <f>IF(AND(NOT('Bridging Calculations'!O44),'Bridging Calculations'!P44),L21,"")</f>
        <v/>
      </c>
      <c r="D44" s="735"/>
      <c r="E44" s="733" t="str">
        <f>IF(AND(NOT('Bridging Calculations'!O44),'Bridging Calculations'!P44),C44*D44,"")</f>
        <v/>
      </c>
      <c r="F44" s="669"/>
      <c r="G44" s="669"/>
      <c r="H44" s="713"/>
      <c r="I44" s="713"/>
      <c r="J44" s="713"/>
      <c r="K44" s="713"/>
      <c r="L44" s="713"/>
      <c r="M44" s="267"/>
      <c r="O44" s="670">
        <f t="shared" si="0"/>
        <v>0</v>
      </c>
    </row>
    <row r="45" spans="1:15" x14ac:dyDescent="0.2">
      <c r="A45" s="265"/>
      <c r="B45" s="383">
        <v>16</v>
      </c>
      <c r="C45" s="734" t="str">
        <f>IF(AND(NOT('Bridging Calculations'!O45),'Bridging Calculations'!P45),L22,"")</f>
        <v/>
      </c>
      <c r="D45" s="735"/>
      <c r="E45" s="733" t="str">
        <f>IF(AND(NOT('Bridging Calculations'!O45),'Bridging Calculations'!P45),C45*D45,"")</f>
        <v/>
      </c>
      <c r="F45" s="669"/>
      <c r="G45" s="669"/>
      <c r="H45" s="713"/>
      <c r="I45" s="713"/>
      <c r="J45" s="713"/>
      <c r="K45" s="713"/>
      <c r="L45" s="713"/>
      <c r="M45" s="267"/>
      <c r="O45" s="670">
        <f t="shared" si="0"/>
        <v>0</v>
      </c>
    </row>
    <row r="46" spans="1:15" x14ac:dyDescent="0.2">
      <c r="A46" s="265"/>
      <c r="B46" s="383">
        <v>17</v>
      </c>
      <c r="C46" s="734" t="str">
        <f>IF(AND(NOT('Bridging Calculations'!O46),'Bridging Calculations'!P46),L23,"")</f>
        <v/>
      </c>
      <c r="D46" s="735"/>
      <c r="E46" s="733" t="str">
        <f>IF(AND(NOT('Bridging Calculations'!O46),'Bridging Calculations'!P46),C46*D46,"")</f>
        <v/>
      </c>
      <c r="F46" s="669"/>
      <c r="G46" s="669"/>
      <c r="H46" s="713"/>
      <c r="I46" s="713"/>
      <c r="J46" s="713"/>
      <c r="K46" s="713"/>
      <c r="L46" s="713"/>
      <c r="M46" s="267"/>
      <c r="O46" s="670">
        <f t="shared" si="0"/>
        <v>0</v>
      </c>
    </row>
    <row r="47" spans="1:15" x14ac:dyDescent="0.2">
      <c r="A47" s="265"/>
      <c r="B47" s="383">
        <v>18</v>
      </c>
      <c r="C47" s="734" t="str">
        <f>IF(AND(NOT('Bridging Calculations'!O47),'Bridging Calculations'!P47),L24,"")</f>
        <v/>
      </c>
      <c r="D47" s="735"/>
      <c r="E47" s="733" t="str">
        <f>IF(AND(NOT('Bridging Calculations'!O47),'Bridging Calculations'!P47),C47*D47,"")</f>
        <v/>
      </c>
      <c r="F47" s="669"/>
      <c r="G47" s="669"/>
      <c r="H47" s="713"/>
      <c r="I47" s="713"/>
      <c r="J47" s="713"/>
      <c r="K47" s="713"/>
      <c r="L47" s="713"/>
      <c r="M47" s="267"/>
      <c r="O47" s="670">
        <f t="shared" si="0"/>
        <v>0</v>
      </c>
    </row>
    <row r="48" spans="1:15" x14ac:dyDescent="0.2">
      <c r="A48" s="265"/>
      <c r="B48" s="383">
        <v>19</v>
      </c>
      <c r="C48" s="734" t="str">
        <f>IF(AND(NOT('Bridging Calculations'!O48),'Bridging Calculations'!P48),L25,"")</f>
        <v/>
      </c>
      <c r="D48" s="735"/>
      <c r="E48" s="733" t="str">
        <f>IF(AND(NOT('Bridging Calculations'!O48),'Bridging Calculations'!P48),C48*D48,"")</f>
        <v/>
      </c>
      <c r="F48" s="669"/>
      <c r="G48" s="669"/>
      <c r="H48" s="713"/>
      <c r="I48" s="713"/>
      <c r="J48" s="713"/>
      <c r="K48" s="713"/>
      <c r="L48" s="713"/>
      <c r="M48" s="267"/>
      <c r="O48" s="670">
        <f t="shared" si="0"/>
        <v>0</v>
      </c>
    </row>
    <row r="49" spans="1:15" x14ac:dyDescent="0.2">
      <c r="A49" s="265"/>
      <c r="B49" s="383">
        <v>20</v>
      </c>
      <c r="C49" s="734" t="str">
        <f>IF(AND(NOT('Bridging Calculations'!O49),'Bridging Calculations'!P49),L26,"")</f>
        <v/>
      </c>
      <c r="D49" s="735"/>
      <c r="E49" s="733" t="str">
        <f>IF(AND(NOT('Bridging Calculations'!O49),'Bridging Calculations'!P49),C49*D49,"")</f>
        <v/>
      </c>
      <c r="F49" s="669"/>
      <c r="G49" s="669"/>
      <c r="H49" s="713"/>
      <c r="I49" s="713"/>
      <c r="J49" s="713"/>
      <c r="K49" s="713"/>
      <c r="L49" s="713"/>
      <c r="M49" s="267"/>
      <c r="O49" s="670">
        <f t="shared" si="0"/>
        <v>0</v>
      </c>
    </row>
    <row r="50" spans="1:15" ht="25.5" customHeight="1" x14ac:dyDescent="0.2">
      <c r="A50" s="265"/>
      <c r="B50" s="266"/>
      <c r="C50" s="266"/>
      <c r="D50" s="673"/>
      <c r="E50" s="266"/>
      <c r="F50" s="266"/>
      <c r="G50" s="266"/>
      <c r="H50" s="266"/>
      <c r="I50" s="266"/>
      <c r="J50" s="266"/>
      <c r="K50" s="266"/>
      <c r="L50" s="266"/>
      <c r="M50" s="267"/>
    </row>
    <row r="51" spans="1:15" ht="24" customHeight="1" x14ac:dyDescent="0.2">
      <c r="A51" s="265"/>
      <c r="B51" s="689" t="s">
        <v>413</v>
      </c>
      <c r="C51" s="690"/>
      <c r="D51" s="691"/>
      <c r="E51" s="691"/>
      <c r="F51" s="691"/>
      <c r="G51" s="691"/>
      <c r="H51" s="691"/>
      <c r="I51" s="691"/>
      <c r="J51" s="691"/>
      <c r="K51" s="691"/>
      <c r="L51" s="692"/>
      <c r="M51" s="267"/>
    </row>
    <row r="52" spans="1:15" x14ac:dyDescent="0.2">
      <c r="A52" s="265"/>
      <c r="B52" s="266"/>
      <c r="C52" s="266"/>
      <c r="D52" s="673"/>
      <c r="E52" s="266"/>
      <c r="F52" s="266"/>
      <c r="G52" s="266"/>
      <c r="H52" s="266"/>
      <c r="I52" s="266"/>
      <c r="J52" s="266"/>
      <c r="K52" s="266"/>
      <c r="L52" s="266"/>
      <c r="M52" s="267"/>
    </row>
    <row r="53" spans="1:15" ht="25.5" customHeight="1" x14ac:dyDescent="0.2">
      <c r="A53" s="265"/>
      <c r="B53" s="266"/>
      <c r="C53" s="266"/>
      <c r="D53" s="266"/>
      <c r="E53" s="266"/>
      <c r="F53" s="674" t="s">
        <v>85</v>
      </c>
      <c r="G53" s="674" t="s">
        <v>86</v>
      </c>
      <c r="H53" s="680"/>
      <c r="I53" s="653"/>
      <c r="J53" s="653"/>
      <c r="K53" s="653"/>
      <c r="L53" s="653"/>
      <c r="M53" s="267"/>
    </row>
    <row r="54" spans="1:15" x14ac:dyDescent="0.2">
      <c r="A54" s="265"/>
      <c r="B54" s="266"/>
      <c r="C54" s="266"/>
      <c r="D54" s="266"/>
      <c r="E54" s="521" t="s">
        <v>410</v>
      </c>
      <c r="F54" s="661">
        <f t="array" ref="F54">SUM(IF(($H$7:$H$26="Existing")*(($I$7:$I$26="Bridging")+($I$7:$I$26="Both")),($E$30:$E$49)*(F30:F49),0))</f>
        <v>0</v>
      </c>
      <c r="G54" s="661">
        <f t="array" ref="G54">SUM(IF(($H$7:$H$26="Existing")*(($I$7:$I$26="Bridging")+($I$7:$I$26="Both")),($E$30:$E$49)*(G30:G49),0))</f>
        <v>0</v>
      </c>
      <c r="H54" s="681"/>
      <c r="I54" s="682"/>
      <c r="J54" s="682"/>
      <c r="K54" s="682"/>
      <c r="L54" s="682"/>
      <c r="M54" s="267"/>
    </row>
    <row r="55" spans="1:15" x14ac:dyDescent="0.2">
      <c r="A55" s="265"/>
      <c r="B55" s="266"/>
      <c r="C55" s="266"/>
      <c r="D55" s="266"/>
      <c r="E55" s="521" t="s">
        <v>411</v>
      </c>
      <c r="F55" s="661">
        <f t="array" ref="F55">SUM(IF(($H$7:$H$26="Proposed")*(($I$7:$I$26="Bridging")+($I$7:$I$26="Both")),($E$30:$E$49)*(F30:F49),0))</f>
        <v>0</v>
      </c>
      <c r="G55" s="661">
        <f t="array" ref="G55">SUM(IF(($H$7:$H$26="Proposed")*(($I$7:$I$26="Bridging")+($I$7:$I$26="Both")),($E$30:$E$49)*(G30:G49),0))</f>
        <v>0</v>
      </c>
      <c r="H55" s="681"/>
      <c r="I55" s="682"/>
      <c r="J55" s="682"/>
      <c r="K55" s="682"/>
      <c r="L55" s="682"/>
      <c r="M55" s="267"/>
    </row>
    <row r="56" spans="1:15" x14ac:dyDescent="0.2">
      <c r="A56" s="265"/>
      <c r="B56" s="266"/>
      <c r="C56" s="266"/>
      <c r="D56" s="266"/>
      <c r="E56" s="266"/>
      <c r="F56" s="266"/>
      <c r="G56" s="266"/>
      <c r="H56" s="266"/>
      <c r="I56" s="688"/>
      <c r="J56" s="521"/>
      <c r="K56" s="673"/>
      <c r="L56" s="673"/>
      <c r="M56" s="267"/>
    </row>
    <row r="57" spans="1:15" ht="24" customHeight="1" x14ac:dyDescent="0.2">
      <c r="A57" s="265"/>
      <c r="B57" s="689" t="s">
        <v>535</v>
      </c>
      <c r="C57" s="690"/>
      <c r="D57" s="691"/>
      <c r="E57" s="691"/>
      <c r="F57" s="691"/>
      <c r="G57" s="691"/>
      <c r="H57" s="691"/>
      <c r="I57" s="691"/>
      <c r="J57" s="691"/>
      <c r="K57" s="691"/>
      <c r="L57" s="692"/>
      <c r="M57" s="267"/>
    </row>
    <row r="58" spans="1:15" x14ac:dyDescent="0.2">
      <c r="A58" s="265"/>
      <c r="B58" s="266"/>
      <c r="C58" s="266"/>
      <c r="D58" s="673"/>
      <c r="E58" s="266"/>
      <c r="F58" s="266"/>
      <c r="G58" s="266"/>
      <c r="H58" s="266"/>
      <c r="I58" s="266"/>
      <c r="J58" s="266"/>
      <c r="K58" s="266"/>
      <c r="L58" s="266"/>
      <c r="M58" s="267"/>
    </row>
    <row r="59" spans="1:15" ht="25.5" customHeight="1" x14ac:dyDescent="0.2">
      <c r="A59" s="265"/>
      <c r="B59" s="266"/>
      <c r="C59" s="266"/>
      <c r="D59" s="266"/>
      <c r="E59" s="266"/>
      <c r="F59" s="674" t="s">
        <v>85</v>
      </c>
      <c r="G59" s="674" t="s">
        <v>86</v>
      </c>
      <c r="H59" s="680"/>
      <c r="I59" s="653"/>
      <c r="J59" s="653"/>
      <c r="K59" s="653"/>
      <c r="L59" s="653"/>
      <c r="M59" s="267"/>
    </row>
    <row r="60" spans="1:15" x14ac:dyDescent="0.2">
      <c r="A60" s="265"/>
      <c r="B60" s="266"/>
      <c r="C60" s="266"/>
      <c r="D60" s="266"/>
      <c r="E60" s="521" t="s">
        <v>410</v>
      </c>
      <c r="F60" s="661">
        <f t="array" ref="F60">SUM(IF(($H$7:$H$26="Existing")*(($I$7:$I$26="Ongoing")+($I$7:$I$26="Both")),($E$30:$E$49)*(F30:F49),0))</f>
        <v>0</v>
      </c>
      <c r="G60" s="661">
        <f t="array" ref="G60">SUM(IF(($H$7:$H$26="Existing")*(($I$7:$I$26="Ongoing")+($I$7:$I$26="Both")),($E$30:$E$49)*(G30:G49),0))</f>
        <v>0</v>
      </c>
      <c r="H60" s="681"/>
      <c r="I60" s="682"/>
      <c r="J60" s="682"/>
      <c r="K60" s="682"/>
      <c r="L60" s="682"/>
      <c r="M60" s="267"/>
    </row>
    <row r="61" spans="1:15" x14ac:dyDescent="0.2">
      <c r="A61" s="265"/>
      <c r="B61" s="266"/>
      <c r="C61" s="266"/>
      <c r="D61" s="266"/>
      <c r="E61" s="521" t="s">
        <v>411</v>
      </c>
      <c r="F61" s="661">
        <f t="array" ref="F61">SUM(IF(($H$7:$H$26="Proposed")*(($I$7:$I$26="Ongoing")+($I$7:$I$26="Both")),($E$30:$E$49)*(F30:F49),0))</f>
        <v>0</v>
      </c>
      <c r="G61" s="661">
        <f t="array" ref="G61">SUM(IF(($H$7:$H$26="Proposed")*(($I$7:$I$26="Ongoing")+($I$7:$I$26="Both")),($E$30:$E$49)*(G30:G49),0))</f>
        <v>0</v>
      </c>
      <c r="H61" s="681"/>
      <c r="I61" s="682"/>
      <c r="J61" s="682"/>
      <c r="K61" s="682"/>
      <c r="L61" s="682"/>
      <c r="M61" s="267"/>
    </row>
    <row r="62" spans="1:15" x14ac:dyDescent="0.2">
      <c r="A62" s="265"/>
      <c r="B62" s="266"/>
      <c r="C62" s="266"/>
      <c r="D62" s="266"/>
      <c r="E62" s="266"/>
      <c r="F62" s="266"/>
      <c r="G62" s="266"/>
      <c r="H62" s="266"/>
      <c r="I62" s="688"/>
      <c r="J62" s="521"/>
      <c r="K62" s="673"/>
      <c r="L62" s="673"/>
      <c r="M62" s="267"/>
    </row>
    <row r="63" spans="1:15" x14ac:dyDescent="0.2">
      <c r="A63" s="265"/>
      <c r="B63" s="266"/>
      <c r="C63" s="266"/>
      <c r="D63" s="266"/>
      <c r="E63" s="266"/>
      <c r="F63" s="266"/>
      <c r="G63" s="266"/>
      <c r="H63" s="675"/>
      <c r="I63" s="266"/>
      <c r="J63" s="266"/>
      <c r="K63" s="266"/>
      <c r="L63" s="266"/>
      <c r="M63" s="267"/>
    </row>
    <row r="64" spans="1:15" x14ac:dyDescent="0.2">
      <c r="A64" s="677"/>
      <c r="B64" s="678"/>
      <c r="C64" s="678"/>
      <c r="D64" s="678"/>
      <c r="E64" s="678"/>
      <c r="F64" s="678"/>
      <c r="G64" s="678"/>
      <c r="H64" s="679"/>
      <c r="I64" s="678"/>
      <c r="J64" s="678"/>
      <c r="K64" s="679"/>
      <c r="L64" s="679" t="s">
        <v>129</v>
      </c>
      <c r="M64" s="267"/>
    </row>
    <row r="65" spans="1:13" x14ac:dyDescent="0.2">
      <c r="A65" s="274"/>
      <c r="B65" s="275"/>
      <c r="C65" s="275"/>
      <c r="D65" s="275"/>
      <c r="E65" s="275"/>
      <c r="F65" s="275"/>
      <c r="G65" s="275"/>
      <c r="H65" s="275"/>
      <c r="I65" s="275"/>
      <c r="J65" s="275"/>
      <c r="K65" s="275"/>
      <c r="L65" s="275"/>
      <c r="M65" s="276"/>
    </row>
  </sheetData>
  <sheetProtection algorithmName="SHA-512" hashValue="SqnRffAygH4Tt7HW52GqRIVcjx1PDh2j1uGlMz5/EZK2bM877Dt3ukZ1/+oJt31Hd2R3oFGwEZoiJybSY/ghdQ==" saltValue="UfnXmqyecUXJREUt2dA2dw==" spinCount="100000" sheet="1" objects="1" scenarios="1"/>
  <mergeCells count="1">
    <mergeCell ref="F28:G28"/>
  </mergeCells>
  <conditionalFormatting sqref="F30:G49">
    <cfRule type="expression" dxfId="7" priority="2">
      <formula>AND($D30&gt;0,SUM($F30:$K30)=0)</formula>
    </cfRule>
  </conditionalFormatting>
  <conditionalFormatting sqref="L7:L26">
    <cfRule type="expression" dxfId="6" priority="3" stopIfTrue="1">
      <formula>$L7=($F7*0.08)</formula>
    </cfRule>
  </conditionalFormatting>
  <conditionalFormatting sqref="F7:I26">
    <cfRule type="expression" dxfId="5" priority="1">
      <formula>AND($O7=FALSE,F7="")</formula>
    </cfRule>
  </conditionalFormatting>
  <dataValidations count="9">
    <dataValidation type="list" allowBlank="1" showInputMessage="1" showErrorMessage="1" promptTitle="Existing or Proposed" prompt="Select whether this property is either an existing or proposed" sqref="H7:H26">
      <formula1>"Existing,Proposed"</formula1>
    </dataValidation>
    <dataValidation type="whole" operator="lessThanOrEqual" allowBlank="1" showInputMessage="1" showErrorMessage="1" promptTitle="Postcode" prompt="Enter the postcode of the property" sqref="E7:E26">
      <formula1>9999</formula1>
    </dataValidation>
    <dataValidation allowBlank="1" showInputMessage="1" showErrorMessage="1" promptTitle="Address" prompt="Enter the address of the property" sqref="C7:C26"/>
    <dataValidation allowBlank="1" showInputMessage="1" showErrorMessage="1" promptTitle="Suburb" prompt="Enter the suburb of the property" sqref="D7:D26"/>
    <dataValidation type="whole" operator="greaterThan" allowBlank="1" showInputMessage="1" showErrorMessage="1" error="OEV must be a whole number greater than $0." promptTitle="OEV" prompt="Enter the owners estimated value of the property" sqref="F7:F26">
      <formula1>0</formula1>
    </dataValidation>
    <dataValidation allowBlank="1" showInputMessage="1" showErrorMessage="1" promptTitle="Declared Weekly Rental Income" prompt="Enter the weekly rental income from this property" sqref="G7:G26"/>
    <dataValidation type="list" allowBlank="1" showInputMessage="1" showErrorMessage="1" promptTitle="Eligible Percentage" prompt="% of income eligible to be used for servicing. Please refer to the postcode tool for any specific geographic policies that may apply." sqref="D30:D49">
      <formula1>"0%,10%,20%,30%,40%,50%,60%,70%,80%"</formula1>
    </dataValidation>
    <dataValidation type="decimal" allowBlank="1" showInputMessage="1" showErrorMessage="1" promptTitle="Share of Rental Income" prompt="Enter this applicant's share of rental income as a percentage between 0 and 100." sqref="F30:G49">
      <formula1>0</formula1>
      <formula2>100</formula2>
    </dataValidation>
    <dataValidation type="list" allowBlank="1" showInputMessage="1" showErrorMessage="1" promptTitle="Bridging or Ongoing" prompt="Select whether this property will be owned during the bridging period, the ongoing period or during both periods." sqref="I7:I26">
      <formula1>"Bridging,Ongoing,Both"</formula1>
    </dataValidation>
  </dataValidations>
  <pageMargins left="0.19685039370078741" right="0.19685039370078741" top="0.19685039370078741" bottom="0.19685039370078741" header="0.31496062992125984" footer="0.31496062992125984"/>
  <pageSetup scale="64" orientation="portrait" r:id="rId1"/>
  <headerFooter>
    <oddFooter>&amp;L&amp;"Calibri"&amp;11&amp;K000000&amp;"Calibri"&amp;11&amp;K000000&amp;"Calibri"&amp;11&amp;K000000&amp;"Calibri"&amp;11&amp;K000000&amp;"Calibri"&amp;11&amp;K000000&amp;"Calibri"&amp;11&amp;K000000Printed: &amp;D &amp;T_x000D_&amp;1#&amp;"Arial"&amp;9&amp;K000000&amp;RLast modified: 5 Feb 2021</oddFooter>
  </headerFooter>
  <drawing r:id="rId2"/>
  <legacyDrawing r:id="rId3"/>
  <oleObjects>
    <mc:AlternateContent xmlns:mc="http://schemas.openxmlformats.org/markup-compatibility/2006">
      <mc:Choice Requires="x14">
        <oleObject progId="MSPhotoEd.3" shapeId="21505" r:id="rId4">
          <objectPr defaultSize="0" autoPict="0" r:id="rId5">
            <anchor moveWithCells="1">
              <from>
                <xdr:col>9</xdr:col>
                <xdr:colOff>781050</xdr:colOff>
                <xdr:row>1</xdr:row>
                <xdr:rowOff>9525</xdr:rowOff>
              </from>
              <to>
                <xdr:col>11</xdr:col>
                <xdr:colOff>933450</xdr:colOff>
                <xdr:row>2</xdr:row>
                <xdr:rowOff>76200</xdr:rowOff>
              </to>
            </anchor>
          </objectPr>
        </oleObject>
      </mc:Choice>
      <mc:Fallback>
        <oleObject progId="MSPhotoEd.3" shapeId="21505" r:id="rId4"/>
      </mc:Fallback>
    </mc:AlternateContent>
  </oleObjects>
  <mc:AlternateContent xmlns:mc="http://schemas.openxmlformats.org/markup-compatibility/2006">
    <mc:Choice Requires="x14">
      <controls>
        <mc:AlternateContent xmlns:mc="http://schemas.openxmlformats.org/markup-compatibility/2006">
          <mc:Choice Requires="x14">
            <control shapeId="21506" r:id="rId6" name="Button 2">
              <controlPr defaultSize="0" print="0" autoFill="0" autoPict="0" macro="[0]!cmdClearBridgingRentalYield">
                <anchor moveWithCells="1">
                  <from>
                    <xdr:col>4</xdr:col>
                    <xdr:colOff>9525</xdr:colOff>
                    <xdr:row>62</xdr:row>
                    <xdr:rowOff>9525</xdr:rowOff>
                  </from>
                  <to>
                    <xdr:col>4</xdr:col>
                    <xdr:colOff>771525</xdr:colOff>
                    <xdr:row>63</xdr:row>
                    <xdr:rowOff>114300</xdr:rowOff>
                  </to>
                </anchor>
              </controlPr>
            </control>
          </mc:Choice>
        </mc:AlternateContent>
        <mc:AlternateContent xmlns:mc="http://schemas.openxmlformats.org/markup-compatibility/2006">
          <mc:Choice Requires="x14">
            <control shapeId="21507" r:id="rId7" name="Button 3">
              <controlPr defaultSize="0" print="0" autoFill="0" autoPict="0" macro="[0]!cmdBridging">
                <anchor moveWithCells="1">
                  <from>
                    <xdr:col>5</xdr:col>
                    <xdr:colOff>0</xdr:colOff>
                    <xdr:row>62</xdr:row>
                    <xdr:rowOff>9525</xdr:rowOff>
                  </from>
                  <to>
                    <xdr:col>6</xdr:col>
                    <xdr:colOff>381000</xdr:colOff>
                    <xdr:row>63</xdr:row>
                    <xdr:rowOff>114300</xdr:rowOff>
                  </to>
                </anchor>
              </controlPr>
            </control>
          </mc:Choice>
        </mc:AlternateContent>
        <mc:AlternateContent xmlns:mc="http://schemas.openxmlformats.org/markup-compatibility/2006">
          <mc:Choice Requires="x14">
            <control shapeId="21508" r:id="rId8" name="Button 4">
              <controlPr defaultSize="0" print="0" autoFill="0" autoPict="0" macro="[0]!cmdBridging">
                <anchor moveWithCells="1">
                  <from>
                    <xdr:col>6</xdr:col>
                    <xdr:colOff>9525</xdr:colOff>
                    <xdr:row>2</xdr:row>
                    <xdr:rowOff>28575</xdr:rowOff>
                  </from>
                  <to>
                    <xdr:col>7</xdr:col>
                    <xdr:colOff>400050</xdr:colOff>
                    <xdr:row>2</xdr:row>
                    <xdr:rowOff>295275</xdr:rowOff>
                  </to>
                </anchor>
              </controlPr>
            </control>
          </mc:Choice>
        </mc:AlternateContent>
        <mc:AlternateContent xmlns:mc="http://schemas.openxmlformats.org/markup-compatibility/2006">
          <mc:Choice Requires="x14">
            <control shapeId="21509" r:id="rId9" name="Button 5">
              <controlPr defaultSize="0" print="0" autoFill="0" autoPict="0" macro="[0]!cmdClearBridgingRentalYield">
                <anchor moveWithCells="1">
                  <from>
                    <xdr:col>5</xdr:col>
                    <xdr:colOff>0</xdr:colOff>
                    <xdr:row>2</xdr:row>
                    <xdr:rowOff>28575</xdr:rowOff>
                  </from>
                  <to>
                    <xdr:col>5</xdr:col>
                    <xdr:colOff>762000</xdr:colOff>
                    <xdr:row>2</xdr:row>
                    <xdr:rowOff>295275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L49"/>
  <sheetViews>
    <sheetView showGridLines="0" showRowColHeaders="0" topLeftCell="A36" workbookViewId="0">
      <selection activeCell="F13" sqref="F13"/>
    </sheetView>
  </sheetViews>
  <sheetFormatPr defaultRowHeight="12.75" x14ac:dyDescent="0.2"/>
  <cols>
    <col min="1" max="1" width="1.7109375" customWidth="1"/>
    <col min="2" max="2" width="2.7109375" customWidth="1"/>
    <col min="3" max="3" width="11.7109375" customWidth="1"/>
    <col min="4" max="10" width="12.28515625" customWidth="1"/>
    <col min="11" max="11" width="2.7109375" customWidth="1"/>
    <col min="12" max="12" width="1.7109375" customWidth="1"/>
  </cols>
  <sheetData>
    <row r="1" spans="1:12" ht="13.5" thickBot="1" x14ac:dyDescent="0.25">
      <c r="A1" s="255"/>
      <c r="B1" s="256"/>
      <c r="C1" s="256"/>
      <c r="D1" s="256"/>
      <c r="E1" s="256"/>
      <c r="F1" s="256"/>
      <c r="G1" s="256"/>
      <c r="H1" s="256"/>
      <c r="I1" s="256"/>
      <c r="J1" s="256"/>
      <c r="K1" s="256"/>
      <c r="L1" s="257"/>
    </row>
    <row r="2" spans="1:12" s="74" customFormat="1" ht="24" customHeight="1" thickBot="1" x14ac:dyDescent="0.25">
      <c r="A2" s="258"/>
      <c r="B2" s="259" t="s">
        <v>206</v>
      </c>
      <c r="C2" s="260"/>
      <c r="D2" s="260"/>
      <c r="E2" s="260"/>
      <c r="F2" s="261"/>
      <c r="G2" s="262"/>
      <c r="H2" s="263"/>
      <c r="I2" s="263"/>
      <c r="J2" s="263"/>
      <c r="K2" s="263"/>
      <c r="L2" s="264"/>
    </row>
    <row r="3" spans="1:12" ht="17.25" customHeight="1" x14ac:dyDescent="0.2">
      <c r="A3" s="265"/>
      <c r="B3" s="266"/>
      <c r="C3" s="266"/>
      <c r="D3" s="266"/>
      <c r="E3" s="266"/>
      <c r="F3" s="266"/>
      <c r="G3" s="266"/>
      <c r="H3" s="266"/>
      <c r="I3" s="266"/>
      <c r="J3" s="266"/>
      <c r="K3" s="266"/>
      <c r="L3" s="267"/>
    </row>
    <row r="4" spans="1:12" x14ac:dyDescent="0.2">
      <c r="A4" s="265"/>
      <c r="B4" s="255"/>
      <c r="C4" s="256"/>
      <c r="D4" s="256"/>
      <c r="E4" s="256"/>
      <c r="F4" s="256"/>
      <c r="G4" s="256"/>
      <c r="H4" s="256"/>
      <c r="I4" s="256"/>
      <c r="J4" s="256"/>
      <c r="K4" s="257"/>
      <c r="L4" s="267"/>
    </row>
    <row r="5" spans="1:12" x14ac:dyDescent="0.2">
      <c r="A5" s="265"/>
      <c r="B5" s="265"/>
      <c r="C5" s="266"/>
      <c r="D5" s="266"/>
      <c r="E5" s="266"/>
      <c r="F5" s="268" t="s">
        <v>207</v>
      </c>
      <c r="G5" s="268"/>
      <c r="H5" s="268" t="s">
        <v>219</v>
      </c>
      <c r="I5" s="268"/>
      <c r="J5" s="268" t="s">
        <v>208</v>
      </c>
      <c r="K5" s="267"/>
      <c r="L5" s="267"/>
    </row>
    <row r="6" spans="1:12" x14ac:dyDescent="0.2">
      <c r="A6" s="265"/>
      <c r="B6" s="265"/>
      <c r="C6" s="266"/>
      <c r="D6" s="266"/>
      <c r="E6" s="266"/>
      <c r="F6" s="266"/>
      <c r="G6" s="266"/>
      <c r="H6" s="266"/>
      <c r="I6" s="266"/>
      <c r="J6" s="266"/>
      <c r="K6" s="267"/>
      <c r="L6" s="267"/>
    </row>
    <row r="7" spans="1:12" x14ac:dyDescent="0.2">
      <c r="A7" s="265"/>
      <c r="B7" s="265"/>
      <c r="C7" s="269" t="s">
        <v>209</v>
      </c>
      <c r="D7" s="266"/>
      <c r="E7" s="266"/>
      <c r="F7" s="270"/>
      <c r="G7" s="266"/>
      <c r="H7" s="270"/>
      <c r="I7" s="266"/>
      <c r="J7" s="270"/>
      <c r="K7" s="267"/>
      <c r="L7" s="267"/>
    </row>
    <row r="8" spans="1:12" x14ac:dyDescent="0.2">
      <c r="A8" s="265"/>
      <c r="B8" s="265"/>
      <c r="C8" s="269" t="s">
        <v>210</v>
      </c>
      <c r="D8" s="266"/>
      <c r="E8" s="266"/>
      <c r="F8" s="271"/>
      <c r="G8" s="266"/>
      <c r="H8" s="271"/>
      <c r="I8" s="266"/>
      <c r="J8" s="271"/>
      <c r="K8" s="267"/>
      <c r="L8" s="267"/>
    </row>
    <row r="9" spans="1:12" x14ac:dyDescent="0.2">
      <c r="A9" s="265"/>
      <c r="B9" s="265"/>
      <c r="C9" s="269" t="s">
        <v>211</v>
      </c>
      <c r="D9" s="266"/>
      <c r="E9" s="266"/>
      <c r="F9" s="272"/>
      <c r="G9" s="266"/>
      <c r="H9" s="272"/>
      <c r="I9" s="266"/>
      <c r="J9" s="272"/>
      <c r="K9" s="267"/>
      <c r="L9" s="267"/>
    </row>
    <row r="10" spans="1:12" x14ac:dyDescent="0.2">
      <c r="A10" s="265"/>
      <c r="B10" s="265"/>
      <c r="C10" s="269" t="s">
        <v>196</v>
      </c>
      <c r="D10" s="266"/>
      <c r="E10" s="266"/>
      <c r="F10" s="271"/>
      <c r="G10" s="266"/>
      <c r="H10" s="271"/>
      <c r="I10" s="266"/>
      <c r="J10" s="271"/>
      <c r="K10" s="267"/>
      <c r="L10" s="267"/>
    </row>
    <row r="11" spans="1:12" x14ac:dyDescent="0.2">
      <c r="A11" s="265"/>
      <c r="B11" s="265"/>
      <c r="C11" s="269" t="s">
        <v>63</v>
      </c>
      <c r="D11" s="266"/>
      <c r="E11" s="266"/>
      <c r="F11" s="339"/>
      <c r="G11" s="266"/>
      <c r="H11" s="339"/>
      <c r="I11" s="266"/>
      <c r="J11" s="339"/>
      <c r="K11" s="267"/>
      <c r="L11" s="267"/>
    </row>
    <row r="12" spans="1:12" ht="13.5" thickBot="1" x14ac:dyDescent="0.25">
      <c r="A12" s="265"/>
      <c r="B12" s="265"/>
      <c r="C12" s="269"/>
      <c r="D12" s="266"/>
      <c r="E12" s="266"/>
      <c r="F12" s="266"/>
      <c r="G12" s="266"/>
      <c r="H12" s="266"/>
      <c r="I12" s="266"/>
      <c r="J12" s="266"/>
      <c r="K12" s="267"/>
      <c r="L12" s="267"/>
    </row>
    <row r="13" spans="1:12" ht="13.5" thickBot="1" x14ac:dyDescent="0.25">
      <c r="A13" s="265"/>
      <c r="B13" s="265"/>
      <c r="C13" s="269" t="s">
        <v>212</v>
      </c>
      <c r="D13" s="266"/>
      <c r="E13" s="266"/>
      <c r="F13" s="340">
        <f>IF(AND(F7&lt;&gt;"",F8&lt;&gt;"",F9&lt;&gt;""), IF(F8&lt;=F10,"Check I/O",ROUNDUP(-PMT(F9/12,(F8-F10)*12,F7)+F11,0)),0)</f>
        <v>0</v>
      </c>
      <c r="G13" s="266"/>
      <c r="H13" s="340">
        <f>IF(AND(H7&lt;&gt;"",H8&lt;&gt;"",H9&lt;&gt;""), IF(H8&lt;=H10,"Check I/O",ROUNDUP(-PMT(H9/12,(H8-H10)*12,H7)+H11,0)),0)</f>
        <v>0</v>
      </c>
      <c r="I13" s="266"/>
      <c r="J13" s="340">
        <f>IF(AND(J7&lt;&gt;"",J8&lt;&gt;"",J9&lt;&gt;""), IF(J8&lt;=J10,"Check I/O",ROUNDUP(-PMT(J9/12,(J8-J10)*12,J7)+J11,0)),0)</f>
        <v>0</v>
      </c>
      <c r="K13" s="267"/>
      <c r="L13" s="267"/>
    </row>
    <row r="14" spans="1:12" x14ac:dyDescent="0.2">
      <c r="A14" s="265"/>
      <c r="B14" s="274"/>
      <c r="C14" s="275"/>
      <c r="D14" s="275"/>
      <c r="E14" s="275"/>
      <c r="F14" s="275"/>
      <c r="G14" s="275"/>
      <c r="H14" s="275"/>
      <c r="I14" s="275"/>
      <c r="J14" s="275"/>
      <c r="K14" s="276"/>
      <c r="L14" s="267"/>
    </row>
    <row r="15" spans="1:12" ht="38.25" customHeight="1" x14ac:dyDescent="0.2">
      <c r="A15" s="265"/>
      <c r="B15" s="266"/>
      <c r="C15" s="266"/>
      <c r="D15" s="266"/>
      <c r="E15" s="266"/>
      <c r="F15" s="266"/>
      <c r="G15" s="266"/>
      <c r="H15" s="266"/>
      <c r="I15" s="266"/>
      <c r="J15" s="266"/>
      <c r="K15" s="266"/>
      <c r="L15" s="267"/>
    </row>
    <row r="16" spans="1:12" x14ac:dyDescent="0.2">
      <c r="A16" s="265"/>
      <c r="B16" s="255"/>
      <c r="C16" s="256"/>
      <c r="D16" s="256"/>
      <c r="E16" s="256"/>
      <c r="F16" s="256"/>
      <c r="G16" s="256"/>
      <c r="H16" s="256"/>
      <c r="I16" s="256"/>
      <c r="J16" s="256"/>
      <c r="K16" s="257"/>
      <c r="L16" s="267"/>
    </row>
    <row r="17" spans="1:12" ht="15.75" x14ac:dyDescent="0.25">
      <c r="A17" s="265"/>
      <c r="B17" s="265"/>
      <c r="C17" s="277" t="s">
        <v>213</v>
      </c>
      <c r="D17" s="266"/>
      <c r="E17" s="266"/>
      <c r="F17" s="266"/>
      <c r="G17" s="266"/>
      <c r="H17" s="266"/>
      <c r="I17" s="266"/>
      <c r="J17" s="266"/>
      <c r="K17" s="267"/>
      <c r="L17" s="267"/>
    </row>
    <row r="18" spans="1:12" x14ac:dyDescent="0.2">
      <c r="A18" s="265"/>
      <c r="B18" s="265"/>
      <c r="C18" s="266"/>
      <c r="D18" s="266"/>
      <c r="E18" s="266"/>
      <c r="F18" s="266"/>
      <c r="G18" s="266"/>
      <c r="H18" s="266"/>
      <c r="I18" s="266"/>
      <c r="J18" s="266"/>
      <c r="K18" s="267"/>
      <c r="L18" s="267"/>
    </row>
    <row r="19" spans="1:12" x14ac:dyDescent="0.2">
      <c r="A19" s="265"/>
      <c r="B19" s="265"/>
      <c r="C19" s="278" t="s">
        <v>214</v>
      </c>
      <c r="D19" s="272"/>
      <c r="E19" s="266"/>
      <c r="F19" s="279" t="s">
        <v>215</v>
      </c>
      <c r="G19" s="271"/>
      <c r="H19" s="266"/>
      <c r="I19" s="279" t="s">
        <v>216</v>
      </c>
      <c r="J19" s="273"/>
      <c r="K19" s="267"/>
      <c r="L19" s="267"/>
    </row>
    <row r="20" spans="1:12" ht="13.5" thickBot="1" x14ac:dyDescent="0.25">
      <c r="A20" s="265"/>
      <c r="B20" s="265"/>
      <c r="C20" s="266"/>
      <c r="D20" s="266"/>
      <c r="E20" s="266"/>
      <c r="F20" s="266"/>
      <c r="G20" s="266"/>
      <c r="H20" s="266"/>
      <c r="I20" s="266"/>
      <c r="J20" s="266"/>
      <c r="K20" s="267"/>
      <c r="L20" s="267"/>
    </row>
    <row r="21" spans="1:12" x14ac:dyDescent="0.2">
      <c r="A21" s="265"/>
      <c r="B21" s="265"/>
      <c r="C21" s="1024" t="s">
        <v>217</v>
      </c>
      <c r="D21" s="1026" t="s">
        <v>210</v>
      </c>
      <c r="E21" s="1027"/>
      <c r="F21" s="1027"/>
      <c r="G21" s="1027"/>
      <c r="H21" s="1027"/>
      <c r="I21" s="1028"/>
      <c r="J21" s="280" t="s">
        <v>218</v>
      </c>
      <c r="K21" s="267"/>
      <c r="L21" s="267"/>
    </row>
    <row r="22" spans="1:12" ht="13.5" thickBot="1" x14ac:dyDescent="0.25">
      <c r="A22" s="265"/>
      <c r="B22" s="265"/>
      <c r="C22" s="1025"/>
      <c r="D22" s="281">
        <v>5</v>
      </c>
      <c r="E22" s="282">
        <v>10</v>
      </c>
      <c r="F22" s="282">
        <v>15</v>
      </c>
      <c r="G22" s="282">
        <v>20</v>
      </c>
      <c r="H22" s="282">
        <v>25</v>
      </c>
      <c r="I22" s="283">
        <v>30</v>
      </c>
      <c r="J22" s="284"/>
      <c r="K22" s="267"/>
      <c r="L22" s="267"/>
    </row>
    <row r="23" spans="1:12" x14ac:dyDescent="0.2">
      <c r="A23" s="265"/>
      <c r="B23" s="265"/>
      <c r="C23" s="285">
        <v>25000</v>
      </c>
      <c r="D23" s="286">
        <f t="shared" ref="D23:I42" si="0">IF(D$22&lt;=$G$19,"Check I/O",ROUNDUP(-PMT($D$19/12,(D$22-$G$19)*12,$C23)+$J$19,0))</f>
        <v>417</v>
      </c>
      <c r="E23" s="287">
        <f>IF(E$22&lt;=$G$19,"Check I/O",ROUNDUP(-PMT($D$19/12,(E$22-$G$19)*12,$C23)+$J$19,0))</f>
        <v>209</v>
      </c>
      <c r="F23" s="287">
        <f>IF(F$22&lt;=$G$19,"Check I/O",ROUNDUP(-PMT($D$19/12,(F$22-$G$19)*12,$C23)+$J$19,0))</f>
        <v>139</v>
      </c>
      <c r="G23" s="287">
        <f t="shared" si="0"/>
        <v>105</v>
      </c>
      <c r="H23" s="287">
        <f>IF(H$22&lt;=$G$19,"Check I/O",ROUNDUP(-PMT($D$19/12,(H$22-$G$19)*12,$C23)+$J$19,0))</f>
        <v>84</v>
      </c>
      <c r="I23" s="287">
        <f>IF(I$22&lt;=$G$19,"Check I/O",ROUNDUP(-PMT($D$19/12,(I$22-$G$19)*12,$C23)+$J$19,0))</f>
        <v>70</v>
      </c>
      <c r="J23" s="288" t="str">
        <f>IF(J$22="","",IF(J$22&lt;=$G$19,"Check I/O",ROUNDUP(-PMT($D$19/12,(J$22-$G$19)*12,$C23)+$J$19,0)))</f>
        <v/>
      </c>
      <c r="K23" s="267"/>
      <c r="L23" s="267"/>
    </row>
    <row r="24" spans="1:12" x14ac:dyDescent="0.2">
      <c r="A24" s="265"/>
      <c r="B24" s="265"/>
      <c r="C24" s="289">
        <v>50000</v>
      </c>
      <c r="D24" s="290">
        <f t="shared" si="0"/>
        <v>834</v>
      </c>
      <c r="E24" s="291">
        <f t="shared" si="0"/>
        <v>417</v>
      </c>
      <c r="F24" s="291">
        <f t="shared" si="0"/>
        <v>278</v>
      </c>
      <c r="G24" s="291">
        <f t="shared" si="0"/>
        <v>209</v>
      </c>
      <c r="H24" s="291">
        <f t="shared" si="0"/>
        <v>167</v>
      </c>
      <c r="I24" s="291">
        <f t="shared" si="0"/>
        <v>139</v>
      </c>
      <c r="J24" s="292" t="str">
        <f t="shared" ref="J24:J42" si="1">IF(J$22="","",IF(J$22&lt;=$G$19,"Check I/O",ROUNDUP(-PMT($D$19/12,(J$22-$G$19)*12,$C24)+$J$19,0)))</f>
        <v/>
      </c>
      <c r="K24" s="267"/>
      <c r="L24" s="267"/>
    </row>
    <row r="25" spans="1:12" x14ac:dyDescent="0.2">
      <c r="A25" s="265"/>
      <c r="B25" s="265"/>
      <c r="C25" s="289">
        <v>75000</v>
      </c>
      <c r="D25" s="290">
        <f t="shared" si="0"/>
        <v>1250</v>
      </c>
      <c r="E25" s="291">
        <f t="shared" si="0"/>
        <v>625</v>
      </c>
      <c r="F25" s="291">
        <f t="shared" si="0"/>
        <v>417</v>
      </c>
      <c r="G25" s="291">
        <f t="shared" si="0"/>
        <v>313</v>
      </c>
      <c r="H25" s="291">
        <f t="shared" si="0"/>
        <v>250</v>
      </c>
      <c r="I25" s="291">
        <f t="shared" si="0"/>
        <v>209</v>
      </c>
      <c r="J25" s="292" t="str">
        <f t="shared" si="1"/>
        <v/>
      </c>
      <c r="K25" s="267"/>
      <c r="L25" s="267"/>
    </row>
    <row r="26" spans="1:12" x14ac:dyDescent="0.2">
      <c r="A26" s="265"/>
      <c r="B26" s="265"/>
      <c r="C26" s="289">
        <v>100000</v>
      </c>
      <c r="D26" s="290">
        <f t="shared" si="0"/>
        <v>1667</v>
      </c>
      <c r="E26" s="291">
        <f t="shared" si="0"/>
        <v>834</v>
      </c>
      <c r="F26" s="291">
        <f t="shared" si="0"/>
        <v>556</v>
      </c>
      <c r="G26" s="291">
        <f t="shared" si="0"/>
        <v>417</v>
      </c>
      <c r="H26" s="291">
        <f t="shared" si="0"/>
        <v>334</v>
      </c>
      <c r="I26" s="291">
        <f t="shared" si="0"/>
        <v>278</v>
      </c>
      <c r="J26" s="292" t="str">
        <f t="shared" si="1"/>
        <v/>
      </c>
      <c r="K26" s="267"/>
      <c r="L26" s="267"/>
    </row>
    <row r="27" spans="1:12" x14ac:dyDescent="0.2">
      <c r="A27" s="265"/>
      <c r="B27" s="265"/>
      <c r="C27" s="289">
        <v>125000</v>
      </c>
      <c r="D27" s="290">
        <f t="shared" si="0"/>
        <v>2084</v>
      </c>
      <c r="E27" s="291">
        <f t="shared" si="0"/>
        <v>1042</v>
      </c>
      <c r="F27" s="291">
        <f t="shared" si="0"/>
        <v>695</v>
      </c>
      <c r="G27" s="291">
        <f t="shared" si="0"/>
        <v>521</v>
      </c>
      <c r="H27" s="291">
        <f t="shared" si="0"/>
        <v>417</v>
      </c>
      <c r="I27" s="291">
        <f t="shared" si="0"/>
        <v>348</v>
      </c>
      <c r="J27" s="292" t="str">
        <f t="shared" si="1"/>
        <v/>
      </c>
      <c r="K27" s="267"/>
      <c r="L27" s="267"/>
    </row>
    <row r="28" spans="1:12" x14ac:dyDescent="0.2">
      <c r="A28" s="265"/>
      <c r="B28" s="265"/>
      <c r="C28" s="289">
        <v>150000</v>
      </c>
      <c r="D28" s="290">
        <f t="shared" si="0"/>
        <v>2500</v>
      </c>
      <c r="E28" s="291">
        <f t="shared" si="0"/>
        <v>1250</v>
      </c>
      <c r="F28" s="291">
        <f t="shared" si="0"/>
        <v>834</v>
      </c>
      <c r="G28" s="291">
        <f t="shared" si="0"/>
        <v>625</v>
      </c>
      <c r="H28" s="291">
        <f t="shared" si="0"/>
        <v>500</v>
      </c>
      <c r="I28" s="291">
        <f t="shared" si="0"/>
        <v>417</v>
      </c>
      <c r="J28" s="292" t="str">
        <f t="shared" si="1"/>
        <v/>
      </c>
      <c r="K28" s="267"/>
      <c r="L28" s="267"/>
    </row>
    <row r="29" spans="1:12" x14ac:dyDescent="0.2">
      <c r="A29" s="265"/>
      <c r="B29" s="265"/>
      <c r="C29" s="289">
        <v>175000</v>
      </c>
      <c r="D29" s="290">
        <f t="shared" si="0"/>
        <v>2917</v>
      </c>
      <c r="E29" s="291">
        <f t="shared" si="0"/>
        <v>1459</v>
      </c>
      <c r="F29" s="291">
        <f t="shared" si="0"/>
        <v>973</v>
      </c>
      <c r="G29" s="291">
        <f t="shared" si="0"/>
        <v>730</v>
      </c>
      <c r="H29" s="291">
        <f t="shared" si="0"/>
        <v>584</v>
      </c>
      <c r="I29" s="291">
        <f t="shared" si="0"/>
        <v>487</v>
      </c>
      <c r="J29" s="292" t="str">
        <f t="shared" si="1"/>
        <v/>
      </c>
      <c r="K29" s="267"/>
      <c r="L29" s="267"/>
    </row>
    <row r="30" spans="1:12" x14ac:dyDescent="0.2">
      <c r="A30" s="265"/>
      <c r="B30" s="265"/>
      <c r="C30" s="289">
        <v>200000</v>
      </c>
      <c r="D30" s="290">
        <f t="shared" si="0"/>
        <v>3334</v>
      </c>
      <c r="E30" s="291">
        <f t="shared" si="0"/>
        <v>1667</v>
      </c>
      <c r="F30" s="291">
        <f t="shared" si="0"/>
        <v>1112</v>
      </c>
      <c r="G30" s="291">
        <f t="shared" si="0"/>
        <v>834</v>
      </c>
      <c r="H30" s="291">
        <f t="shared" si="0"/>
        <v>667</v>
      </c>
      <c r="I30" s="291">
        <f t="shared" si="0"/>
        <v>556</v>
      </c>
      <c r="J30" s="292" t="str">
        <f t="shared" si="1"/>
        <v/>
      </c>
      <c r="K30" s="267"/>
      <c r="L30" s="267"/>
    </row>
    <row r="31" spans="1:12" x14ac:dyDescent="0.2">
      <c r="A31" s="265"/>
      <c r="B31" s="265"/>
      <c r="C31" s="289">
        <v>225000</v>
      </c>
      <c r="D31" s="290">
        <f t="shared" si="0"/>
        <v>3750</v>
      </c>
      <c r="E31" s="291">
        <f t="shared" si="0"/>
        <v>1875</v>
      </c>
      <c r="F31" s="291">
        <f t="shared" si="0"/>
        <v>1250</v>
      </c>
      <c r="G31" s="291">
        <f t="shared" si="0"/>
        <v>938</v>
      </c>
      <c r="H31" s="291">
        <f t="shared" si="0"/>
        <v>750</v>
      </c>
      <c r="I31" s="291">
        <f t="shared" si="0"/>
        <v>625</v>
      </c>
      <c r="J31" s="292" t="str">
        <f t="shared" si="1"/>
        <v/>
      </c>
      <c r="K31" s="267"/>
      <c r="L31" s="267"/>
    </row>
    <row r="32" spans="1:12" x14ac:dyDescent="0.2">
      <c r="A32" s="265"/>
      <c r="B32" s="265"/>
      <c r="C32" s="289">
        <v>250000</v>
      </c>
      <c r="D32" s="290">
        <f t="shared" si="0"/>
        <v>4167</v>
      </c>
      <c r="E32" s="291">
        <f t="shared" si="0"/>
        <v>2084</v>
      </c>
      <c r="F32" s="291">
        <f t="shared" si="0"/>
        <v>1389</v>
      </c>
      <c r="G32" s="291">
        <f t="shared" si="0"/>
        <v>1042</v>
      </c>
      <c r="H32" s="291">
        <f t="shared" si="0"/>
        <v>834</v>
      </c>
      <c r="I32" s="291">
        <f t="shared" si="0"/>
        <v>695</v>
      </c>
      <c r="J32" s="292" t="str">
        <f t="shared" si="1"/>
        <v/>
      </c>
      <c r="K32" s="267"/>
      <c r="L32" s="267"/>
    </row>
    <row r="33" spans="1:12" x14ac:dyDescent="0.2">
      <c r="A33" s="265"/>
      <c r="B33" s="265"/>
      <c r="C33" s="289">
        <v>275000</v>
      </c>
      <c r="D33" s="290">
        <f t="shared" si="0"/>
        <v>4584</v>
      </c>
      <c r="E33" s="291">
        <f t="shared" si="0"/>
        <v>2292</v>
      </c>
      <c r="F33" s="291">
        <f t="shared" si="0"/>
        <v>1528</v>
      </c>
      <c r="G33" s="291">
        <f t="shared" si="0"/>
        <v>1146</v>
      </c>
      <c r="H33" s="291">
        <f t="shared" si="0"/>
        <v>917</v>
      </c>
      <c r="I33" s="291">
        <f t="shared" si="0"/>
        <v>764</v>
      </c>
      <c r="J33" s="292" t="str">
        <f t="shared" si="1"/>
        <v/>
      </c>
      <c r="K33" s="267"/>
      <c r="L33" s="267"/>
    </row>
    <row r="34" spans="1:12" x14ac:dyDescent="0.2">
      <c r="A34" s="265"/>
      <c r="B34" s="265"/>
      <c r="C34" s="289">
        <v>300000</v>
      </c>
      <c r="D34" s="290">
        <f t="shared" si="0"/>
        <v>5000</v>
      </c>
      <c r="E34" s="291">
        <f t="shared" si="0"/>
        <v>2500</v>
      </c>
      <c r="F34" s="291">
        <f t="shared" si="0"/>
        <v>1667</v>
      </c>
      <c r="G34" s="291">
        <f t="shared" si="0"/>
        <v>1250</v>
      </c>
      <c r="H34" s="291">
        <f t="shared" si="0"/>
        <v>1000</v>
      </c>
      <c r="I34" s="291">
        <f t="shared" si="0"/>
        <v>834</v>
      </c>
      <c r="J34" s="292" t="str">
        <f t="shared" si="1"/>
        <v/>
      </c>
      <c r="K34" s="267"/>
      <c r="L34" s="267"/>
    </row>
    <row r="35" spans="1:12" x14ac:dyDescent="0.2">
      <c r="A35" s="265"/>
      <c r="B35" s="265"/>
      <c r="C35" s="289">
        <v>325000</v>
      </c>
      <c r="D35" s="290">
        <f t="shared" si="0"/>
        <v>5417</v>
      </c>
      <c r="E35" s="291">
        <f t="shared" si="0"/>
        <v>2709</v>
      </c>
      <c r="F35" s="291">
        <f t="shared" si="0"/>
        <v>1806</v>
      </c>
      <c r="G35" s="291">
        <f t="shared" si="0"/>
        <v>1355</v>
      </c>
      <c r="H35" s="291">
        <f t="shared" si="0"/>
        <v>1084</v>
      </c>
      <c r="I35" s="291">
        <f t="shared" si="0"/>
        <v>903</v>
      </c>
      <c r="J35" s="292" t="str">
        <f t="shared" si="1"/>
        <v/>
      </c>
      <c r="K35" s="267"/>
      <c r="L35" s="267"/>
    </row>
    <row r="36" spans="1:12" x14ac:dyDescent="0.2">
      <c r="A36" s="265"/>
      <c r="B36" s="265"/>
      <c r="C36" s="289">
        <v>350000</v>
      </c>
      <c r="D36" s="290">
        <f t="shared" si="0"/>
        <v>5834</v>
      </c>
      <c r="E36" s="291">
        <f t="shared" si="0"/>
        <v>2917</v>
      </c>
      <c r="F36" s="291">
        <f t="shared" si="0"/>
        <v>1945</v>
      </c>
      <c r="G36" s="291">
        <f t="shared" si="0"/>
        <v>1459</v>
      </c>
      <c r="H36" s="291">
        <f t="shared" si="0"/>
        <v>1167</v>
      </c>
      <c r="I36" s="291">
        <f t="shared" si="0"/>
        <v>973</v>
      </c>
      <c r="J36" s="292" t="str">
        <f t="shared" si="1"/>
        <v/>
      </c>
      <c r="K36" s="267"/>
      <c r="L36" s="267"/>
    </row>
    <row r="37" spans="1:12" x14ac:dyDescent="0.2">
      <c r="A37" s="265"/>
      <c r="B37" s="265"/>
      <c r="C37" s="289">
        <v>375000</v>
      </c>
      <c r="D37" s="290">
        <f t="shared" si="0"/>
        <v>6250</v>
      </c>
      <c r="E37" s="291">
        <f t="shared" si="0"/>
        <v>3125</v>
      </c>
      <c r="F37" s="291">
        <f t="shared" si="0"/>
        <v>2084</v>
      </c>
      <c r="G37" s="291">
        <f t="shared" si="0"/>
        <v>1563</v>
      </c>
      <c r="H37" s="291">
        <f t="shared" si="0"/>
        <v>1250</v>
      </c>
      <c r="I37" s="291">
        <f t="shared" si="0"/>
        <v>1042</v>
      </c>
      <c r="J37" s="292" t="str">
        <f t="shared" si="1"/>
        <v/>
      </c>
      <c r="K37" s="267"/>
      <c r="L37" s="267"/>
    </row>
    <row r="38" spans="1:12" x14ac:dyDescent="0.2">
      <c r="A38" s="265"/>
      <c r="B38" s="265"/>
      <c r="C38" s="289">
        <v>400000</v>
      </c>
      <c r="D38" s="290">
        <f t="shared" si="0"/>
        <v>6667</v>
      </c>
      <c r="E38" s="291">
        <f t="shared" si="0"/>
        <v>3334</v>
      </c>
      <c r="F38" s="291">
        <f t="shared" si="0"/>
        <v>2223</v>
      </c>
      <c r="G38" s="291">
        <f t="shared" si="0"/>
        <v>1667</v>
      </c>
      <c r="H38" s="291">
        <f t="shared" si="0"/>
        <v>1334</v>
      </c>
      <c r="I38" s="291">
        <f t="shared" si="0"/>
        <v>1112</v>
      </c>
      <c r="J38" s="292" t="str">
        <f t="shared" si="1"/>
        <v/>
      </c>
      <c r="K38" s="267"/>
      <c r="L38" s="267"/>
    </row>
    <row r="39" spans="1:12" x14ac:dyDescent="0.2">
      <c r="A39" s="265"/>
      <c r="B39" s="265"/>
      <c r="C39" s="289">
        <v>425000</v>
      </c>
      <c r="D39" s="290">
        <f t="shared" si="0"/>
        <v>7084</v>
      </c>
      <c r="E39" s="291">
        <f t="shared" si="0"/>
        <v>3542</v>
      </c>
      <c r="F39" s="291">
        <f t="shared" si="0"/>
        <v>2362</v>
      </c>
      <c r="G39" s="291">
        <f t="shared" si="0"/>
        <v>1771</v>
      </c>
      <c r="H39" s="291">
        <f t="shared" si="0"/>
        <v>1417</v>
      </c>
      <c r="I39" s="291">
        <f t="shared" si="0"/>
        <v>1181</v>
      </c>
      <c r="J39" s="292" t="str">
        <f t="shared" si="1"/>
        <v/>
      </c>
      <c r="K39" s="267"/>
      <c r="L39" s="267"/>
    </row>
    <row r="40" spans="1:12" x14ac:dyDescent="0.2">
      <c r="A40" s="265"/>
      <c r="B40" s="265"/>
      <c r="C40" s="289">
        <v>450000</v>
      </c>
      <c r="D40" s="290">
        <f t="shared" si="0"/>
        <v>7500</v>
      </c>
      <c r="E40" s="291">
        <f t="shared" si="0"/>
        <v>3750</v>
      </c>
      <c r="F40" s="291">
        <f t="shared" si="0"/>
        <v>2500</v>
      </c>
      <c r="G40" s="291">
        <f t="shared" si="0"/>
        <v>1875</v>
      </c>
      <c r="H40" s="291">
        <f t="shared" si="0"/>
        <v>1500</v>
      </c>
      <c r="I40" s="291">
        <f t="shared" si="0"/>
        <v>1250</v>
      </c>
      <c r="J40" s="292" t="str">
        <f t="shared" si="1"/>
        <v/>
      </c>
      <c r="K40" s="267"/>
      <c r="L40" s="267"/>
    </row>
    <row r="41" spans="1:12" x14ac:dyDescent="0.2">
      <c r="A41" s="265"/>
      <c r="B41" s="265"/>
      <c r="C41" s="289">
        <v>475000</v>
      </c>
      <c r="D41" s="290">
        <f t="shared" si="0"/>
        <v>7917</v>
      </c>
      <c r="E41" s="291">
        <f t="shared" si="0"/>
        <v>3959</v>
      </c>
      <c r="F41" s="291">
        <f t="shared" si="0"/>
        <v>2639</v>
      </c>
      <c r="G41" s="291">
        <f t="shared" si="0"/>
        <v>1980</v>
      </c>
      <c r="H41" s="291">
        <f t="shared" si="0"/>
        <v>1584</v>
      </c>
      <c r="I41" s="291">
        <f t="shared" si="0"/>
        <v>1320</v>
      </c>
      <c r="J41" s="292" t="str">
        <f t="shared" si="1"/>
        <v/>
      </c>
      <c r="K41" s="267"/>
      <c r="L41" s="267"/>
    </row>
    <row r="42" spans="1:12" ht="13.5" thickBot="1" x14ac:dyDescent="0.25">
      <c r="A42" s="265"/>
      <c r="B42" s="265"/>
      <c r="C42" s="293">
        <v>500000</v>
      </c>
      <c r="D42" s="294">
        <f t="shared" si="0"/>
        <v>8334</v>
      </c>
      <c r="E42" s="295">
        <f t="shared" si="0"/>
        <v>4167</v>
      </c>
      <c r="F42" s="295">
        <f t="shared" si="0"/>
        <v>2778</v>
      </c>
      <c r="G42" s="295">
        <f t="shared" si="0"/>
        <v>2084</v>
      </c>
      <c r="H42" s="295">
        <f t="shared" si="0"/>
        <v>1667</v>
      </c>
      <c r="I42" s="295">
        <f t="shared" si="0"/>
        <v>1389</v>
      </c>
      <c r="J42" s="296" t="str">
        <f t="shared" si="1"/>
        <v/>
      </c>
      <c r="K42" s="267"/>
      <c r="L42" s="267"/>
    </row>
    <row r="43" spans="1:12" x14ac:dyDescent="0.2">
      <c r="A43" s="265"/>
      <c r="B43" s="274"/>
      <c r="C43" s="297"/>
      <c r="D43" s="298"/>
      <c r="E43" s="298"/>
      <c r="F43" s="298"/>
      <c r="G43" s="298"/>
      <c r="H43" s="298"/>
      <c r="I43" s="298"/>
      <c r="J43" s="298"/>
      <c r="K43" s="276"/>
      <c r="L43" s="267"/>
    </row>
    <row r="44" spans="1:12" x14ac:dyDescent="0.2">
      <c r="A44" s="265"/>
      <c r="B44" s="266"/>
      <c r="C44" s="299"/>
      <c r="D44" s="300"/>
      <c r="E44" s="300"/>
      <c r="F44" s="300"/>
      <c r="G44" s="300"/>
      <c r="H44" s="300"/>
      <c r="I44" s="300"/>
      <c r="J44" s="300"/>
      <c r="K44" s="266"/>
      <c r="L44" s="267"/>
    </row>
    <row r="45" spans="1:12" x14ac:dyDescent="0.2">
      <c r="A45" s="265"/>
      <c r="B45" s="269" t="s">
        <v>220</v>
      </c>
      <c r="C45" s="299"/>
      <c r="D45" s="300"/>
      <c r="E45" s="300"/>
      <c r="F45" s="300"/>
      <c r="G45" s="300"/>
      <c r="H45" s="300"/>
      <c r="I45" s="300"/>
      <c r="J45" s="300"/>
      <c r="K45" s="266"/>
      <c r="L45" s="267"/>
    </row>
    <row r="46" spans="1:12" ht="150" customHeight="1" x14ac:dyDescent="0.2">
      <c r="A46" s="265"/>
      <c r="B46" s="1029"/>
      <c r="C46" s="1030"/>
      <c r="D46" s="1030"/>
      <c r="E46" s="1030"/>
      <c r="F46" s="1030"/>
      <c r="G46" s="1030"/>
      <c r="H46" s="1030"/>
      <c r="I46" s="1030"/>
      <c r="J46" s="1031"/>
      <c r="K46" s="266"/>
      <c r="L46" s="267"/>
    </row>
    <row r="47" spans="1:12" x14ac:dyDescent="0.2">
      <c r="A47" s="265"/>
      <c r="B47" s="266"/>
      <c r="C47" s="299"/>
      <c r="D47" s="300"/>
      <c r="E47" s="300"/>
      <c r="F47" s="300"/>
      <c r="G47" s="300"/>
      <c r="H47" s="300"/>
      <c r="I47" s="300"/>
      <c r="J47" s="300"/>
      <c r="K47" s="266"/>
      <c r="L47" s="267"/>
    </row>
    <row r="48" spans="1:12" x14ac:dyDescent="0.2">
      <c r="A48" s="265"/>
      <c r="B48" s="266"/>
      <c r="C48" s="299"/>
      <c r="D48" s="300"/>
      <c r="E48" s="300"/>
      <c r="F48" s="300"/>
      <c r="G48" s="300"/>
      <c r="H48" s="300"/>
      <c r="I48" s="301"/>
      <c r="J48" s="338" t="s">
        <v>106</v>
      </c>
      <c r="K48" s="266"/>
      <c r="L48" s="267"/>
    </row>
    <row r="49" spans="1:12" x14ac:dyDescent="0.2">
      <c r="A49" s="274"/>
      <c r="B49" s="275"/>
      <c r="C49" s="275"/>
      <c r="D49" s="275"/>
      <c r="E49" s="275"/>
      <c r="F49" s="275"/>
      <c r="G49" s="275"/>
      <c r="H49" s="275"/>
      <c r="I49" s="275"/>
      <c r="J49" s="275"/>
      <c r="K49" s="275"/>
      <c r="L49" s="276"/>
    </row>
  </sheetData>
  <sheetProtection algorithmName="SHA-512" hashValue="1a55Rj+aNyrt1Ieb1pXSL5llWAw3XU61fa6M9z8EV5vEvKiAqOVmkmHfD65rbWpLnCRG8etHi0skNcWSnqjjlQ==" saltValue="KugtcmyXzcfHVLSNNLHXxg==" spinCount="100000" sheet="1" objects="1" scenarios="1"/>
  <customSheetViews>
    <customSheetView guid="{47743E36-E3F1-4AC8-AB28-1C3AD83F86F4}" showGridLines="0" showRowCol="0" fitToPage="1" showRuler="0">
      <pageMargins left="0.19685039370078741" right="0.19685039370078741" top="0.19685039370078741" bottom="0.19685039370078741" header="0.51181102362204722" footer="0.23622047244094491"/>
      <printOptions horizontalCentered="1"/>
      <pageSetup paperSize="9" scale="94" orientation="portrait" r:id="rId1"/>
      <headerFooter alignWithMargins="0">
        <oddFooter>&amp;LPrinted: &amp;D &amp;T&amp;RLast modified: 21/11/2005</oddFooter>
      </headerFooter>
    </customSheetView>
    <customSheetView guid="{878686E5-D823-11D7-9EB6-0000F6FFAA54}" showGridLines="0" showRowCol="0" fitToPage="1" showRuler="0">
      <selection activeCell="E4" sqref="E4"/>
      <pageMargins left="0.19685039370078741" right="0.19685039370078741" top="0.19685039370078741" bottom="0.19685039370078741" header="0.51181102362204722" footer="0.23622047244094491"/>
      <printOptions horizontalCentered="1"/>
      <pageSetup paperSize="9" scale="94" orientation="portrait" r:id="rId2"/>
      <headerFooter alignWithMargins="0">
        <oddFooter>&amp;LPrinted: &amp;D &amp;T&amp;RLast modified: 03/03/2004</oddFooter>
      </headerFooter>
    </customSheetView>
  </customSheetViews>
  <mergeCells count="3">
    <mergeCell ref="C21:C22"/>
    <mergeCell ref="D21:I21"/>
    <mergeCell ref="B46:J46"/>
  </mergeCells>
  <phoneticPr fontId="27" type="noConversion"/>
  <dataValidations xWindow="365" yWindow="273" count="10">
    <dataValidation type="list" allowBlank="1" showInputMessage="1" showErrorMessage="1" prompt="Enter the interest only period" sqref="G19 F10 H10">
      <formula1>"0,1,2,3,4,5,6,7,8,9,10"</formula1>
    </dataValidation>
    <dataValidation type="whole" allowBlank="1" showInputMessage="1" showErrorMessage="1" prompt="Enter a custom defined loan term between 1 and 30 years." sqref="J22">
      <formula1>1</formula1>
      <formula2>30</formula2>
    </dataValidation>
    <dataValidation allowBlank="1" showInputMessage="1" showErrorMessage="1" prompt="To insert a new line, type Alt + Enter." sqref="B46:J46"/>
    <dataValidation type="decimal" allowBlank="1" showInputMessage="1" showErrorMessage="1" error="You must enter a number between 0 and 10,000,000" prompt="Enter the loan amount" sqref="F7 H7 J7">
      <formula1>0</formula1>
      <formula2>10000000</formula2>
    </dataValidation>
    <dataValidation type="whole" allowBlank="1" showInputMessage="1" showErrorMessage="1" error="You must enter a whole number between 1 and 30." prompt="Enter the loan term" sqref="F8 H8 J8">
      <formula1>1</formula1>
      <formula2>30</formula2>
    </dataValidation>
    <dataValidation type="decimal" operator="greaterThanOrEqual" allowBlank="1" showInputMessage="1" showErrorMessage="1" error="You must enter a positive number." prompt="Enter the interest rate" sqref="F9 H9 J9">
      <formula1>0</formula1>
    </dataValidation>
    <dataValidation type="list" allowBlank="1" showInputMessage="1" showErrorMessage="1" prompt="Enter the interest only period" sqref="J10">
      <formula1>"0,1,2,3,4,5,6,7,8,9,10"</formula1>
    </dataValidation>
    <dataValidation type="whole" allowBlank="1" showInputMessage="1" showErrorMessage="1" error="You must enter a whole number between 0 and 10,000,000" prompt="Enter any monthly fees" sqref="F11 H11 J11">
      <formula1>0</formula1>
      <formula2>10000000</formula2>
    </dataValidation>
    <dataValidation type="decimal" operator="greaterThanOrEqual" allowBlank="1" showInputMessage="1" showErrorMessage="1" prompt="Enter the interest rate" sqref="D19">
      <formula1>0</formula1>
    </dataValidation>
    <dataValidation type="whole" allowBlank="1" showInputMessage="1" showErrorMessage="1" error="You must enter a whole number between 0 and 10,000,000." prompt="Enter any monthly fees" sqref="J19">
      <formula1>0</formula1>
      <formula2>10000000</formula2>
    </dataValidation>
  </dataValidations>
  <printOptions horizontalCentered="1"/>
  <pageMargins left="0.19685039370078741" right="0.19685039370078741" top="0.19685039370078741" bottom="0.19685039370078741" header="0.51181102362204722" footer="0.23622047244094491"/>
  <pageSetup paperSize="9" scale="95" orientation="portrait" r:id="rId3"/>
  <headerFooter alignWithMargins="0">
    <oddFooter>&amp;L&amp;"Calibri"&amp;11&amp;K000000&amp;"Calibri"&amp;11&amp;K000000&amp;"Calibri"&amp;11&amp;K000000&amp;"Calibri"&amp;11&amp;K000000Printed: &amp;D &amp;T_x000D_&amp;1#&amp;"Arial"&amp;9&amp;K000000&amp;RLast modified: 5 Feb 2021</oddFooter>
  </headerFooter>
  <drawing r:id="rId4"/>
  <legacyDrawing r:id="rId5"/>
  <oleObjects>
    <mc:AlternateContent xmlns:mc="http://schemas.openxmlformats.org/markup-compatibility/2006">
      <mc:Choice Requires="x14">
        <oleObject progId="MSPhotoEd.3" shapeId="6157" r:id="rId6">
          <objectPr defaultSize="0" autoPict="0" r:id="rId7">
            <anchor moveWithCells="1">
              <from>
                <xdr:col>7</xdr:col>
                <xdr:colOff>628650</xdr:colOff>
                <xdr:row>1</xdr:row>
                <xdr:rowOff>9525</xdr:rowOff>
              </from>
              <to>
                <xdr:col>11</xdr:col>
                <xdr:colOff>0</xdr:colOff>
                <xdr:row>2</xdr:row>
                <xdr:rowOff>76200</xdr:rowOff>
              </to>
            </anchor>
          </objectPr>
        </oleObject>
      </mc:Choice>
      <mc:Fallback>
        <oleObject progId="MSPhotoEd.3" shapeId="6157" r:id="rId6"/>
      </mc:Fallback>
    </mc:AlternateContent>
  </oleObjects>
  <mc:AlternateContent xmlns:mc="http://schemas.openxmlformats.org/markup-compatibility/2006">
    <mc:Choice Requires="x14">
      <controls>
        <mc:AlternateContent xmlns:mc="http://schemas.openxmlformats.org/markup-compatibility/2006">
          <mc:Choice Requires="x14">
            <control shapeId="6145" r:id="rId8" name="Button 1">
              <controlPr defaultSize="0" print="0" autoFill="0" autoPict="0" macro="[0]!cmdClearBasic">
                <anchor moveWithCells="1" sizeWithCells="1">
                  <from>
                    <xdr:col>9</xdr:col>
                    <xdr:colOff>180975</xdr:colOff>
                    <xdr:row>14</xdr:row>
                    <xdr:rowOff>95250</xdr:rowOff>
                  </from>
                  <to>
                    <xdr:col>10</xdr:col>
                    <xdr:colOff>133350</xdr:colOff>
                    <xdr:row>14</xdr:row>
                    <xdr:rowOff>361950</xdr:rowOff>
                  </to>
                </anchor>
              </controlPr>
            </control>
          </mc:Choice>
        </mc:AlternateContent>
        <mc:AlternateContent xmlns:mc="http://schemas.openxmlformats.org/markup-compatibility/2006">
          <mc:Choice Requires="x14">
            <control shapeId="6146" r:id="rId9" name="Button 2">
              <controlPr defaultSize="0" print="0" autoFill="0" autoPict="0" macro="[0]!cmdMenu">
                <anchor moveWithCells="1" sizeWithCells="1">
                  <from>
                    <xdr:col>7</xdr:col>
                    <xdr:colOff>771525</xdr:colOff>
                    <xdr:row>14</xdr:row>
                    <xdr:rowOff>104775</xdr:rowOff>
                  </from>
                  <to>
                    <xdr:col>9</xdr:col>
                    <xdr:colOff>133350</xdr:colOff>
                    <xdr:row>14</xdr:row>
                    <xdr:rowOff>361950</xdr:rowOff>
                  </to>
                </anchor>
              </controlPr>
            </control>
          </mc:Choice>
        </mc:AlternateContent>
        <mc:AlternateContent xmlns:mc="http://schemas.openxmlformats.org/markup-compatibility/2006">
          <mc:Choice Requires="x14">
            <control shapeId="6147" r:id="rId10" name="Button 3">
              <controlPr defaultSize="0" print="0" autoFill="0" autoPict="0" macro="[0]!cmdMenu">
                <anchor moveWithCells="1" sizeWithCells="1">
                  <from>
                    <xdr:col>1</xdr:col>
                    <xdr:colOff>0</xdr:colOff>
                    <xdr:row>46</xdr:row>
                    <xdr:rowOff>95250</xdr:rowOff>
                  </from>
                  <to>
                    <xdr:col>3</xdr:col>
                    <xdr:colOff>38100</xdr:colOff>
                    <xdr:row>48</xdr:row>
                    <xdr:rowOff>28575</xdr:rowOff>
                  </to>
                </anchor>
              </controlPr>
            </control>
          </mc:Choice>
        </mc:AlternateContent>
        <mc:AlternateContent xmlns:mc="http://schemas.openxmlformats.org/markup-compatibility/2006">
          <mc:Choice Requires="x14">
            <control shapeId="6148" r:id="rId11" name="Button 4">
              <controlPr defaultSize="0" print="0" autoFill="0" autoPict="0" macro="[0]!cmdClearSelf">
                <anchor moveWithCells="1" sizeWithCells="1">
                  <from>
                    <xdr:col>3</xdr:col>
                    <xdr:colOff>114300</xdr:colOff>
                    <xdr:row>46</xdr:row>
                    <xdr:rowOff>85725</xdr:rowOff>
                  </from>
                  <to>
                    <xdr:col>4</xdr:col>
                    <xdr:colOff>66675</xdr:colOff>
                    <xdr:row>48</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I15"/>
  <sheetViews>
    <sheetView showGridLines="0" showRowColHeaders="0" workbookViewId="0">
      <selection activeCell="C9" sqref="C9"/>
    </sheetView>
  </sheetViews>
  <sheetFormatPr defaultRowHeight="12.75" x14ac:dyDescent="0.2"/>
  <cols>
    <col min="1" max="1" width="1.7109375" customWidth="1"/>
    <col min="2" max="2" width="25.7109375" customWidth="1"/>
    <col min="3" max="3" width="16.7109375" customWidth="1"/>
    <col min="9" max="9" width="1.7109375" customWidth="1"/>
  </cols>
  <sheetData>
    <row r="1" spans="1:9" ht="13.5" thickBot="1" x14ac:dyDescent="0.25">
      <c r="A1" s="5"/>
      <c r="B1" s="6"/>
      <c r="C1" s="6"/>
      <c r="D1" s="6"/>
      <c r="E1" s="6"/>
      <c r="F1" s="6"/>
      <c r="G1" s="6"/>
      <c r="H1" s="6"/>
      <c r="I1" s="7"/>
    </row>
    <row r="2" spans="1:9" ht="24" customHeight="1" thickBot="1" x14ac:dyDescent="0.25">
      <c r="A2" s="8"/>
      <c r="B2" s="760" t="s">
        <v>429</v>
      </c>
      <c r="C2" s="758"/>
      <c r="D2" s="759"/>
      <c r="E2" s="472"/>
      <c r="F2" s="472"/>
      <c r="G2" s="472"/>
      <c r="H2" s="472"/>
      <c r="I2" s="10"/>
    </row>
    <row r="3" spans="1:9" ht="18" x14ac:dyDescent="0.2">
      <c r="A3" s="8"/>
      <c r="B3" s="752"/>
      <c r="C3" s="472"/>
      <c r="D3" s="472"/>
      <c r="E3" s="472"/>
      <c r="F3" s="472"/>
      <c r="G3" s="472"/>
      <c r="H3" s="472"/>
      <c r="I3" s="10"/>
    </row>
    <row r="4" spans="1:9" x14ac:dyDescent="0.2">
      <c r="A4" s="8"/>
      <c r="B4" s="9"/>
      <c r="C4" s="9"/>
      <c r="D4" s="9"/>
      <c r="E4" s="9"/>
      <c r="F4" s="9"/>
      <c r="G4" s="9"/>
      <c r="H4" s="9"/>
      <c r="I4" s="10"/>
    </row>
    <row r="5" spans="1:9" x14ac:dyDescent="0.2">
      <c r="A5" s="8"/>
      <c r="B5" s="9" t="s">
        <v>430</v>
      </c>
      <c r="C5" s="753"/>
      <c r="D5" s="9"/>
      <c r="E5" s="754" t="b">
        <f>COUNTBLANK(C5:C7)=0</f>
        <v>0</v>
      </c>
      <c r="F5" s="9"/>
      <c r="G5" s="9"/>
      <c r="H5" s="9"/>
      <c r="I5" s="10"/>
    </row>
    <row r="6" spans="1:9" x14ac:dyDescent="0.2">
      <c r="A6" s="8"/>
      <c r="B6" s="9" t="s">
        <v>431</v>
      </c>
      <c r="C6" s="755"/>
      <c r="D6" s="9"/>
      <c r="E6" s="9"/>
      <c r="F6" s="9"/>
      <c r="G6" s="9"/>
      <c r="H6" s="9"/>
      <c r="I6" s="10"/>
    </row>
    <row r="7" spans="1:9" x14ac:dyDescent="0.2">
      <c r="A7" s="8"/>
      <c r="B7" s="9" t="s">
        <v>432</v>
      </c>
      <c r="C7" s="755"/>
      <c r="D7" s="9"/>
      <c r="E7" s="9"/>
      <c r="F7" s="9"/>
      <c r="G7" s="9"/>
      <c r="H7" s="9"/>
      <c r="I7" s="10"/>
    </row>
    <row r="8" spans="1:9" x14ac:dyDescent="0.2">
      <c r="A8" s="8"/>
      <c r="B8" s="9"/>
      <c r="C8" s="9"/>
      <c r="D8" s="9"/>
      <c r="E8" s="9"/>
      <c r="F8" s="9"/>
      <c r="G8" s="9"/>
      <c r="H8" s="9"/>
      <c r="I8" s="10"/>
    </row>
    <row r="9" spans="1:9" x14ac:dyDescent="0.2">
      <c r="A9" s="8"/>
      <c r="B9" s="390" t="s">
        <v>433</v>
      </c>
      <c r="C9" s="756" t="str">
        <f>IF(E5,(C5/ROUND((C7-C6+1)/7,0))*(52/12),"Input Incomplete")</f>
        <v>Input Incomplete</v>
      </c>
      <c r="D9" s="9"/>
      <c r="E9" s="390"/>
      <c r="F9" s="9"/>
      <c r="G9" s="9"/>
      <c r="H9" s="9"/>
      <c r="I9" s="10"/>
    </row>
    <row r="10" spans="1:9" x14ac:dyDescent="0.2">
      <c r="A10" s="8"/>
      <c r="B10" s="390" t="s">
        <v>434</v>
      </c>
      <c r="C10" s="756" t="str">
        <f>IF(E5,C9*12,"Input Incomplete")</f>
        <v>Input Incomplete</v>
      </c>
      <c r="D10" s="9"/>
      <c r="E10" s="9"/>
      <c r="F10" s="9"/>
      <c r="G10" s="9"/>
      <c r="H10" s="9"/>
      <c r="I10" s="10"/>
    </row>
    <row r="11" spans="1:9" x14ac:dyDescent="0.2">
      <c r="A11" s="8"/>
      <c r="B11" s="9"/>
      <c r="C11" s="9"/>
      <c r="D11" s="9"/>
      <c r="E11" s="9"/>
      <c r="F11" s="9"/>
      <c r="G11" s="9"/>
      <c r="H11" s="9"/>
      <c r="I11" s="10"/>
    </row>
    <row r="12" spans="1:9" ht="110.1" customHeight="1" x14ac:dyDescent="0.2">
      <c r="A12" s="8"/>
      <c r="B12" s="913" t="s">
        <v>554</v>
      </c>
      <c r="C12" s="1032"/>
      <c r="D12" s="1032"/>
      <c r="E12" s="1032"/>
      <c r="F12" s="1032"/>
      <c r="G12" s="1032"/>
      <c r="H12" s="1033"/>
      <c r="I12" s="10"/>
    </row>
    <row r="13" spans="1:9" x14ac:dyDescent="0.2">
      <c r="A13" s="8"/>
      <c r="B13" s="9"/>
      <c r="C13" s="9"/>
      <c r="D13" s="9"/>
      <c r="E13" s="9"/>
      <c r="F13" s="9"/>
      <c r="G13" s="9"/>
      <c r="H13" s="9"/>
      <c r="I13" s="10"/>
    </row>
    <row r="14" spans="1:9" x14ac:dyDescent="0.2">
      <c r="A14" s="8"/>
      <c r="B14" s="761"/>
      <c r="C14" s="751"/>
      <c r="D14" s="751"/>
      <c r="E14" s="751"/>
      <c r="F14" s="751"/>
      <c r="G14" s="751"/>
      <c r="H14" s="338" t="s">
        <v>106</v>
      </c>
      <c r="I14" s="10"/>
    </row>
    <row r="15" spans="1:9" x14ac:dyDescent="0.2">
      <c r="A15" s="757"/>
      <c r="B15" s="21"/>
      <c r="C15" s="21"/>
      <c r="D15" s="21"/>
      <c r="E15" s="21"/>
      <c r="F15" s="21"/>
      <c r="G15" s="21"/>
      <c r="H15" s="21"/>
      <c r="I15" s="22"/>
    </row>
  </sheetData>
  <sheetProtection algorithmName="SHA-512" hashValue="wqTOGBsw7rFusp+SsvzOFf8w5/UcZ/QSagSF1VGJQaCSlJFLRYCyz67zFYAzAHSqcZypuM77hj+cTuHtmyX9rQ==" saltValue="KxzYSlXKvtSDkDOD+RKbNw==" spinCount="100000" sheet="1" objects="1" scenarios="1"/>
  <mergeCells count="1">
    <mergeCell ref="B12:H12"/>
  </mergeCells>
  <conditionalFormatting sqref="C5:C7">
    <cfRule type="expression" dxfId="4" priority="1">
      <formula>C5=""</formula>
    </cfRule>
  </conditionalFormatting>
  <dataValidations count="3">
    <dataValidation type="decimal" allowBlank="1" showInputMessage="1" showErrorMessage="1" error="You must enter a decimal value between 0 and 999,999,999.99" prompt="Enter the Gross Year to Date (YTD) Income" sqref="C5">
      <formula1>0</formula1>
      <formula2>999999999.99</formula2>
    </dataValidation>
    <dataValidation type="date" allowBlank="1" showInputMessage="1" showErrorMessage="1" error="You must enter a valid date, which must not be later than the Payment Date To." prompt="Enter the Payment Date From value" sqref="C6">
      <formula1>1</formula1>
      <formula2>IF(C7&lt;&gt;"",C7,DATE(9999,12,31))</formula2>
    </dataValidation>
    <dataValidation type="date" allowBlank="1" showInputMessage="1" showErrorMessage="1" error="You must enter a valid date, which must not be before than the Payment Date From." prompt="Enter the Payment Date To value" sqref="C7">
      <formula1>IF(C6&lt;&gt;"",C6,DATE(1900,1,1))</formula1>
      <formula2>2958465</formula2>
    </dataValidation>
  </dataValidations>
  <pageMargins left="0.19685039370078741" right="0.19685039370078741" top="0.19685039370078741" bottom="0.19685039370078741" header="0.31496062992125984" footer="0.31496062992125984"/>
  <pageSetup orientation="portrait" r:id="rId1"/>
  <headerFooter>
    <oddFooter>&amp;L&amp;"Calibri"&amp;11&amp;K000000&amp;"Calibri"&amp;11&amp;K000000&amp;"Calibri"&amp;11&amp;K000000&amp;"Calibri"&amp;11&amp;K000000Printed: &amp;D &amp;T_x000D_&amp;1#&amp;"Arial"&amp;9&amp;K000000&amp;RLast modified: 5 Feb 2021</oddFooter>
  </headerFooter>
  <drawing r:id="rId2"/>
  <legacyDrawing r:id="rId3"/>
  <oleObjects>
    <mc:AlternateContent xmlns:mc="http://schemas.openxmlformats.org/markup-compatibility/2006">
      <mc:Choice Requires="x14">
        <oleObject progId="MSPhotoEd.3" shapeId="28675" r:id="rId4">
          <objectPr defaultSize="0" autoPict="0" r:id="rId5">
            <anchor moveWithCells="1">
              <from>
                <xdr:col>4</xdr:col>
                <xdr:colOff>419100</xdr:colOff>
                <xdr:row>1</xdr:row>
                <xdr:rowOff>9525</xdr:rowOff>
              </from>
              <to>
                <xdr:col>7</xdr:col>
                <xdr:colOff>600075</xdr:colOff>
                <xdr:row>2</xdr:row>
                <xdr:rowOff>76200</xdr:rowOff>
              </to>
            </anchor>
          </objectPr>
        </oleObject>
      </mc:Choice>
      <mc:Fallback>
        <oleObject progId="MSPhotoEd.3" shapeId="28675" r:id="rId4"/>
      </mc:Fallback>
    </mc:AlternateContent>
  </oleObjects>
  <mc:AlternateContent xmlns:mc="http://schemas.openxmlformats.org/markup-compatibility/2006">
    <mc:Choice Requires="x14">
      <controls>
        <mc:AlternateContent xmlns:mc="http://schemas.openxmlformats.org/markup-compatibility/2006">
          <mc:Choice Requires="x14">
            <control shapeId="28673" r:id="rId6" name="Button 1">
              <controlPr defaultSize="0" print="0" autoFill="0" autoPict="0" macro="[0]!cmdClearYTDIncome">
                <anchor moveWithCells="1" sizeWithCells="1">
                  <from>
                    <xdr:col>6</xdr:col>
                    <xdr:colOff>438150</xdr:colOff>
                    <xdr:row>3</xdr:row>
                    <xdr:rowOff>0</xdr:rowOff>
                  </from>
                  <to>
                    <xdr:col>8</xdr:col>
                    <xdr:colOff>0</xdr:colOff>
                    <xdr:row>4</xdr:row>
                    <xdr:rowOff>152400</xdr:rowOff>
                  </to>
                </anchor>
              </controlPr>
            </control>
          </mc:Choice>
        </mc:AlternateContent>
        <mc:AlternateContent xmlns:mc="http://schemas.openxmlformats.org/markup-compatibility/2006">
          <mc:Choice Requires="x14">
            <control shapeId="28674" r:id="rId7" name="Button 2">
              <controlPr defaultSize="0" print="0" autoFill="0" autoPict="0" macro="[0]!cmdMenu">
                <anchor moveWithCells="1" sizeWithCells="1">
                  <from>
                    <xdr:col>6</xdr:col>
                    <xdr:colOff>428625</xdr:colOff>
                    <xdr:row>6</xdr:row>
                    <xdr:rowOff>0</xdr:rowOff>
                  </from>
                  <to>
                    <xdr:col>8</xdr:col>
                    <xdr:colOff>0</xdr:colOff>
                    <xdr:row>7</xdr:row>
                    <xdr:rowOff>142875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C47"/>
  <sheetViews>
    <sheetView topLeftCell="A31" workbookViewId="0">
      <selection activeCell="J44" sqref="J44"/>
    </sheetView>
  </sheetViews>
  <sheetFormatPr defaultRowHeight="12.75" x14ac:dyDescent="0.2"/>
  <cols>
    <col min="1" max="1" width="12.7109375" customWidth="1"/>
    <col min="5" max="5" width="3.7109375" customWidth="1"/>
    <col min="6" max="6" width="25.7109375" bestFit="1" customWidth="1"/>
    <col min="8" max="8" width="3.7109375" customWidth="1"/>
    <col min="9" max="9" width="12.28515625" customWidth="1"/>
    <col min="10" max="10" width="11.140625" bestFit="1" customWidth="1"/>
    <col min="11" max="11" width="10.7109375" customWidth="1"/>
    <col min="13" max="13" width="18.85546875" customWidth="1"/>
    <col min="14" max="15" width="10.7109375" customWidth="1"/>
    <col min="17" max="17" width="11.7109375" customWidth="1"/>
    <col min="18" max="18" width="8.7109375" bestFit="1" customWidth="1"/>
    <col min="19" max="22" width="13.140625" bestFit="1" customWidth="1"/>
    <col min="23" max="23" width="15.5703125" bestFit="1" customWidth="1"/>
    <col min="24" max="27" width="13.7109375" bestFit="1" customWidth="1"/>
    <col min="28" max="28" width="16.140625" bestFit="1" customWidth="1"/>
    <col min="29" max="29" width="17.42578125" bestFit="1" customWidth="1"/>
  </cols>
  <sheetData>
    <row r="1" spans="1:24" x14ac:dyDescent="0.2">
      <c r="A1" s="1038" t="s">
        <v>46</v>
      </c>
      <c r="B1" s="1039"/>
      <c r="C1" s="1040"/>
      <c r="F1" s="1041"/>
      <c r="G1" s="1041"/>
      <c r="I1" s="1045" t="s">
        <v>137</v>
      </c>
      <c r="J1" s="1046"/>
      <c r="K1" s="1047"/>
      <c r="M1" s="1044" t="s">
        <v>263</v>
      </c>
      <c r="N1" s="1044"/>
      <c r="O1" s="1044"/>
      <c r="Q1" s="1037" t="s">
        <v>273</v>
      </c>
      <c r="R1" s="1037"/>
      <c r="S1" s="1037"/>
      <c r="T1" s="1037"/>
      <c r="U1" s="1037"/>
      <c r="V1" s="1037"/>
      <c r="W1" s="1037"/>
      <c r="X1" s="1037"/>
    </row>
    <row r="2" spans="1:24" x14ac:dyDescent="0.2">
      <c r="A2" s="172" t="s">
        <v>138</v>
      </c>
      <c r="B2" s="172" t="s">
        <v>139</v>
      </c>
      <c r="C2" s="172" t="s">
        <v>140</v>
      </c>
      <c r="F2" s="399"/>
      <c r="G2" s="9"/>
      <c r="I2" s="1048" t="s">
        <v>141</v>
      </c>
      <c r="J2" s="1048"/>
      <c r="K2" s="173" t="s">
        <v>142</v>
      </c>
      <c r="M2" s="1044" t="s">
        <v>141</v>
      </c>
      <c r="N2" s="1044"/>
      <c r="O2" s="373" t="s">
        <v>264</v>
      </c>
      <c r="Q2" s="641" t="s">
        <v>373</v>
      </c>
      <c r="R2" s="641" t="s">
        <v>374</v>
      </c>
      <c r="S2" s="641" t="s">
        <v>392</v>
      </c>
      <c r="T2" s="642" t="s">
        <v>393</v>
      </c>
      <c r="U2" s="642" t="s">
        <v>394</v>
      </c>
      <c r="V2" s="642" t="s">
        <v>395</v>
      </c>
      <c r="W2" s="642" t="s">
        <v>396</v>
      </c>
      <c r="X2" s="642" t="s">
        <v>397</v>
      </c>
    </row>
    <row r="3" spans="1:24" x14ac:dyDescent="0.2">
      <c r="A3" s="174">
        <v>0</v>
      </c>
      <c r="B3" s="175">
        <v>0</v>
      </c>
      <c r="C3" s="176">
        <v>0</v>
      </c>
      <c r="F3" s="9"/>
      <c r="G3" s="9"/>
      <c r="I3" s="177">
        <v>0</v>
      </c>
      <c r="J3" s="177">
        <v>10000</v>
      </c>
      <c r="K3" s="178">
        <v>0.1</v>
      </c>
      <c r="M3" s="177">
        <v>0</v>
      </c>
      <c r="N3" s="177">
        <v>20000</v>
      </c>
      <c r="O3" s="631">
        <v>0</v>
      </c>
      <c r="Q3" s="643">
        <v>0</v>
      </c>
      <c r="R3" s="643">
        <v>20000</v>
      </c>
      <c r="S3" s="643"/>
      <c r="T3" s="644"/>
      <c r="U3" s="644"/>
      <c r="V3" s="644"/>
      <c r="W3" s="644"/>
      <c r="X3" s="644"/>
    </row>
    <row r="4" spans="1:24" x14ac:dyDescent="0.2">
      <c r="A4" s="174">
        <v>18200</v>
      </c>
      <c r="B4" s="175">
        <v>0.19</v>
      </c>
      <c r="C4" s="176">
        <v>0</v>
      </c>
      <c r="F4" s="399"/>
      <c r="G4" s="9"/>
      <c r="I4" s="177">
        <f>J3+0.01</f>
        <v>10000.01</v>
      </c>
      <c r="J4" s="177">
        <v>15000</v>
      </c>
      <c r="K4" s="178">
        <v>0.15</v>
      </c>
      <c r="M4" s="177">
        <f>N3+0.01</f>
        <v>20000.009999999998</v>
      </c>
      <c r="N4" s="177">
        <v>55000</v>
      </c>
      <c r="O4" s="631">
        <v>0</v>
      </c>
      <c r="Q4" s="643">
        <f>R3+1</f>
        <v>20001</v>
      </c>
      <c r="R4" s="643">
        <v>25000</v>
      </c>
      <c r="S4" s="645"/>
      <c r="T4" s="644"/>
      <c r="U4" s="644"/>
      <c r="V4" s="644"/>
      <c r="W4" s="644"/>
      <c r="X4" s="644"/>
    </row>
    <row r="5" spans="1:24" x14ac:dyDescent="0.2">
      <c r="A5" s="174">
        <v>45000</v>
      </c>
      <c r="B5" s="175">
        <v>0.32500000000000001</v>
      </c>
      <c r="C5" s="176">
        <v>5092</v>
      </c>
      <c r="F5" s="399"/>
      <c r="G5" s="9"/>
      <c r="I5" s="177">
        <f>J4+0.01</f>
        <v>15000.01</v>
      </c>
      <c r="J5" s="177">
        <v>20000</v>
      </c>
      <c r="K5" s="178">
        <v>0.25</v>
      </c>
      <c r="M5" s="177">
        <f>N4+0.01</f>
        <v>55000.01</v>
      </c>
      <c r="N5" s="177"/>
      <c r="O5" s="631">
        <v>0</v>
      </c>
      <c r="Q5" s="643">
        <f t="shared" ref="Q5:Q19" si="0">R4+1</f>
        <v>25001</v>
      </c>
      <c r="R5" s="643">
        <v>30000</v>
      </c>
      <c r="S5" s="645"/>
      <c r="T5" s="644"/>
      <c r="U5" s="644"/>
      <c r="V5" s="644"/>
      <c r="W5" s="644"/>
      <c r="X5" s="644"/>
    </row>
    <row r="6" spans="1:24" x14ac:dyDescent="0.2">
      <c r="A6" s="174">
        <v>120000</v>
      </c>
      <c r="B6" s="175">
        <v>0.37</v>
      </c>
      <c r="C6" s="176">
        <v>29467</v>
      </c>
      <c r="F6" s="9"/>
      <c r="G6" s="9"/>
      <c r="I6" s="177">
        <f>J5+0.01</f>
        <v>20000.009999999998</v>
      </c>
      <c r="J6" s="177">
        <v>55000</v>
      </c>
      <c r="K6" s="178">
        <v>0.35</v>
      </c>
      <c r="Q6" s="643">
        <f t="shared" si="0"/>
        <v>30001</v>
      </c>
      <c r="R6" s="643">
        <v>35000</v>
      </c>
      <c r="S6" s="644"/>
      <c r="T6" s="644"/>
      <c r="U6" s="644"/>
      <c r="V6" s="644"/>
      <c r="W6" s="644"/>
      <c r="X6" s="644"/>
    </row>
    <row r="7" spans="1:24" x14ac:dyDescent="0.2">
      <c r="A7" s="174">
        <v>180000</v>
      </c>
      <c r="B7" s="175">
        <v>0.45</v>
      </c>
      <c r="C7" s="176">
        <v>51667</v>
      </c>
      <c r="F7" s="399"/>
      <c r="G7" s="9"/>
      <c r="I7" s="177">
        <f>J6+0.01</f>
        <v>55000.01</v>
      </c>
      <c r="J7" s="179"/>
      <c r="K7" s="178">
        <v>0.4</v>
      </c>
      <c r="Q7" s="643">
        <f t="shared" si="0"/>
        <v>35001</v>
      </c>
      <c r="R7" s="643">
        <v>40000</v>
      </c>
      <c r="S7" s="644"/>
      <c r="T7" s="644"/>
      <c r="U7" s="644"/>
      <c r="V7" s="644"/>
      <c r="W7" s="644"/>
      <c r="X7" s="644"/>
    </row>
    <row r="8" spans="1:24" x14ac:dyDescent="0.2">
      <c r="F8" s="9"/>
      <c r="G8" s="9"/>
      <c r="Q8" s="643">
        <f t="shared" si="0"/>
        <v>40001</v>
      </c>
      <c r="R8" s="643">
        <v>45000</v>
      </c>
      <c r="S8" s="644"/>
      <c r="T8" s="644"/>
      <c r="U8" s="644"/>
      <c r="V8" s="644"/>
      <c r="W8" s="644"/>
      <c r="X8" s="644"/>
    </row>
    <row r="9" spans="1:24" x14ac:dyDescent="0.2">
      <c r="I9" s="387" t="s">
        <v>134</v>
      </c>
      <c r="M9" s="387" t="s">
        <v>135</v>
      </c>
      <c r="Q9" s="643">
        <f t="shared" si="0"/>
        <v>45001</v>
      </c>
      <c r="R9" s="643">
        <v>50000</v>
      </c>
      <c r="S9" s="644"/>
      <c r="T9" s="644"/>
      <c r="U9" s="644"/>
      <c r="V9" s="644"/>
      <c r="W9" s="644"/>
      <c r="X9" s="644"/>
    </row>
    <row r="10" spans="1:24" x14ac:dyDescent="0.2">
      <c r="A10" s="1049" t="s">
        <v>48</v>
      </c>
      <c r="B10" s="1049"/>
      <c r="C10" s="1049"/>
      <c r="D10" s="1049"/>
      <c r="F10" s="180" t="s">
        <v>143</v>
      </c>
      <c r="G10" s="181">
        <v>0.1</v>
      </c>
      <c r="I10" s="388" t="s">
        <v>56</v>
      </c>
      <c r="J10" s="388" t="s">
        <v>90</v>
      </c>
      <c r="K10" s="383"/>
      <c r="M10" s="388" t="s">
        <v>56</v>
      </c>
      <c r="N10" s="389" t="s">
        <v>90</v>
      </c>
      <c r="O10" s="389" t="s">
        <v>333</v>
      </c>
      <c r="P10" s="387"/>
      <c r="Q10" s="643">
        <f t="shared" si="0"/>
        <v>50001</v>
      </c>
      <c r="R10" s="643">
        <v>60000</v>
      </c>
      <c r="S10" s="644"/>
      <c r="T10" s="644"/>
      <c r="U10" s="644"/>
      <c r="V10" s="644"/>
      <c r="W10" s="644"/>
      <c r="X10" s="644"/>
    </row>
    <row r="11" spans="1:24" x14ac:dyDescent="0.2">
      <c r="A11" s="383"/>
      <c r="B11" s="384" t="s">
        <v>266</v>
      </c>
      <c r="C11" s="384" t="s">
        <v>139</v>
      </c>
      <c r="D11" s="384" t="s">
        <v>140</v>
      </c>
      <c r="F11" s="382" t="s">
        <v>334</v>
      </c>
      <c r="G11" s="599">
        <v>0.9</v>
      </c>
      <c r="I11" s="382" t="s">
        <v>421</v>
      </c>
      <c r="J11" s="815">
        <v>30</v>
      </c>
      <c r="K11" s="383"/>
      <c r="M11" s="382" t="s">
        <v>421</v>
      </c>
      <c r="N11" s="182">
        <v>30</v>
      </c>
      <c r="O11" s="175">
        <v>5</v>
      </c>
      <c r="Q11" s="643">
        <f t="shared" si="0"/>
        <v>60001</v>
      </c>
      <c r="R11" s="643">
        <v>70000</v>
      </c>
      <c r="S11" s="644"/>
      <c r="T11" s="644"/>
      <c r="U11" s="644"/>
      <c r="V11" s="644"/>
      <c r="W11" s="644"/>
      <c r="X11" s="644"/>
    </row>
    <row r="12" spans="1:24" x14ac:dyDescent="0.2">
      <c r="A12" s="266"/>
      <c r="B12" s="176">
        <v>22801</v>
      </c>
      <c r="C12" s="385">
        <v>0.1</v>
      </c>
      <c r="D12" s="176"/>
      <c r="F12" s="183" t="s">
        <v>145</v>
      </c>
      <c r="G12" s="181">
        <v>0.7</v>
      </c>
      <c r="I12" s="382" t="s">
        <v>422</v>
      </c>
      <c r="J12" s="815">
        <v>30</v>
      </c>
      <c r="K12" s="383"/>
      <c r="M12" s="382" t="s">
        <v>422</v>
      </c>
      <c r="N12" s="182">
        <v>30</v>
      </c>
      <c r="O12" s="175">
        <v>5</v>
      </c>
      <c r="Q12" s="643">
        <f t="shared" si="0"/>
        <v>70001</v>
      </c>
      <c r="R12" s="643">
        <v>80000</v>
      </c>
      <c r="S12" s="644"/>
      <c r="T12" s="644"/>
      <c r="U12" s="644"/>
      <c r="V12" s="644"/>
      <c r="W12" s="644"/>
      <c r="X12" s="644"/>
    </row>
    <row r="13" spans="1:24" x14ac:dyDescent="0.2">
      <c r="A13" s="266"/>
      <c r="B13" s="176">
        <v>28501</v>
      </c>
      <c r="C13" s="386">
        <v>0.02</v>
      </c>
      <c r="D13" s="176"/>
      <c r="F13" s="183" t="s">
        <v>146</v>
      </c>
      <c r="G13" s="184">
        <v>66.67</v>
      </c>
      <c r="I13" s="382" t="s">
        <v>425</v>
      </c>
      <c r="J13" s="838">
        <v>30</v>
      </c>
      <c r="K13" s="383"/>
      <c r="M13" s="382" t="s">
        <v>92</v>
      </c>
      <c r="N13" s="182">
        <v>25</v>
      </c>
      <c r="O13" s="175">
        <v>0</v>
      </c>
      <c r="Q13" s="643">
        <f t="shared" si="0"/>
        <v>80001</v>
      </c>
      <c r="R13" s="643">
        <v>90000</v>
      </c>
      <c r="S13" s="644"/>
      <c r="T13" s="644"/>
      <c r="U13" s="644"/>
      <c r="V13" s="644"/>
      <c r="W13" s="644"/>
      <c r="X13" s="644"/>
    </row>
    <row r="14" spans="1:24" x14ac:dyDescent="0.2">
      <c r="A14" s="266"/>
      <c r="B14" s="176"/>
      <c r="C14" s="386"/>
      <c r="D14" s="176"/>
      <c r="I14" s="382" t="s">
        <v>423</v>
      </c>
      <c r="J14" s="838">
        <v>99</v>
      </c>
      <c r="K14" s="383"/>
      <c r="M14" s="382" t="s">
        <v>93</v>
      </c>
      <c r="N14" s="182">
        <v>0</v>
      </c>
      <c r="O14" s="175">
        <v>0</v>
      </c>
      <c r="Q14" s="643">
        <f t="shared" si="0"/>
        <v>90001</v>
      </c>
      <c r="R14" s="643">
        <v>100000</v>
      </c>
      <c r="S14" s="644"/>
      <c r="T14" s="644"/>
      <c r="U14" s="644"/>
      <c r="V14" s="644"/>
      <c r="W14" s="644"/>
      <c r="X14" s="644"/>
    </row>
    <row r="15" spans="1:24" x14ac:dyDescent="0.2">
      <c r="A15" s="266"/>
      <c r="B15" s="176"/>
      <c r="C15" s="386"/>
      <c r="D15" s="176"/>
      <c r="F15" s="186" t="s">
        <v>148</v>
      </c>
      <c r="G15" s="187" t="s">
        <v>149</v>
      </c>
      <c r="I15" s="382" t="s">
        <v>424</v>
      </c>
      <c r="J15" s="838">
        <v>99</v>
      </c>
      <c r="K15" s="383"/>
      <c r="M15" s="382"/>
      <c r="N15" s="182"/>
      <c r="O15" s="175"/>
      <c r="Q15" s="643">
        <f t="shared" si="0"/>
        <v>100001</v>
      </c>
      <c r="R15" s="643">
        <v>150000</v>
      </c>
      <c r="S15" s="644"/>
      <c r="T15" s="644"/>
      <c r="U15" s="644"/>
      <c r="V15" s="644"/>
      <c r="W15" s="644"/>
      <c r="X15" s="644"/>
    </row>
    <row r="16" spans="1:24" x14ac:dyDescent="0.2">
      <c r="A16" s="266"/>
      <c r="B16" s="176"/>
      <c r="C16" s="386"/>
      <c r="D16" s="176"/>
      <c r="F16" s="183" t="s">
        <v>93</v>
      </c>
      <c r="G16" s="188">
        <v>3.8199999999999998E-2</v>
      </c>
      <c r="I16" s="183" t="s">
        <v>93</v>
      </c>
      <c r="J16" s="815">
        <v>0</v>
      </c>
      <c r="K16" s="383"/>
      <c r="M16" s="382"/>
      <c r="N16" s="182"/>
      <c r="O16" s="175"/>
      <c r="Q16" s="643">
        <f t="shared" si="0"/>
        <v>150001</v>
      </c>
      <c r="R16" s="643">
        <v>200000</v>
      </c>
      <c r="S16" s="644"/>
      <c r="T16" s="644"/>
      <c r="U16" s="644"/>
      <c r="V16" s="644"/>
      <c r="W16" s="644"/>
      <c r="X16" s="644"/>
    </row>
    <row r="17" spans="1:29" x14ac:dyDescent="0.2">
      <c r="A17" s="266"/>
      <c r="B17" s="266"/>
      <c r="C17" s="266"/>
      <c r="D17" s="266"/>
      <c r="F17" s="183" t="s">
        <v>151</v>
      </c>
      <c r="G17" s="189" t="s">
        <v>144</v>
      </c>
      <c r="I17" s="183" t="s">
        <v>94</v>
      </c>
      <c r="J17" s="815">
        <v>7</v>
      </c>
      <c r="K17" s="383"/>
      <c r="M17" s="382"/>
      <c r="N17" s="182"/>
      <c r="O17" s="175"/>
      <c r="Q17" s="643">
        <f t="shared" si="0"/>
        <v>200001</v>
      </c>
      <c r="R17" s="643">
        <v>250000</v>
      </c>
      <c r="S17" s="644"/>
      <c r="T17" s="644"/>
      <c r="U17" s="644"/>
      <c r="V17" s="644"/>
      <c r="W17" s="644"/>
      <c r="X17" s="644"/>
    </row>
    <row r="18" spans="1:29" x14ac:dyDescent="0.2">
      <c r="A18" s="1043" t="s">
        <v>147</v>
      </c>
      <c r="B18" s="1043"/>
      <c r="C18" s="185">
        <v>0.5</v>
      </c>
      <c r="F18" s="183" t="s">
        <v>252</v>
      </c>
      <c r="G18" s="188">
        <v>0.03</v>
      </c>
      <c r="I18" s="183" t="s">
        <v>252</v>
      </c>
      <c r="J18" s="815">
        <v>0</v>
      </c>
      <c r="K18" s="383"/>
      <c r="M18" s="382"/>
      <c r="N18" s="182"/>
      <c r="O18" s="175"/>
      <c r="Q18" s="643">
        <f t="shared" si="0"/>
        <v>250001</v>
      </c>
      <c r="R18" s="643">
        <v>300000</v>
      </c>
      <c r="S18" s="644"/>
      <c r="T18" s="644"/>
      <c r="U18" s="644"/>
      <c r="V18" s="644"/>
      <c r="W18" s="644"/>
      <c r="X18" s="644"/>
    </row>
    <row r="19" spans="1:29" x14ac:dyDescent="0.2">
      <c r="A19" s="1043" t="s">
        <v>150</v>
      </c>
      <c r="B19" s="1043"/>
      <c r="C19" s="185">
        <v>0.8</v>
      </c>
      <c r="F19" s="815" t="s">
        <v>470</v>
      </c>
      <c r="G19" s="815"/>
      <c r="I19" s="183" t="s">
        <v>95</v>
      </c>
      <c r="J19" s="815">
        <v>5</v>
      </c>
      <c r="K19" s="383"/>
      <c r="M19" s="382"/>
      <c r="N19" s="182"/>
      <c r="O19" s="175"/>
      <c r="Q19" s="643">
        <f t="shared" si="0"/>
        <v>300001</v>
      </c>
      <c r="R19" s="646" t="s">
        <v>375</v>
      </c>
      <c r="S19" s="644"/>
      <c r="T19" s="644"/>
      <c r="U19" s="644"/>
      <c r="V19" s="644"/>
      <c r="W19" s="644"/>
      <c r="X19" s="644"/>
    </row>
    <row r="20" spans="1:29" x14ac:dyDescent="0.2">
      <c r="A20" s="1050" t="s">
        <v>366</v>
      </c>
      <c r="B20" s="1051"/>
      <c r="C20" s="632">
        <v>0.8</v>
      </c>
      <c r="F20" s="382" t="s">
        <v>510</v>
      </c>
      <c r="G20" s="864">
        <v>1.4999999999999999E-2</v>
      </c>
      <c r="I20" s="183" t="s">
        <v>96</v>
      </c>
      <c r="J20" s="815">
        <v>5</v>
      </c>
      <c r="K20" s="383"/>
      <c r="M20" s="382"/>
      <c r="N20" s="182"/>
      <c r="O20" s="175"/>
      <c r="Q20" s="9"/>
      <c r="R20" s="9"/>
      <c r="S20" s="9"/>
      <c r="T20" s="9"/>
      <c r="U20" s="9"/>
      <c r="V20" s="9"/>
      <c r="W20" s="9"/>
    </row>
    <row r="21" spans="1:29" x14ac:dyDescent="0.2">
      <c r="A21" s="1042" t="s">
        <v>367</v>
      </c>
      <c r="B21" s="1043"/>
      <c r="C21" s="185">
        <v>0.8</v>
      </c>
      <c r="I21" s="183" t="s">
        <v>121</v>
      </c>
      <c r="J21" s="815">
        <v>30</v>
      </c>
      <c r="K21" s="383"/>
      <c r="M21" s="183"/>
      <c r="N21" s="182"/>
      <c r="O21" s="175"/>
      <c r="Q21" s="1037" t="s">
        <v>273</v>
      </c>
      <c r="R21" s="1037"/>
      <c r="S21" s="1037"/>
      <c r="T21" s="1037"/>
      <c r="U21" s="1037"/>
      <c r="V21" s="1037"/>
      <c r="W21" s="1037"/>
      <c r="X21" s="1037"/>
      <c r="Y21" s="1037"/>
      <c r="Z21" s="1037"/>
      <c r="AA21" s="1037"/>
      <c r="AB21" s="1037"/>
      <c r="AC21" s="1037"/>
    </row>
    <row r="22" spans="1:29" x14ac:dyDescent="0.2">
      <c r="A22" s="1042" t="s">
        <v>368</v>
      </c>
      <c r="B22" s="1043"/>
      <c r="C22" s="185">
        <v>0.8</v>
      </c>
      <c r="F22" s="176" t="s">
        <v>152</v>
      </c>
      <c r="G22" s="176">
        <v>25</v>
      </c>
      <c r="I22" s="382" t="s">
        <v>508</v>
      </c>
      <c r="J22" s="815">
        <v>0</v>
      </c>
      <c r="K22" s="383"/>
      <c r="M22" s="382"/>
      <c r="N22" s="182"/>
      <c r="O22" s="175"/>
      <c r="Q22" s="641" t="s">
        <v>373</v>
      </c>
      <c r="R22" s="641" t="s">
        <v>374</v>
      </c>
      <c r="S22" s="641" t="s">
        <v>381</v>
      </c>
      <c r="T22" s="642" t="s">
        <v>382</v>
      </c>
      <c r="U22" s="642" t="s">
        <v>383</v>
      </c>
      <c r="V22" s="642" t="s">
        <v>384</v>
      </c>
      <c r="W22" s="642" t="s">
        <v>385</v>
      </c>
      <c r="X22" s="642" t="s">
        <v>386</v>
      </c>
      <c r="Y22" s="642" t="s">
        <v>387</v>
      </c>
      <c r="Z22" s="642" t="s">
        <v>388</v>
      </c>
      <c r="AA22" s="642" t="s">
        <v>389</v>
      </c>
      <c r="AB22" s="642" t="s">
        <v>390</v>
      </c>
      <c r="AC22" s="642" t="s">
        <v>391</v>
      </c>
    </row>
    <row r="23" spans="1:29" x14ac:dyDescent="0.2">
      <c r="A23" s="266"/>
      <c r="B23" s="266"/>
      <c r="C23" s="633"/>
      <c r="I23" s="863" t="s">
        <v>509</v>
      </c>
      <c r="J23" s="862">
        <v>0</v>
      </c>
      <c r="M23" s="382"/>
      <c r="N23" s="182"/>
      <c r="O23" s="182"/>
      <c r="Q23" s="866">
        <v>0</v>
      </c>
      <c r="R23" s="867">
        <v>22000</v>
      </c>
      <c r="S23" s="905">
        <v>1103</v>
      </c>
      <c r="T23" s="905">
        <v>1504</v>
      </c>
      <c r="U23" s="905">
        <v>1895</v>
      </c>
      <c r="V23" s="905">
        <v>2278</v>
      </c>
      <c r="W23" s="906">
        <v>383</v>
      </c>
      <c r="X23" s="907">
        <v>2083</v>
      </c>
      <c r="Y23" s="905">
        <v>2382</v>
      </c>
      <c r="Z23" s="905">
        <v>2639</v>
      </c>
      <c r="AA23" s="905">
        <v>2887</v>
      </c>
      <c r="AB23" s="905">
        <v>248</v>
      </c>
      <c r="AC23" s="906">
        <v>981</v>
      </c>
    </row>
    <row r="24" spans="1:29" x14ac:dyDescent="0.2">
      <c r="A24" t="s">
        <v>225</v>
      </c>
      <c r="F24" s="176" t="s">
        <v>364</v>
      </c>
      <c r="G24" s="385">
        <v>0.5</v>
      </c>
      <c r="I24" s="863" t="s">
        <v>510</v>
      </c>
      <c r="J24" s="862">
        <v>0</v>
      </c>
      <c r="Q24" s="866">
        <f>R23+0.01</f>
        <v>22000.01</v>
      </c>
      <c r="R24" s="867">
        <v>32000</v>
      </c>
      <c r="S24" s="905">
        <v>1169</v>
      </c>
      <c r="T24" s="905">
        <v>1570</v>
      </c>
      <c r="U24" s="905">
        <v>1961</v>
      </c>
      <c r="V24" s="905">
        <v>2344</v>
      </c>
      <c r="W24" s="906">
        <v>383</v>
      </c>
      <c r="X24" s="907">
        <v>2149</v>
      </c>
      <c r="Y24" s="905">
        <v>2448</v>
      </c>
      <c r="Z24" s="905">
        <v>2705</v>
      </c>
      <c r="AA24" s="905">
        <v>2953</v>
      </c>
      <c r="AB24" s="905">
        <v>248</v>
      </c>
      <c r="AC24" s="906">
        <v>981</v>
      </c>
    </row>
    <row r="25" spans="1:29" x14ac:dyDescent="0.2">
      <c r="A25" s="312">
        <v>44232</v>
      </c>
      <c r="Q25" s="866">
        <f t="shared" ref="Q25:Q37" si="1">R24+0.01</f>
        <v>32000.01</v>
      </c>
      <c r="R25" s="867">
        <v>43000</v>
      </c>
      <c r="S25" s="905">
        <v>1230</v>
      </c>
      <c r="T25" s="905">
        <v>1631</v>
      </c>
      <c r="U25" s="905">
        <v>2022</v>
      </c>
      <c r="V25" s="905">
        <v>2405</v>
      </c>
      <c r="W25" s="906">
        <v>383</v>
      </c>
      <c r="X25" s="907">
        <v>2210</v>
      </c>
      <c r="Y25" s="905">
        <v>2509</v>
      </c>
      <c r="Z25" s="905">
        <v>2766</v>
      </c>
      <c r="AA25" s="905">
        <v>3014</v>
      </c>
      <c r="AB25" s="905">
        <v>248</v>
      </c>
      <c r="AC25" s="906">
        <v>980</v>
      </c>
    </row>
    <row r="26" spans="1:29" x14ac:dyDescent="0.2">
      <c r="F26" s="183" t="s">
        <v>365</v>
      </c>
      <c r="G26" s="181">
        <v>0</v>
      </c>
      <c r="Q26" s="866">
        <f t="shared" si="1"/>
        <v>43000.01</v>
      </c>
      <c r="R26" s="867">
        <v>54000</v>
      </c>
      <c r="S26" s="905">
        <v>1320</v>
      </c>
      <c r="T26" s="905">
        <v>1721</v>
      </c>
      <c r="U26" s="905">
        <v>2112</v>
      </c>
      <c r="V26" s="905">
        <v>2494</v>
      </c>
      <c r="W26" s="906">
        <v>382</v>
      </c>
      <c r="X26" s="907">
        <v>2300</v>
      </c>
      <c r="Y26" s="905">
        <v>2598</v>
      </c>
      <c r="Z26" s="905">
        <v>2855</v>
      </c>
      <c r="AA26" s="905">
        <v>3103</v>
      </c>
      <c r="AB26" s="905">
        <v>248</v>
      </c>
      <c r="AC26" s="906">
        <v>980</v>
      </c>
    </row>
    <row r="27" spans="1:29" x14ac:dyDescent="0.2">
      <c r="A27" s="387" t="s">
        <v>331</v>
      </c>
      <c r="I27" s="398" t="s">
        <v>272</v>
      </c>
      <c r="J27" s="398"/>
      <c r="Q27" s="866">
        <f>R26+0.01</f>
        <v>54000.01</v>
      </c>
      <c r="R27" s="867">
        <v>65000</v>
      </c>
      <c r="S27" s="905">
        <v>1481</v>
      </c>
      <c r="T27" s="905">
        <v>1882</v>
      </c>
      <c r="U27" s="905">
        <v>2273</v>
      </c>
      <c r="V27" s="905">
        <v>2655</v>
      </c>
      <c r="W27" s="906">
        <v>382</v>
      </c>
      <c r="X27" s="907">
        <v>2461</v>
      </c>
      <c r="Y27" s="905">
        <v>2759</v>
      </c>
      <c r="Z27" s="905">
        <v>3016</v>
      </c>
      <c r="AA27" s="905">
        <v>3263</v>
      </c>
      <c r="AB27" s="905">
        <v>247</v>
      </c>
      <c r="AC27" s="906">
        <v>979</v>
      </c>
    </row>
    <row r="28" spans="1:29" x14ac:dyDescent="0.2">
      <c r="A28" s="387" t="s">
        <v>332</v>
      </c>
      <c r="F28" s="813" t="s">
        <v>469</v>
      </c>
      <c r="G28" s="814">
        <v>0.9</v>
      </c>
      <c r="I28" s="396" t="s">
        <v>268</v>
      </c>
      <c r="J28" s="176">
        <v>5</v>
      </c>
      <c r="Q28" s="866">
        <f t="shared" si="1"/>
        <v>65000.01</v>
      </c>
      <c r="R28" s="867">
        <v>86000</v>
      </c>
      <c r="S28" s="905">
        <v>1690</v>
      </c>
      <c r="T28" s="905">
        <v>2091</v>
      </c>
      <c r="U28" s="905">
        <v>2481</v>
      </c>
      <c r="V28" s="905">
        <v>2862</v>
      </c>
      <c r="W28" s="906">
        <v>381</v>
      </c>
      <c r="X28" s="907">
        <v>2668</v>
      </c>
      <c r="Y28" s="905">
        <v>2966</v>
      </c>
      <c r="Z28" s="905">
        <v>3223</v>
      </c>
      <c r="AA28" s="905">
        <v>3470</v>
      </c>
      <c r="AB28" s="905">
        <v>246</v>
      </c>
      <c r="AC28" s="906">
        <v>979</v>
      </c>
    </row>
    <row r="29" spans="1:29" x14ac:dyDescent="0.2">
      <c r="I29" s="396" t="s">
        <v>269</v>
      </c>
      <c r="J29" s="176">
        <v>5</v>
      </c>
      <c r="K29" s="859"/>
      <c r="M29" s="387" t="s">
        <v>456</v>
      </c>
      <c r="N29" s="387" t="s">
        <v>457</v>
      </c>
      <c r="Q29" s="866">
        <f t="shared" si="1"/>
        <v>86000.01</v>
      </c>
      <c r="R29" s="867">
        <v>108000</v>
      </c>
      <c r="S29" s="905">
        <v>2010</v>
      </c>
      <c r="T29" s="905">
        <v>2410</v>
      </c>
      <c r="U29" s="905">
        <v>2801</v>
      </c>
      <c r="V29" s="905">
        <v>3180</v>
      </c>
      <c r="W29" s="906">
        <v>380</v>
      </c>
      <c r="X29" s="907">
        <v>2987</v>
      </c>
      <c r="Y29" s="905">
        <v>3284</v>
      </c>
      <c r="Z29" s="905">
        <v>3542</v>
      </c>
      <c r="AA29" s="905">
        <v>3787</v>
      </c>
      <c r="AB29" s="905">
        <v>245</v>
      </c>
      <c r="AC29" s="906">
        <v>977</v>
      </c>
    </row>
    <row r="30" spans="1:29" x14ac:dyDescent="0.2">
      <c r="F30" s="813" t="s">
        <v>37</v>
      </c>
      <c r="G30" s="814">
        <v>0.9</v>
      </c>
      <c r="I30" s="176" t="s">
        <v>92</v>
      </c>
      <c r="J30" s="176">
        <v>0</v>
      </c>
      <c r="K30" s="859"/>
      <c r="M30" s="387" t="s">
        <v>458</v>
      </c>
      <c r="N30">
        <v>52</v>
      </c>
      <c r="Q30" s="866">
        <f t="shared" si="1"/>
        <v>108000.01</v>
      </c>
      <c r="R30" s="867">
        <v>129000</v>
      </c>
      <c r="S30" s="905">
        <v>2227</v>
      </c>
      <c r="T30" s="905">
        <v>2626</v>
      </c>
      <c r="U30" s="905">
        <v>3017</v>
      </c>
      <c r="V30" s="905">
        <v>3396</v>
      </c>
      <c r="W30" s="906">
        <v>379</v>
      </c>
      <c r="X30" s="907">
        <v>3203</v>
      </c>
      <c r="Y30" s="905">
        <v>3499</v>
      </c>
      <c r="Z30" s="905">
        <v>3758</v>
      </c>
      <c r="AA30" s="905">
        <v>4001</v>
      </c>
      <c r="AB30" s="905">
        <v>243</v>
      </c>
      <c r="AC30" s="906">
        <v>977</v>
      </c>
    </row>
    <row r="31" spans="1:29" x14ac:dyDescent="0.2">
      <c r="I31" s="9"/>
      <c r="J31" s="861"/>
      <c r="K31" s="861"/>
      <c r="M31" s="387" t="s">
        <v>459</v>
      </c>
      <c r="N31">
        <v>26</v>
      </c>
      <c r="Q31" s="866">
        <f t="shared" si="1"/>
        <v>129000.01</v>
      </c>
      <c r="R31" s="867">
        <v>151000</v>
      </c>
      <c r="S31" s="905">
        <v>2639</v>
      </c>
      <c r="T31" s="905">
        <v>3038</v>
      </c>
      <c r="U31" s="905">
        <v>3428</v>
      </c>
      <c r="V31" s="905">
        <v>3805</v>
      </c>
      <c r="W31" s="906">
        <v>377</v>
      </c>
      <c r="X31" s="907">
        <v>3614</v>
      </c>
      <c r="Y31" s="905">
        <v>3908</v>
      </c>
      <c r="Z31" s="905">
        <v>4168</v>
      </c>
      <c r="AA31" s="905">
        <v>4409</v>
      </c>
      <c r="AB31" s="905">
        <v>241</v>
      </c>
      <c r="AC31" s="906">
        <v>975</v>
      </c>
    </row>
    <row r="32" spans="1:29" x14ac:dyDescent="0.2">
      <c r="F32" s="565" t="s">
        <v>67</v>
      </c>
      <c r="G32" s="833">
        <v>5.0999999999999997E-2</v>
      </c>
      <c r="I32" s="9"/>
      <c r="J32" s="861"/>
      <c r="K32" s="861"/>
      <c r="M32" s="387" t="s">
        <v>460</v>
      </c>
      <c r="N32">
        <v>12</v>
      </c>
      <c r="Q32" s="866">
        <f t="shared" si="1"/>
        <v>151000.01</v>
      </c>
      <c r="R32" s="867">
        <v>172000</v>
      </c>
      <c r="S32" s="905">
        <v>2807</v>
      </c>
      <c r="T32" s="905">
        <v>3206</v>
      </c>
      <c r="U32" s="905">
        <v>3596</v>
      </c>
      <c r="V32" s="905">
        <v>3973</v>
      </c>
      <c r="W32" s="906">
        <v>377</v>
      </c>
      <c r="X32" s="907">
        <v>3782</v>
      </c>
      <c r="Y32" s="905">
        <v>4076</v>
      </c>
      <c r="Z32" s="905">
        <v>4336</v>
      </c>
      <c r="AA32" s="905">
        <v>4576</v>
      </c>
      <c r="AB32" s="905">
        <v>240</v>
      </c>
      <c r="AC32" s="906">
        <v>974</v>
      </c>
    </row>
    <row r="33" spans="1:29" x14ac:dyDescent="0.2">
      <c r="F33" s="834" t="s">
        <v>231</v>
      </c>
      <c r="G33" s="835">
        <v>2.5000000000000001E-2</v>
      </c>
      <c r="I33" s="9"/>
      <c r="J33" s="861"/>
      <c r="K33" s="861"/>
      <c r="M33" s="387" t="s">
        <v>461</v>
      </c>
      <c r="N33">
        <v>4</v>
      </c>
      <c r="Q33" s="866">
        <f t="shared" si="1"/>
        <v>172000.01</v>
      </c>
      <c r="R33" s="867">
        <v>215000</v>
      </c>
      <c r="S33" s="905">
        <v>2974</v>
      </c>
      <c r="T33" s="905">
        <v>3372</v>
      </c>
      <c r="U33" s="905">
        <v>3762</v>
      </c>
      <c r="V33" s="905">
        <v>4138</v>
      </c>
      <c r="W33" s="906">
        <v>376</v>
      </c>
      <c r="X33" s="907">
        <v>3947</v>
      </c>
      <c r="Y33" s="905">
        <v>4241</v>
      </c>
      <c r="Z33" s="905">
        <v>4501</v>
      </c>
      <c r="AA33" s="905">
        <v>4741</v>
      </c>
      <c r="AB33" s="905">
        <v>239</v>
      </c>
      <c r="AC33" s="906">
        <v>974</v>
      </c>
    </row>
    <row r="34" spans="1:29" x14ac:dyDescent="0.2">
      <c r="F34" s="836"/>
      <c r="G34" s="837"/>
      <c r="I34" s="9"/>
      <c r="J34" s="861"/>
      <c r="K34" s="861"/>
      <c r="M34" s="387" t="s">
        <v>462</v>
      </c>
      <c r="N34">
        <v>2</v>
      </c>
      <c r="Q34" s="866">
        <f t="shared" si="1"/>
        <v>215000.01</v>
      </c>
      <c r="R34" s="867">
        <v>269000</v>
      </c>
      <c r="S34" s="905">
        <v>3454</v>
      </c>
      <c r="T34" s="905">
        <v>3852</v>
      </c>
      <c r="U34" s="905">
        <v>4241</v>
      </c>
      <c r="V34" s="905">
        <v>4615</v>
      </c>
      <c r="W34" s="906">
        <v>374</v>
      </c>
      <c r="X34" s="907">
        <v>4426</v>
      </c>
      <c r="Y34" s="905">
        <v>4717</v>
      </c>
      <c r="Z34" s="905">
        <v>4979</v>
      </c>
      <c r="AA34" s="905">
        <v>5216</v>
      </c>
      <c r="AB34" s="905">
        <v>237</v>
      </c>
      <c r="AC34" s="906">
        <v>972</v>
      </c>
    </row>
    <row r="35" spans="1:29" x14ac:dyDescent="0.2">
      <c r="I35" s="9"/>
      <c r="J35" s="861"/>
      <c r="K35" s="861"/>
      <c r="M35" s="387" t="s">
        <v>463</v>
      </c>
      <c r="N35">
        <v>1</v>
      </c>
      <c r="Q35" s="866">
        <f t="shared" si="1"/>
        <v>269000.01</v>
      </c>
      <c r="R35" s="867">
        <v>323000</v>
      </c>
      <c r="S35" s="905">
        <v>3920</v>
      </c>
      <c r="T35" s="905">
        <v>4318</v>
      </c>
      <c r="U35" s="905">
        <v>4707</v>
      </c>
      <c r="V35" s="905">
        <v>5079</v>
      </c>
      <c r="W35" s="906">
        <v>373</v>
      </c>
      <c r="X35" s="907">
        <v>4891</v>
      </c>
      <c r="Y35" s="905">
        <v>5181</v>
      </c>
      <c r="Z35" s="905">
        <v>5444</v>
      </c>
      <c r="AA35" s="905">
        <v>5678</v>
      </c>
      <c r="AB35" s="905">
        <v>234</v>
      </c>
      <c r="AC35" s="906">
        <v>970</v>
      </c>
    </row>
    <row r="36" spans="1:29" x14ac:dyDescent="0.2">
      <c r="A36" s="1034" t="s">
        <v>555</v>
      </c>
      <c r="B36" s="1035"/>
      <c r="C36" s="1036"/>
      <c r="Q36" s="866">
        <f t="shared" si="1"/>
        <v>323000.01</v>
      </c>
      <c r="R36" s="867">
        <v>538000</v>
      </c>
      <c r="S36" s="905">
        <v>4161</v>
      </c>
      <c r="T36" s="905">
        <v>4558</v>
      </c>
      <c r="U36" s="905">
        <v>4947</v>
      </c>
      <c r="V36" s="905">
        <v>5319</v>
      </c>
      <c r="W36" s="906">
        <v>372</v>
      </c>
      <c r="X36" s="907">
        <v>5131</v>
      </c>
      <c r="Y36" s="905">
        <v>5420</v>
      </c>
      <c r="Z36" s="905">
        <v>5684</v>
      </c>
      <c r="AA36" s="905">
        <v>5917</v>
      </c>
      <c r="AB36" s="905">
        <v>233</v>
      </c>
      <c r="AC36" s="906">
        <v>969</v>
      </c>
    </row>
    <row r="37" spans="1:29" ht="13.5" thickBot="1" x14ac:dyDescent="0.25">
      <c r="A37" s="863" t="s">
        <v>556</v>
      </c>
      <c r="B37" s="863" t="s">
        <v>557</v>
      </c>
      <c r="C37" s="863" t="s">
        <v>558</v>
      </c>
      <c r="Q37" s="866">
        <f t="shared" si="1"/>
        <v>538000.01</v>
      </c>
      <c r="R37" s="867" t="s">
        <v>375</v>
      </c>
      <c r="S37" s="908">
        <v>4396</v>
      </c>
      <c r="T37" s="908">
        <v>4793</v>
      </c>
      <c r="U37" s="908">
        <v>5182</v>
      </c>
      <c r="V37" s="908">
        <v>5554</v>
      </c>
      <c r="W37" s="909">
        <v>372</v>
      </c>
      <c r="X37" s="910">
        <v>5365</v>
      </c>
      <c r="Y37" s="908">
        <v>5654</v>
      </c>
      <c r="Z37" s="908">
        <v>5918</v>
      </c>
      <c r="AA37" s="908">
        <v>6151</v>
      </c>
      <c r="AB37" s="908">
        <v>233</v>
      </c>
      <c r="AC37" s="909">
        <v>968</v>
      </c>
    </row>
    <row r="38" spans="1:29" x14ac:dyDescent="0.2">
      <c r="A38" s="862">
        <v>37500</v>
      </c>
      <c r="B38" s="862">
        <v>700</v>
      </c>
      <c r="C38" s="862">
        <v>0</v>
      </c>
      <c r="I38" s="788" t="s">
        <v>327</v>
      </c>
      <c r="J38" s="788" t="s">
        <v>329</v>
      </c>
      <c r="K38" s="788" t="s">
        <v>464</v>
      </c>
      <c r="L38" s="788" t="s">
        <v>465</v>
      </c>
      <c r="M38" s="788" t="s">
        <v>466</v>
      </c>
      <c r="Q38" s="817"/>
      <c r="R38" s="643"/>
      <c r="S38" s="644"/>
      <c r="T38" s="763"/>
      <c r="U38" s="763"/>
      <c r="V38" s="763"/>
      <c r="W38" s="764"/>
      <c r="X38" s="769"/>
      <c r="Y38" s="763"/>
      <c r="Z38" s="763"/>
      <c r="AA38" s="763"/>
      <c r="AB38" s="763"/>
      <c r="AC38" s="764"/>
    </row>
    <row r="39" spans="1:29" x14ac:dyDescent="0.2">
      <c r="A39" s="862">
        <v>45000</v>
      </c>
      <c r="B39" s="862">
        <v>700</v>
      </c>
      <c r="C39" s="862">
        <v>0.05</v>
      </c>
      <c r="I39" s="789">
        <v>0</v>
      </c>
      <c r="J39" s="789">
        <v>0</v>
      </c>
      <c r="K39" s="790">
        <v>0</v>
      </c>
      <c r="L39" s="791">
        <v>0</v>
      </c>
      <c r="M39" s="790">
        <v>0</v>
      </c>
      <c r="Q39" s="817"/>
      <c r="R39" s="762"/>
      <c r="S39" s="763"/>
      <c r="T39" s="763"/>
      <c r="U39" s="763"/>
      <c r="V39" s="763"/>
      <c r="W39" s="764"/>
      <c r="X39" s="769"/>
      <c r="Y39" s="763"/>
      <c r="Z39" s="763"/>
      <c r="AA39" s="763"/>
      <c r="AB39" s="763"/>
      <c r="AC39" s="764"/>
    </row>
    <row r="40" spans="1:29" x14ac:dyDescent="0.2">
      <c r="A40" s="903">
        <v>66667</v>
      </c>
      <c r="B40" s="903">
        <v>325</v>
      </c>
      <c r="C40" s="862">
        <v>1.4999999999999999E-2</v>
      </c>
      <c r="I40" s="789">
        <f>A4</f>
        <v>18200</v>
      </c>
      <c r="J40" s="789">
        <f>I40-(IF(I40&lt;=0,0,(I40-VLOOKUP(I40,Data!$A$3:$C$7,1))*VLOOKUP(I40,Data!$A$3:$C$7,2)+VLOOKUP(I40,Data!$A$3:$C$7,3))+IF(I40&lt;=Data!$B$12,0,IF(I40&lt;=Data!$B$13,(I40-Data!$B$12)*Data!$C$12,I40*Data!$C$13)))</f>
        <v>18200</v>
      </c>
      <c r="K40" s="790">
        <f>B4</f>
        <v>0.19</v>
      </c>
      <c r="L40" s="791">
        <v>0</v>
      </c>
      <c r="M40" s="790">
        <v>0</v>
      </c>
      <c r="Q40" s="817"/>
      <c r="R40" s="762"/>
      <c r="S40" s="763"/>
      <c r="T40" s="765"/>
      <c r="U40" s="765"/>
      <c r="V40" s="765"/>
      <c r="W40" s="766"/>
      <c r="X40" s="770"/>
      <c r="Y40" s="765"/>
      <c r="Z40" s="765"/>
      <c r="AA40" s="765"/>
      <c r="AB40" s="765"/>
      <c r="AC40" s="766"/>
    </row>
    <row r="41" spans="1:29" x14ac:dyDescent="0.2">
      <c r="I41" s="789">
        <f>B12</f>
        <v>22801</v>
      </c>
      <c r="J41" s="789">
        <f>I41-(IF(I41&lt;=0,0,(I41-VLOOKUP(I41,Data!$A$3:$C$7,1))*VLOOKUP(I41,Data!$A$3:$C$7,2)+VLOOKUP(I41,Data!$A$3:$C$7,3))+IF(I41&lt;=Data!$B$12,0,IF(I41&lt;=Data!$B$13,(I41-Data!$B$12)*Data!$C$12,I41*Data!$C$13)))</f>
        <v>21926.81</v>
      </c>
      <c r="K41" s="790">
        <f>B4</f>
        <v>0.19</v>
      </c>
      <c r="L41" s="791">
        <v>0</v>
      </c>
      <c r="M41" s="790">
        <f>C12</f>
        <v>0.1</v>
      </c>
      <c r="Q41" s="817"/>
      <c r="R41" s="762"/>
      <c r="S41" s="763"/>
      <c r="T41" s="763"/>
      <c r="U41" s="763"/>
      <c r="V41" s="763"/>
      <c r="W41" s="764"/>
      <c r="X41" s="769"/>
      <c r="Y41" s="763"/>
      <c r="Z41" s="763"/>
      <c r="AA41" s="763"/>
      <c r="AB41" s="763"/>
      <c r="AC41" s="764"/>
    </row>
    <row r="42" spans="1:29" x14ac:dyDescent="0.2">
      <c r="A42" s="1034" t="s">
        <v>559</v>
      </c>
      <c r="B42" s="1035"/>
      <c r="C42" s="1036"/>
      <c r="I42" s="789">
        <f>B13</f>
        <v>28501</v>
      </c>
      <c r="J42" s="789">
        <f>I42-(IF(I42&lt;=0,0,(I42-VLOOKUP(I42,Data!$A$3:$C$7,1))*VLOOKUP(I42,Data!$A$3:$C$7,2)+VLOOKUP(I42,Data!$A$3:$C$7,3))+IF(I42&lt;=Data!$B$12,0,IF(I42&lt;=Data!$B$13,(I42-Data!$B$12)*Data!$C$12,I42*Data!$C$13)))</f>
        <v>25973.81</v>
      </c>
      <c r="K42" s="790">
        <f>B4</f>
        <v>0.19</v>
      </c>
      <c r="L42" s="791">
        <v>0</v>
      </c>
      <c r="M42" s="790">
        <f>C13</f>
        <v>0.02</v>
      </c>
      <c r="Q42" s="817"/>
      <c r="R42" s="762"/>
      <c r="S42" s="763"/>
      <c r="T42" s="763"/>
      <c r="U42" s="763"/>
      <c r="V42" s="763"/>
      <c r="W42" s="764"/>
      <c r="X42" s="769"/>
      <c r="Y42" s="763"/>
      <c r="Z42" s="763"/>
      <c r="AA42" s="763"/>
      <c r="AB42" s="763"/>
      <c r="AC42" s="764"/>
    </row>
    <row r="43" spans="1:29" ht="13.5" thickBot="1" x14ac:dyDescent="0.25">
      <c r="A43" s="862" t="s">
        <v>556</v>
      </c>
      <c r="B43" s="862" t="s">
        <v>557</v>
      </c>
      <c r="C43" s="862" t="s">
        <v>558</v>
      </c>
      <c r="I43" s="789">
        <f>A5</f>
        <v>45000</v>
      </c>
      <c r="J43" s="789">
        <f>I43-(IF(I43&lt;=0,0,(I43-VLOOKUP(I43,Data!$A$3:$C$7,1))*VLOOKUP(I43,Data!$A$3:$C$7,2)+VLOOKUP(I43,Data!$A$3:$C$7,3))+IF(I43&lt;=Data!$B$12,0,IF(I43&lt;=Data!$B$13,(I43-Data!$B$12)*Data!$C$12,I43*Data!$C$13)))</f>
        <v>39008</v>
      </c>
      <c r="K43" s="790">
        <f>B5</f>
        <v>0.32500000000000001</v>
      </c>
      <c r="L43" s="791">
        <f>C5</f>
        <v>5092</v>
      </c>
      <c r="M43" s="790">
        <f>C13</f>
        <v>0.02</v>
      </c>
      <c r="Q43" s="817"/>
      <c r="R43" s="646"/>
      <c r="S43" s="644"/>
      <c r="T43" s="767"/>
      <c r="U43" s="767"/>
      <c r="V43" s="767"/>
      <c r="W43" s="768"/>
      <c r="X43" s="771"/>
      <c r="Y43" s="767"/>
      <c r="Z43" s="767"/>
      <c r="AA43" s="767"/>
      <c r="AB43" s="767"/>
      <c r="AC43" s="768"/>
    </row>
    <row r="44" spans="1:29" x14ac:dyDescent="0.2">
      <c r="A44" s="862">
        <v>37000</v>
      </c>
      <c r="B44" s="862">
        <v>255</v>
      </c>
      <c r="C44" s="862">
        <v>0</v>
      </c>
      <c r="I44" s="789">
        <f>A6</f>
        <v>120000</v>
      </c>
      <c r="J44" s="789">
        <f>I44-(IF(I44&lt;=0,0,(I44-VLOOKUP(I44,Data!$A$3:$C$7,1))*VLOOKUP(I44,Data!$A$3:$C$7,2)+VLOOKUP(I44,Data!$A$3:$C$7,3))+IF(I44&lt;=Data!$B$12,0,IF(I44&lt;=Data!$B$13,(I44-Data!$B$12)*Data!$C$12,I44*Data!$C$13)))</f>
        <v>88133</v>
      </c>
      <c r="K44" s="790">
        <f t="shared" ref="K44:L45" si="2">B6</f>
        <v>0.37</v>
      </c>
      <c r="L44" s="791">
        <f t="shared" si="2"/>
        <v>29467</v>
      </c>
      <c r="M44" s="790">
        <f>C13</f>
        <v>0.02</v>
      </c>
    </row>
    <row r="45" spans="1:29" x14ac:dyDescent="0.2">
      <c r="A45" s="862">
        <v>48000</v>
      </c>
      <c r="B45" s="862">
        <v>255</v>
      </c>
      <c r="C45" s="862">
        <v>7.4999999999999997E-2</v>
      </c>
      <c r="I45" s="789">
        <f>A7</f>
        <v>180000</v>
      </c>
      <c r="J45" s="789">
        <f>I45-(IF(I45&lt;=0,0,(I45-VLOOKUP(I45,Data!$A$3:$C$7,1))*VLOOKUP(I45,Data!$A$3:$C$7,2)+VLOOKUP(I45,Data!$A$3:$C$7,3))+IF(I45&lt;=Data!$B$12,0,IF(I45&lt;=Data!$B$13,(I45-Data!$B$12)*Data!$C$12,I45*Data!$C$13)))</f>
        <v>124733</v>
      </c>
      <c r="K45" s="790">
        <f t="shared" si="2"/>
        <v>0.45</v>
      </c>
      <c r="L45" s="791">
        <f t="shared" si="2"/>
        <v>51667</v>
      </c>
      <c r="M45" s="790">
        <f>C13</f>
        <v>0.02</v>
      </c>
    </row>
    <row r="46" spans="1:29" x14ac:dyDescent="0.2">
      <c r="A46" s="862">
        <v>90000</v>
      </c>
      <c r="B46" s="862">
        <v>1080</v>
      </c>
      <c r="C46" s="862">
        <v>0</v>
      </c>
    </row>
    <row r="47" spans="1:29" x14ac:dyDescent="0.2">
      <c r="A47" s="862">
        <v>126000</v>
      </c>
      <c r="B47" s="862">
        <v>1080</v>
      </c>
      <c r="C47" s="862">
        <v>0.03</v>
      </c>
    </row>
  </sheetData>
  <sheetProtection algorithmName="SHA-512" hashValue="vCVJ1TdjNAbj08vootuY5h7TX6hoNTmDqKxVGHQv1W08/+WVoWVIAQ8uHLR9tDbm5XM1TaZ4phIrB63vVEsazw==" saltValue="0JRdnqY9jHgulS50SEUTHw==" spinCount="100000" sheet="1" objects="1" scenarios="1"/>
  <customSheetViews>
    <customSheetView guid="{47743E36-E3F1-4AC8-AB28-1C3AD83F86F4}" state="hidden" showRuler="0">
      <selection sqref="A1:C1"/>
      <pageMargins left="0.75" right="0.75" top="1" bottom="1" header="0.5" footer="0.5"/>
      <headerFooter alignWithMargins="0"/>
    </customSheetView>
    <customSheetView guid="{878686E5-D823-11D7-9EB6-0000F6FFAA54}" hiddenRows="1" state="hidden" showRuler="0" topLeftCell="A65536">
      <selection sqref="A1:IV65536"/>
      <pageMargins left="0.75" right="0.75" top="1" bottom="1" header="0.5" footer="0.5"/>
      <headerFooter alignWithMargins="0"/>
    </customSheetView>
  </customSheetViews>
  <mergeCells count="16">
    <mergeCell ref="A36:C36"/>
    <mergeCell ref="A42:C42"/>
    <mergeCell ref="Q21:AC21"/>
    <mergeCell ref="Q1:X1"/>
    <mergeCell ref="A1:C1"/>
    <mergeCell ref="F1:G1"/>
    <mergeCell ref="A22:B22"/>
    <mergeCell ref="M1:O1"/>
    <mergeCell ref="M2:N2"/>
    <mergeCell ref="I1:K1"/>
    <mergeCell ref="I2:J2"/>
    <mergeCell ref="A10:D10"/>
    <mergeCell ref="A21:B21"/>
    <mergeCell ref="A18:B18"/>
    <mergeCell ref="A20:B20"/>
    <mergeCell ref="A19:B19"/>
  </mergeCells>
  <phoneticPr fontId="27" type="noConversion"/>
  <pageMargins left="0.75" right="0.75" top="1" bottom="1" header="0.5" footer="0.5"/>
  <pageSetup paperSize="9" orientation="portrait" r:id="rId1"/>
  <headerFooter alignWithMargins="0">
    <oddFooter>&amp;L&amp;1#&amp;"Arial"&amp;9&amp;K000000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cmdSetupVersion">
                <anchor moveWithCells="1" sizeWithCells="1">
                  <from>
                    <xdr:col>2</xdr:col>
                    <xdr:colOff>0</xdr:colOff>
                    <xdr:row>24</xdr:row>
                    <xdr:rowOff>9525</xdr:rowOff>
                  </from>
                  <to>
                    <xdr:col>3</xdr:col>
                    <xdr:colOff>161925</xdr:colOff>
                    <xdr:row>26</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O64"/>
  <sheetViews>
    <sheetView topLeftCell="A14" workbookViewId="0">
      <selection activeCell="AK25" sqref="AK25"/>
    </sheetView>
  </sheetViews>
  <sheetFormatPr defaultRowHeight="12.75" x14ac:dyDescent="0.2"/>
  <cols>
    <col min="1" max="1" width="29.7109375" customWidth="1"/>
    <col min="2" max="8" width="14.140625" customWidth="1"/>
    <col min="9" max="9" width="4.7109375" customWidth="1"/>
    <col min="10" max="12" width="14.140625" customWidth="1"/>
    <col min="13" max="13" width="4.7109375" customWidth="1"/>
    <col min="14" max="16" width="14.140625" customWidth="1"/>
    <col min="17" max="17" width="4.7109375" customWidth="1"/>
    <col min="18" max="18" width="26.7109375" customWidth="1"/>
    <col min="19" max="20" width="13.7109375" customWidth="1"/>
    <col min="21" max="21" width="12.28515625" customWidth="1"/>
    <col min="28" max="31" width="12.140625" customWidth="1"/>
    <col min="32" max="32" width="14.140625" customWidth="1"/>
    <col min="33" max="39" width="13.140625" customWidth="1"/>
    <col min="40" max="40" width="11.28515625" bestFit="1" customWidth="1"/>
    <col min="41" max="41" width="12.7109375" bestFit="1" customWidth="1"/>
  </cols>
  <sheetData>
    <row r="1" spans="1:41" x14ac:dyDescent="0.2">
      <c r="A1" s="190" t="s">
        <v>153</v>
      </c>
      <c r="B1" s="190"/>
      <c r="C1" s="190"/>
      <c r="D1" s="190"/>
      <c r="E1" s="190"/>
      <c r="F1" s="190"/>
      <c r="G1" s="190"/>
      <c r="H1" s="190"/>
      <c r="I1" s="190"/>
      <c r="J1" s="190"/>
      <c r="K1" s="190"/>
      <c r="L1" s="190"/>
      <c r="M1" s="190"/>
      <c r="N1" s="190"/>
      <c r="O1" s="190"/>
      <c r="P1" s="190"/>
      <c r="Q1" s="190"/>
      <c r="R1" s="227" t="s">
        <v>221</v>
      </c>
      <c r="S1" s="311">
        <f>SUM(Model!G17:J17,Model!G23:J25,Model!G30:J31)+SUM(Model!G18:J18)*Data!C20+SUM(Model!G19:J19)*Data!C20+SUM(Model!G22:J22)*Data!C22</f>
        <v>0</v>
      </c>
      <c r="T1" s="97"/>
      <c r="U1" s="191"/>
      <c r="Z1" s="314">
        <f>IF('Neg Gearing'!C20="",Z2-Data!G33,'Neg Gearing'!C20)</f>
        <v>2.5999999999999995E-2</v>
      </c>
      <c r="AA1" t="s">
        <v>229</v>
      </c>
      <c r="AB1" s="207" t="s">
        <v>232</v>
      </c>
      <c r="AC1" s="207" t="s">
        <v>233</v>
      </c>
      <c r="AD1" s="207" t="s">
        <v>234</v>
      </c>
      <c r="AE1" s="207" t="s">
        <v>235</v>
      </c>
      <c r="AF1" s="207" t="s">
        <v>236</v>
      </c>
      <c r="AG1" s="207" t="s">
        <v>237</v>
      </c>
      <c r="AH1" s="207" t="s">
        <v>238</v>
      </c>
      <c r="AI1" s="207" t="s">
        <v>239</v>
      </c>
      <c r="AJ1" s="207" t="s">
        <v>240</v>
      </c>
      <c r="AK1" s="207" t="s">
        <v>241</v>
      </c>
      <c r="AL1" s="207" t="s">
        <v>242</v>
      </c>
      <c r="AM1" s="207" t="s">
        <v>243</v>
      </c>
      <c r="AN1" s="207" t="s">
        <v>244</v>
      </c>
      <c r="AO1" s="315" t="s">
        <v>245</v>
      </c>
    </row>
    <row r="2" spans="1:41" x14ac:dyDescent="0.2">
      <c r="A2" s="192"/>
      <c r="B2" s="193" t="s">
        <v>85</v>
      </c>
      <c r="C2" s="193" t="s">
        <v>141</v>
      </c>
      <c r="D2" s="194"/>
      <c r="E2" s="96"/>
      <c r="F2" s="193" t="s">
        <v>86</v>
      </c>
      <c r="G2" s="193" t="s">
        <v>141</v>
      </c>
      <c r="H2" s="194"/>
      <c r="I2" s="194"/>
      <c r="J2" s="193" t="s">
        <v>87</v>
      </c>
      <c r="K2" s="193" t="s">
        <v>141</v>
      </c>
      <c r="L2" s="194"/>
      <c r="M2" s="194"/>
      <c r="N2" s="193" t="s">
        <v>88</v>
      </c>
      <c r="O2" s="193" t="s">
        <v>141</v>
      </c>
      <c r="P2" s="194"/>
      <c r="Q2" s="97"/>
      <c r="R2" s="195" t="s">
        <v>222</v>
      </c>
      <c r="S2" s="196">
        <f t="array" ref="S2">SUM(IF('Rental Yield'!$C$30:$C$49&lt;&gt;"",('Rental Yield'!$C$30:$C$49)*('Rental Yield'!F30:F49)))+SUM(IF('Rental Yield'!$C$30:$C$49&lt;&gt;"",('Rental Yield'!$C$30:$C$49)*('Rental Yield'!G30:G49)))+SUM(IF('Rental Yield'!$C$30:$C$49&lt;&gt;"",('Rental Yield'!$C$30:$C$49)*('Rental Yield'!H30:H49)))+SUM(IF('Rental Yield'!$C$30:$C$49&lt;&gt;"",('Rental Yield'!$C$30:$C$49)*('Rental Yield'!I30:I49)))</f>
        <v>0</v>
      </c>
      <c r="T2" s="305"/>
      <c r="U2" s="197" t="s">
        <v>154</v>
      </c>
      <c r="V2" s="198" t="b">
        <f>OR(SUM(Model!G17:G24,Model!G30)&gt;0,Model!G25&lt;&gt;0,Model!G31&lt;&gt;0)</f>
        <v>0</v>
      </c>
      <c r="Z2" s="314">
        <f>MAX(Model!H52,Data!G32)</f>
        <v>5.0999999999999997E-2</v>
      </c>
      <c r="AA2" t="s">
        <v>230</v>
      </c>
      <c r="AB2" s="317">
        <f>'Neg Gearing'!E28</f>
        <v>0</v>
      </c>
      <c r="AC2" s="317">
        <f>'Neg Gearing'!E29</f>
        <v>0</v>
      </c>
      <c r="AD2" s="317">
        <f>'Neg Gearing'!E30</f>
        <v>0</v>
      </c>
      <c r="AE2" s="317">
        <f>'Neg Gearing'!E31</f>
        <v>0</v>
      </c>
      <c r="AF2" s="316">
        <f>MAX(C12,0)</f>
        <v>0</v>
      </c>
      <c r="AG2" s="317">
        <f>MAX(G12,0)</f>
        <v>0</v>
      </c>
      <c r="AH2" s="317">
        <f>MAX(K12,0)</f>
        <v>0</v>
      </c>
      <c r="AI2" s="317">
        <f>MAX(O12,0)</f>
        <v>0</v>
      </c>
      <c r="AJ2" s="316">
        <f>income_tax(AF2)+medicare_levy(AF2)-IF((LITO(AF2,income_tax(AF2))+LMITO(AF2,income_tax(AF2)))&gt;income_tax(AF2),income_tax(AF2),LITO(AF2,income_tax(AF2)))-IF((LITO(AF2,income_tax(AF2))+LMITO(AF2,income_tax(AF2)))&gt;income_tax(AF2),0,LMITO(AF2,income_tax(AF2)))</f>
        <v>0</v>
      </c>
      <c r="AK2" s="316">
        <f>income_tax(AG2)+medicare_levy(AG2)-IF((LITO(AG2,income_tax(AG2))+LMITO(AG2,income_tax(AG2)))&gt;income_tax(AG2),income_tax(AG2),LITO(AG2,income_tax(AG2)))-IF((LITO(AG2,income_tax(AG2))+LMITO(AG2,income_tax(AG2)))&gt;income_tax(AG2),0,LMITO(AG2,income_tax(AG2)))</f>
        <v>0</v>
      </c>
      <c r="AL2" s="316">
        <f>income_tax(AH2)+medicare_levy(AH2)-IF((LITO(AH2,income_tax(AH2))+LMITO(AH2,income_tax(AH2)))&gt;income_tax(AH2),income_tax(AH2),LITO(AH2,income_tax(AH2)))-IF((LITO(AH2,income_tax(AH2))+LMITO(AH2,income_tax(AH2)))&gt;income_tax(AH2),0,LMITO(AH2,income_tax(AH2)))</f>
        <v>0</v>
      </c>
      <c r="AM2" s="316">
        <f>income_tax(AI2)+medicare_levy(AI2)-IF((LITO(AI2,income_tax(AI2))+LMITO(AI2,income_tax(AI2)))&gt;income_tax(AI2),income_tax(AI2),LITO(AI2,income_tax(AI2)))-IF((LITO(AI2,income_tax(AI2))+LMITO(AI2,income_tax(AI2)))&gt;income_tax(AI2),0,LMITO(AI2,income_tax(AI2)))</f>
        <v>0</v>
      </c>
      <c r="AN2" s="360">
        <f>ROUNDDOWN((($C$12+$G$12+$K$12+$O$12+SUM(Model!$L$30:$L$31)-SUM(AJ2:AM2)-Model!$L$34)/12-$F$40)*(1-$S$42)-$S$15,0)</f>
        <v>0</v>
      </c>
      <c r="AO2" s="378">
        <f>ROUNDDOWN(PV($Z$2/12,$Z$3*12,-(AN2-$Z$4)),0)</f>
        <v>0</v>
      </c>
    </row>
    <row r="3" spans="1:41" x14ac:dyDescent="0.2">
      <c r="A3" s="379" t="s">
        <v>370</v>
      </c>
      <c r="B3" s="199">
        <f>Model!G17</f>
        <v>0</v>
      </c>
      <c r="C3" s="199">
        <f>B3</f>
        <v>0</v>
      </c>
      <c r="D3" s="200"/>
      <c r="E3" s="96"/>
      <c r="F3" s="199">
        <f>Model!H17</f>
        <v>0</v>
      </c>
      <c r="G3" s="199">
        <f>F3</f>
        <v>0</v>
      </c>
      <c r="H3" s="200"/>
      <c r="I3" s="200"/>
      <c r="J3" s="199">
        <f>Model!I17</f>
        <v>0</v>
      </c>
      <c r="K3" s="199">
        <f>J3</f>
        <v>0</v>
      </c>
      <c r="L3" s="200"/>
      <c r="M3" s="200"/>
      <c r="N3" s="199">
        <f>Model!J17</f>
        <v>0</v>
      </c>
      <c r="O3" s="199">
        <f>N3</f>
        <v>0</v>
      </c>
      <c r="P3" s="200"/>
      <c r="Q3" s="97"/>
      <c r="R3" s="195" t="s">
        <v>223</v>
      </c>
      <c r="S3" s="196">
        <f t="array" ref="S3">SUM(IF('Rental Yield'!$E$30:$E$49&lt;&gt;"",('Rental Yield'!$E$30:$E$49)*('Rental Yield'!F30:F49)))+SUM(IF('Rental Yield'!$E$30:$E$49&lt;&gt;"",('Rental Yield'!$E$30:$E$49)*('Rental Yield'!G30:G49)))+SUM(IF('Rental Yield'!$E$30:$E$49&lt;&gt;"",('Rental Yield'!$E$30:$E$49)*('Rental Yield'!H30:H49)))+SUM(IF('Rental Yield'!$E$30:$E$49&lt;&gt;"",('Rental Yield'!$E$30:$E$49)*('Rental Yield'!I30:I49)))</f>
        <v>0</v>
      </c>
      <c r="T3" s="306"/>
      <c r="U3" s="3" t="s">
        <v>155</v>
      </c>
      <c r="V3" s="198" t="b">
        <f>IF(Model!H7&gt;0,AND(COUNT(Model!H10:K10)&gt;=Model!H7,COUNT(Model!H12:K12)&gt;=Model!H7,Model!G16&lt;&gt;"",Model!K7="",Model!H11&lt;&gt;"",IF(Model!H7&gt;1,Model!I11&lt;&gt;"",TRUE),IF(Model!H7&gt;2,Model!J11&lt;&gt;"",TRUE),IF(Model!H7&gt;3,Model!K11&lt;&gt;"",TRUE)),FALSE)</f>
        <v>0</v>
      </c>
      <c r="Z3" s="207">
        <f>Model!I52-Model!J52</f>
        <v>0</v>
      </c>
      <c r="AA3" t="s">
        <v>227</v>
      </c>
      <c r="AB3" s="317">
        <f>IF($Z$5,$AO2*$Z$1*'Neg Gearing'!E$20+AB$2,0)</f>
        <v>0</v>
      </c>
      <c r="AC3" s="317">
        <f>IF($Z$5,$AO2*$Z$1*'Neg Gearing'!F$20+AC$2,0)</f>
        <v>0</v>
      </c>
      <c r="AD3" s="317">
        <f>IF($Z$5,$AO2*$Z$1*'Neg Gearing'!G$20+AD$2,0)</f>
        <v>0</v>
      </c>
      <c r="AE3" s="317">
        <f>IF($Z$5,$AO2*$Z$1*'Neg Gearing'!H$20+AE$2,0)</f>
        <v>0</v>
      </c>
      <c r="AF3" s="316">
        <f>MAX(AF$2-AB3,0)</f>
        <v>0</v>
      </c>
      <c r="AG3" s="316">
        <f>MAX(AG$2-AC3,0)</f>
        <v>0</v>
      </c>
      <c r="AH3" s="316">
        <f>MAX(AH$2-AD3,0)</f>
        <v>0</v>
      </c>
      <c r="AI3" s="316">
        <f>MAX(AI$2-AE3,0)</f>
        <v>0</v>
      </c>
      <c r="AJ3" s="316">
        <f>income_tax(AF3)+medicare_levy(AF3)-IF((LITO(AF3,income_tax(AF3))+LMITO(AF3,income_tax(AF3)))&gt;income_tax(AF3),income_tax(AF3),LITO(AF3,income_tax(AF3)))-IF((LITO(AF3,income_tax(AF3))+LMITO(AF3,income_tax(AF3)))&gt;income_tax(AF3),0,LMITO(AF3,income_tax(AF3)))</f>
        <v>0</v>
      </c>
      <c r="AK3" s="316">
        <f>income_tax(AG3)+medicare_levy(AG3)-IF((LITO(AG3,income_tax(AG3))+LMITO(AG3,income_tax(AG3)))&gt;income_tax(AG3),income_tax(AG3),LITO(AG3,income_tax(AG3)))-IF((LITO(AG3,income_tax(AG3))+LMITO(AG3,income_tax(AG3)))&gt;income_tax(AG3),0,LMITO(AG3,income_tax(AG3)))</f>
        <v>0</v>
      </c>
      <c r="AL3" s="316">
        <f>income_tax(AH3)+medicare_levy(AH3)-IF((LITO(AH3,income_tax(AH3))+LMITO(AH3,income_tax(AH3)))&gt;income_tax(AH3),income_tax(AH3),LITO(AH3,income_tax(AH3)))-IF((LITO(AH3,income_tax(AH3))+LMITO(AH3,income_tax(AH3)))&gt;income_tax(AH3),0,LMITO(AH3,income_tax(AH3)))</f>
        <v>0</v>
      </c>
      <c r="AM3" s="316">
        <f>income_tax(AI3)+medicare_levy(AI3)-IF((LITO(AI3,income_tax(AI3))+LMITO(AI3,income_tax(AI3)))&gt;income_tax(AI3),income_tax(AI3),LITO(AI3,income_tax(AI3)))-IF((LITO(AI3,income_tax(AI3))+LMITO(AI3,income_tax(AI3)))&gt;income_tax(AI3),0,LMITO(AI3,income_tax(AI3)))</f>
        <v>0</v>
      </c>
      <c r="AN3" s="360">
        <f>ROUNDDOWN((($C$12+$G$12+$K$12+$O$12+SUM(Model!$L$30:$L$31)-SUM(AJ3:AM3)-Model!$L$34)/12-$F$40)*(1-$S$42)-$S$15,0)</f>
        <v>0</v>
      </c>
      <c r="AO3" s="378">
        <f t="shared" ref="AO3:AO12" si="0">ROUNDDOWN(PV($Z$2/12,$Z$3*12,-(AN3-$Z$4)),0)</f>
        <v>0</v>
      </c>
    </row>
    <row r="4" spans="1:41" x14ac:dyDescent="0.2">
      <c r="A4" s="379" t="s">
        <v>369</v>
      </c>
      <c r="B4" s="199">
        <f>Model!G18</f>
        <v>0</v>
      </c>
      <c r="C4" s="199">
        <f>B4*Data!$C$20</f>
        <v>0</v>
      </c>
      <c r="D4" s="200"/>
      <c r="E4" s="96"/>
      <c r="F4" s="199">
        <f>Model!H18</f>
        <v>0</v>
      </c>
      <c r="G4" s="199">
        <f>F4*Data!$C$20</f>
        <v>0</v>
      </c>
      <c r="H4" s="200"/>
      <c r="I4" s="200"/>
      <c r="J4" s="199">
        <f>Model!I18</f>
        <v>0</v>
      </c>
      <c r="K4" s="199">
        <f>J4*Data!$C$20</f>
        <v>0</v>
      </c>
      <c r="L4" s="200"/>
      <c r="M4" s="200"/>
      <c r="N4" s="199">
        <f>Model!J18</f>
        <v>0</v>
      </c>
      <c r="O4" s="199">
        <f>N4*Data!$C$20</f>
        <v>0</v>
      </c>
      <c r="P4" s="200"/>
      <c r="Q4" s="97"/>
      <c r="R4" s="195" t="s">
        <v>224</v>
      </c>
      <c r="S4" s="196">
        <f>SUM(S1:S2)</f>
        <v>0</v>
      </c>
      <c r="T4" s="305"/>
      <c r="U4" s="191" t="s">
        <v>156</v>
      </c>
      <c r="V4" s="198" t="b">
        <f>AND(U15,W15,NOT(T23),U23,W23)</f>
        <v>0</v>
      </c>
      <c r="Z4" s="372">
        <f>Model!K52</f>
        <v>0</v>
      </c>
      <c r="AA4" t="s">
        <v>228</v>
      </c>
      <c r="AB4" s="317">
        <f>IF($Z$5,$AO3*$Z$1*'Neg Gearing'!E$20+AB$2,0)</f>
        <v>0</v>
      </c>
      <c r="AC4" s="317">
        <f>IF($Z$5,$AO3*$Z$1*'Neg Gearing'!F$20+AC$2,0)</f>
        <v>0</v>
      </c>
      <c r="AD4" s="317">
        <f>IF($Z$5,$AO3*$Z$1*'Neg Gearing'!G$20+AD$2,0)</f>
        <v>0</v>
      </c>
      <c r="AE4" s="317">
        <f>IF($Z$5,$AO3*$Z$1*'Neg Gearing'!H$20+AE$2,0)</f>
        <v>0</v>
      </c>
      <c r="AF4" s="316">
        <f t="shared" ref="AF4:AG12" si="1">MAX(AF$2-AB4,0)</f>
        <v>0</v>
      </c>
      <c r="AG4" s="316">
        <f t="shared" si="1"/>
        <v>0</v>
      </c>
      <c r="AH4" s="316">
        <f t="shared" ref="AH4:AH12" si="2">MAX(AH$2-AD4,0)</f>
        <v>0</v>
      </c>
      <c r="AI4" s="316">
        <f t="shared" ref="AI4:AI12" si="3">MAX(AI$2-AE4,0)</f>
        <v>0</v>
      </c>
      <c r="AJ4" s="316">
        <f>income_tax(AF4)+medicare_levy(AF4)-IF((LITO(AF4,income_tax(AF4))+LMITO(AF4,income_tax(AF4)))&gt;income_tax(AF4),income_tax(AF4),LITO(AF4,income_tax(AF4)))-IF((LITO(AF4,income_tax(AF4))+LMITO(AF4,income_tax(AF4)))&gt;income_tax(AF4),0,LMITO(AF4,income_tax(AF4)))</f>
        <v>0</v>
      </c>
      <c r="AK4" s="316">
        <f>income_tax(AG4)+medicare_levy(AG4)-IF((LITO(AG4,income_tax(AG4))+LMITO(AG4,income_tax(AG4)))&gt;income_tax(AG4),income_tax(AG4),LITO(AG4,income_tax(AG4)))-IF((LITO(AG4,income_tax(AG4))+LMITO(AG4,income_tax(AG4)))&gt;income_tax(AG4),0,LMITO(AG4,income_tax(AG4)))</f>
        <v>0</v>
      </c>
      <c r="AL4" s="316">
        <f>income_tax(AH4)+medicare_levy(AH4)-IF((LITO(AH4,income_tax(AH4))+LMITO(AH4,income_tax(AH4)))&gt;income_tax(AH4),income_tax(AH4),LITO(AH4,income_tax(AH4)))-IF((LITO(AH4,income_tax(AH4))+LMITO(AH4,income_tax(AH4)))&gt;income_tax(AH4),0,LMITO(AH4,income_tax(AH4)))</f>
        <v>0</v>
      </c>
      <c r="AM4" s="316">
        <f>income_tax(AI4)+medicare_levy(AI4)-IF((LITO(AI4,income_tax(AI4))+LMITO(AI4,income_tax(AI4)))&gt;income_tax(AI4),income_tax(AI4),LITO(AI4,income_tax(AI4)))-IF((LITO(AI4,income_tax(AI4))+LMITO(AI4,income_tax(AI4)))&gt;income_tax(AI4),0,LMITO(AI4,income_tax(AI4)))</f>
        <v>0</v>
      </c>
      <c r="AN4" s="360">
        <f>ROUNDDOWN((($C$12+$G$12+$K$12+$O$12+SUM(Model!$L$30:$L$31)-SUM(AJ4:AM4)-Model!$L$34)/12-$F$40)*(1-$S$42)-$S$15,0)</f>
        <v>0</v>
      </c>
      <c r="AO4" s="378">
        <f t="shared" si="0"/>
        <v>0</v>
      </c>
    </row>
    <row r="5" spans="1:41" ht="12.75" customHeight="1" x14ac:dyDescent="0.2">
      <c r="A5" s="379" t="s">
        <v>270</v>
      </c>
      <c r="B5" s="199">
        <f>Model!G19</f>
        <v>0</v>
      </c>
      <c r="C5" s="199">
        <f>B5*Data!$C$21</f>
        <v>0</v>
      </c>
      <c r="D5" s="200"/>
      <c r="E5" s="96"/>
      <c r="F5" s="199">
        <f>Model!H19</f>
        <v>0</v>
      </c>
      <c r="G5" s="199">
        <f>F5*Data!$C$21</f>
        <v>0</v>
      </c>
      <c r="H5" s="200"/>
      <c r="I5" s="200"/>
      <c r="J5" s="199">
        <f>Model!I19</f>
        <v>0</v>
      </c>
      <c r="K5" s="199">
        <f>J5*Data!$C$21</f>
        <v>0</v>
      </c>
      <c r="L5" s="200"/>
      <c r="M5" s="200"/>
      <c r="N5" s="199">
        <f>Model!J19</f>
        <v>0</v>
      </c>
      <c r="O5" s="199">
        <f>N5*Data!$C$21</f>
        <v>0</v>
      </c>
      <c r="P5" s="200"/>
      <c r="Q5" s="97"/>
      <c r="R5" s="309"/>
      <c r="S5" s="310"/>
      <c r="T5" s="97"/>
      <c r="U5" s="201" t="s">
        <v>157</v>
      </c>
      <c r="V5" s="202" t="b">
        <f>AND(V2:V4)</f>
        <v>0</v>
      </c>
      <c r="Z5" s="207" t="b">
        <f>AND(Model!E66="Investment",Model!F66="Yes")</f>
        <v>0</v>
      </c>
      <c r="AA5" t="s">
        <v>160</v>
      </c>
      <c r="AB5" s="317">
        <f>IF($Z$5,$AO4*$Z$1*'Neg Gearing'!E$20+AB$2,0)</f>
        <v>0</v>
      </c>
      <c r="AC5" s="317">
        <f>IF($Z$5,$AO4*$Z$1*'Neg Gearing'!F$20+AC$2,0)</f>
        <v>0</v>
      </c>
      <c r="AD5" s="317">
        <f>IF($Z$5,$AO4*$Z$1*'Neg Gearing'!G$20+AD$2,0)</f>
        <v>0</v>
      </c>
      <c r="AE5" s="317">
        <f>IF($Z$5,$AO4*$Z$1*'Neg Gearing'!H$20+AE$2,0)</f>
        <v>0</v>
      </c>
      <c r="AF5" s="316">
        <f t="shared" si="1"/>
        <v>0</v>
      </c>
      <c r="AG5" s="316">
        <f t="shared" si="1"/>
        <v>0</v>
      </c>
      <c r="AH5" s="316">
        <f t="shared" si="2"/>
        <v>0</v>
      </c>
      <c r="AI5" s="316">
        <f t="shared" si="3"/>
        <v>0</v>
      </c>
      <c r="AJ5" s="316">
        <f>income_tax(AF5)+medicare_levy(AF5)-IF((LITO(AF5,income_tax(AF5))+LMITO(AF5,income_tax(AF5)))&gt;income_tax(AF5),income_tax(AF5),LITO(AF5,income_tax(AF5)))-IF((LITO(AF5,income_tax(AF5))+LMITO(AF5,income_tax(AF5)))&gt;income_tax(AF5),0,LMITO(AF5,income_tax(AF5)))</f>
        <v>0</v>
      </c>
      <c r="AK5" s="316">
        <f>income_tax(AG5)+medicare_levy(AG5)-IF((LITO(AG5,income_tax(AG5))+LMITO(AG5,income_tax(AG5)))&gt;income_tax(AG5),income_tax(AG5),LITO(AG5,income_tax(AG5)))-IF((LITO(AG5,income_tax(AG5))+LMITO(AG5,income_tax(AG5)))&gt;income_tax(AG5),0,LMITO(AG5,income_tax(AG5)))</f>
        <v>0</v>
      </c>
      <c r="AL5" s="316">
        <f>income_tax(AH5)+medicare_levy(AH5)-IF((LITO(AH5,income_tax(AH5))+LMITO(AH5,income_tax(AH5)))&gt;income_tax(AH5),income_tax(AH5),LITO(AH5,income_tax(AH5)))-IF((LITO(AH5,income_tax(AH5))+LMITO(AH5,income_tax(AH5)))&gt;income_tax(AH5),0,LMITO(AH5,income_tax(AH5)))</f>
        <v>0</v>
      </c>
      <c r="AM5" s="316">
        <f>income_tax(AI5)+medicare_levy(AI5)-IF((LITO(AI5,income_tax(AI5))+LMITO(AI5,income_tax(AI5)))&gt;income_tax(AI5),income_tax(AI5),LITO(AI5,income_tax(AI5)))-IF((LITO(AI5,income_tax(AI5))+LMITO(AI5,income_tax(AI5)))&gt;income_tax(AI5),0,LMITO(AI5,income_tax(AI5)))</f>
        <v>0</v>
      </c>
      <c r="AN5" s="360">
        <f>ROUNDDOWN((($C$12+$G$12+$K$12+$O$12+SUM(Model!$L$30:$L$31)-SUM(AJ5:AM5)-Model!$L$34)/12-$F$40)*(1-$S$42)-$S$15,0)</f>
        <v>0</v>
      </c>
      <c r="AO5" s="378">
        <f t="shared" si="0"/>
        <v>0</v>
      </c>
    </row>
    <row r="6" spans="1:41" x14ac:dyDescent="0.2">
      <c r="A6" s="41" t="s">
        <v>34</v>
      </c>
      <c r="B6" s="199">
        <f>Model!G20</f>
        <v>0</v>
      </c>
      <c r="C6" s="199">
        <f>B6</f>
        <v>0</v>
      </c>
      <c r="D6" s="200"/>
      <c r="E6" s="96"/>
      <c r="F6" s="199">
        <f>Model!H20</f>
        <v>0</v>
      </c>
      <c r="G6" s="199">
        <f>F6</f>
        <v>0</v>
      </c>
      <c r="H6" s="200"/>
      <c r="I6" s="200"/>
      <c r="J6" s="199">
        <f>Model!I20</f>
        <v>0</v>
      </c>
      <c r="K6" s="199">
        <f>J6</f>
        <v>0</v>
      </c>
      <c r="L6" s="200"/>
      <c r="M6" s="200"/>
      <c r="N6" s="199">
        <f>Model!J20</f>
        <v>0</v>
      </c>
      <c r="O6" s="199">
        <f>N6</f>
        <v>0</v>
      </c>
      <c r="P6" s="200"/>
      <c r="Q6" s="97"/>
      <c r="R6" s="647" t="s">
        <v>376</v>
      </c>
      <c r="S6" s="648">
        <f>C12+G12+K12+O12+Model!L30+Model!L31</f>
        <v>0</v>
      </c>
      <c r="T6" s="97"/>
      <c r="AB6" s="317">
        <f>IF($Z$5,$AO5*$Z$1*'Neg Gearing'!E$20+AB$2,0)</f>
        <v>0</v>
      </c>
      <c r="AC6" s="317">
        <f>IF($Z$5,$AO5*$Z$1*'Neg Gearing'!F$20+AC$2,0)</f>
        <v>0</v>
      </c>
      <c r="AD6" s="317">
        <f>IF($Z$5,$AO5*$Z$1*'Neg Gearing'!G$20+AD$2,0)</f>
        <v>0</v>
      </c>
      <c r="AE6" s="317">
        <f>IF($Z$5,$AO5*$Z$1*'Neg Gearing'!H$20+AE$2,0)</f>
        <v>0</v>
      </c>
      <c r="AF6" s="316">
        <f t="shared" si="1"/>
        <v>0</v>
      </c>
      <c r="AG6" s="316">
        <f t="shared" si="1"/>
        <v>0</v>
      </c>
      <c r="AH6" s="316">
        <f t="shared" si="2"/>
        <v>0</v>
      </c>
      <c r="AI6" s="316">
        <f t="shared" si="3"/>
        <v>0</v>
      </c>
      <c r="AJ6" s="316">
        <f>income_tax(AF6)+medicare_levy(AF6)-IF((LITO(AF6,income_tax(AF6))+LMITO(AF6,income_tax(AF6)))&gt;income_tax(AF6),income_tax(AF6),LITO(AF6,income_tax(AF6)))-IF((LITO(AF6,income_tax(AF6))+LMITO(AF6,income_tax(AF6)))&gt;income_tax(AF6),0,LMITO(AF6,income_tax(AF6)))</f>
        <v>0</v>
      </c>
      <c r="AK6" s="316">
        <f>income_tax(AG6)+medicare_levy(AG6)-IF((LITO(AG6,income_tax(AG6))+LMITO(AG6,income_tax(AG6)))&gt;income_tax(AG6),income_tax(AG6),LITO(AG6,income_tax(AG6)))-IF((LITO(AG6,income_tax(AG6))+LMITO(AG6,income_tax(AG6)))&gt;income_tax(AG6),0,LMITO(AG6,income_tax(AG6)))</f>
        <v>0</v>
      </c>
      <c r="AL6" s="316">
        <f>income_tax(AH6)+medicare_levy(AH6)-IF((LITO(AH6,income_tax(AH6))+LMITO(AH6,income_tax(AH6)))&gt;income_tax(AH6),income_tax(AH6),LITO(AH6,income_tax(AH6)))-IF((LITO(AH6,income_tax(AH6))+LMITO(AH6,income_tax(AH6)))&gt;income_tax(AH6),0,LMITO(AH6,income_tax(AH6)))</f>
        <v>0</v>
      </c>
      <c r="AM6" s="316">
        <f>income_tax(AI6)+medicare_levy(AI6)-IF((LITO(AI6,income_tax(AI6))+LMITO(AI6,income_tax(AI6)))&gt;income_tax(AI6),income_tax(AI6),LITO(AI6,income_tax(AI6)))-IF((LITO(AI6,income_tax(AI6))+LMITO(AI6,income_tax(AI6)))&gt;income_tax(AI6),0,LMITO(AI6,income_tax(AI6)))</f>
        <v>0</v>
      </c>
      <c r="AN6" s="360">
        <f>ROUNDDOWN((($C$12+$G$12+$K$12+$O$12+SUM(Model!$L$30:$L$31)-SUM(AJ6:AM6)-Model!$L$34)/12-$F$40)*(1-$S$42)-$S$15,0)</f>
        <v>0</v>
      </c>
      <c r="AO6" s="378">
        <f t="shared" si="0"/>
        <v>0</v>
      </c>
    </row>
    <row r="7" spans="1:41" x14ac:dyDescent="0.2">
      <c r="A7" s="41" t="s">
        <v>35</v>
      </c>
      <c r="B7" s="199">
        <f>Model!G21</f>
        <v>0</v>
      </c>
      <c r="C7" s="199">
        <f>B7</f>
        <v>0</v>
      </c>
      <c r="D7" s="200"/>
      <c r="E7" s="96"/>
      <c r="F7" s="199">
        <f>Model!H21</f>
        <v>0</v>
      </c>
      <c r="G7" s="199">
        <f>F7</f>
        <v>0</v>
      </c>
      <c r="H7" s="200"/>
      <c r="I7" s="200"/>
      <c r="J7" s="199">
        <f>Model!I21</f>
        <v>0</v>
      </c>
      <c r="K7" s="199">
        <f>J7</f>
        <v>0</v>
      </c>
      <c r="L7" s="200"/>
      <c r="M7" s="200"/>
      <c r="N7" s="199">
        <f>Model!J21</f>
        <v>0</v>
      </c>
      <c r="O7" s="199">
        <f>N7</f>
        <v>0</v>
      </c>
      <c r="P7" s="200"/>
      <c r="Q7" s="97"/>
      <c r="R7" s="97"/>
      <c r="S7" s="97"/>
      <c r="T7" s="203" t="s">
        <v>158</v>
      </c>
      <c r="U7" s="204" t="s">
        <v>159</v>
      </c>
      <c r="V7" s="204" t="s">
        <v>160</v>
      </c>
      <c r="W7" s="205" t="s">
        <v>159</v>
      </c>
      <c r="X7" s="205" t="s">
        <v>501</v>
      </c>
      <c r="AB7" s="317">
        <f>IF($Z$5,$AO6*$Z$1*'Neg Gearing'!E$20+AB$2,0)</f>
        <v>0</v>
      </c>
      <c r="AC7" s="317">
        <f>IF($Z$5,$AO6*$Z$1*'Neg Gearing'!F$20+AC$2,0)</f>
        <v>0</v>
      </c>
      <c r="AD7" s="317">
        <f>IF($Z$5,$AO6*$Z$1*'Neg Gearing'!G$20+AD$2,0)</f>
        <v>0</v>
      </c>
      <c r="AE7" s="317">
        <f>IF($Z$5,$AO6*$Z$1*'Neg Gearing'!H$20+AE$2,0)</f>
        <v>0</v>
      </c>
      <c r="AF7" s="316">
        <f t="shared" si="1"/>
        <v>0</v>
      </c>
      <c r="AG7" s="316">
        <f t="shared" si="1"/>
        <v>0</v>
      </c>
      <c r="AH7" s="316">
        <f t="shared" si="2"/>
        <v>0</v>
      </c>
      <c r="AI7" s="316">
        <f t="shared" si="3"/>
        <v>0</v>
      </c>
      <c r="AJ7" s="316">
        <f>income_tax(AF7)+medicare_levy(AF7)-IF((LITO(AF7,income_tax(AF7))+LMITO(AF7,income_tax(AF7)))&gt;income_tax(AF7),income_tax(AF7),LITO(AF7,income_tax(AF7)))-IF((LITO(AF7,income_tax(AF7))+LMITO(AF7,income_tax(AF7)))&gt;income_tax(AF7),0,LMITO(AF7,income_tax(AF7)))</f>
        <v>0</v>
      </c>
      <c r="AK7" s="316">
        <f>income_tax(AG7)+medicare_levy(AG7)-IF((LITO(AG7,income_tax(AG7))+LMITO(AG7,income_tax(AG7)))&gt;income_tax(AG7),income_tax(AG7),LITO(AG7,income_tax(AG7)))-IF((LITO(AG7,income_tax(AG7))+LMITO(AG7,income_tax(AG7)))&gt;income_tax(AG7),0,LMITO(AG7,income_tax(AG7)))</f>
        <v>0</v>
      </c>
      <c r="AL7" s="316">
        <f>income_tax(AH7)+medicare_levy(AH7)-IF((LITO(AH7,income_tax(AH7))+LMITO(AH7,income_tax(AH7)))&gt;income_tax(AH7),income_tax(AH7),LITO(AH7,income_tax(AH7)))-IF((LITO(AH7,income_tax(AH7))+LMITO(AH7,income_tax(AH7)))&gt;income_tax(AH7),0,LMITO(AH7,income_tax(AH7)))</f>
        <v>0</v>
      </c>
      <c r="AM7" s="316">
        <f>income_tax(AI7)+medicare_levy(AI7)-IF((LITO(AI7,income_tax(AI7))+LMITO(AI7,income_tax(AI7)))&gt;income_tax(AI7),income_tax(AI7),LITO(AI7,income_tax(AI7)))-IF((LITO(AI7,income_tax(AI7))+LMITO(AI7,income_tax(AI7)))&gt;income_tax(AI7),0,LMITO(AI7,income_tax(AI7)))</f>
        <v>0</v>
      </c>
      <c r="AN7" s="360">
        <f>ROUNDDOWN((($C$12+$G$12+$K$12+$O$12+SUM(Model!$L$30:$L$31)-SUM(AJ7:AM7)-Model!$L$34)/12-$F$40)*(1-$S$42)-$S$15,0)</f>
        <v>0</v>
      </c>
      <c r="AO7" s="378">
        <f t="shared" si="0"/>
        <v>0</v>
      </c>
    </row>
    <row r="8" spans="1:41" x14ac:dyDescent="0.2">
      <c r="A8" s="41" t="s">
        <v>36</v>
      </c>
      <c r="B8" s="199">
        <f>Model!G22</f>
        <v>0</v>
      </c>
      <c r="C8" s="199">
        <f>B8*Data!$C$22</f>
        <v>0</v>
      </c>
      <c r="D8" s="200"/>
      <c r="E8" s="96"/>
      <c r="F8" s="199">
        <f>Model!H22</f>
        <v>0</v>
      </c>
      <c r="G8" s="199">
        <f>F8*Data!$C$22</f>
        <v>0</v>
      </c>
      <c r="H8" s="200"/>
      <c r="I8" s="200"/>
      <c r="J8" s="199">
        <f>Model!I22</f>
        <v>0</v>
      </c>
      <c r="K8" s="199">
        <f>J8*Data!$C$22</f>
        <v>0</v>
      </c>
      <c r="L8" s="200"/>
      <c r="M8" s="200"/>
      <c r="N8" s="199">
        <f>Model!J22</f>
        <v>0</v>
      </c>
      <c r="O8" s="199">
        <f>N8*Data!$C$22</f>
        <v>0</v>
      </c>
      <c r="P8" s="200"/>
      <c r="Q8" s="97"/>
      <c r="R8" s="206" t="s">
        <v>161</v>
      </c>
      <c r="S8" s="355">
        <f>IF(AND(NOT(T8),U8),ROUNDUP(IF(OR(Model!E39="Yes",Model!B39="Margin Loan"),0,IF(Model!B39="Credit Card",MAX(Data!$G$22,MAX(Model!F39:G39)*Data!$G$16),IF(Model!B39="Overdraft",MAX(Model!F39:G39)*Data!$G$18,IF(Model!B39="Commercial Bill",MAX(Model!F39:G39)*Data!$G$20,IF(OR(Model!B39="OFI home loan (Other financial institution)",Model!B39="OFI Line of Credit (Other financial institution)"),Model!J39*(1+Data!$G$26)+Model!K39,Model!J39+Model!K39))))),),0)</f>
        <v>0</v>
      </c>
      <c r="T8" s="206" t="b">
        <f>AND(ISBLANK(Model!B39),ISBLANK(Model!C39),ISBLANK(Model!D39),ISBLANK(Model!E39),ISBLANK(Model!F39),ISBLANK(Model!H39),ISBLANK(Model!I39),ISBLANK(Model!J39),ISBLANK(Model!K39))</f>
        <v>1</v>
      </c>
      <c r="U8" s="198" t="b">
        <f>IF(T8,TRUE,IF(OR(Model!B39="Credit Card",Model!B39="Overdraft",Model!B39="Commercial Bill"),AND(Model!F39&lt;&gt;"",Model!G39&lt;&gt;""),IF(Model!B39="Margin Loan",Model!G39&lt;&gt;"",IF(Model!B39="HECS",Model!J39&lt;&gt;"",
IF(AND(Model!E39&lt;&gt;"Yes",OR(Model!B39="Personal Loan",Model!B39="Lease",Model!B39="Hire Purchase",Model!B39="Other")),AND(Model!J39&lt;&gt;"",Model!K39&lt;&gt;""),IF(Model!E39="Yes",Model!F39&lt;&gt;"",
IF(OR(Model!B39="CBA Variable Rate Home Loan",Model!B39="CBA Fixed Rate Home Loan",Model!B39="OFI home loan (Other financial institution)"),AND(Model!C39&lt;&gt;"",Model!F39&lt;&gt;"",Model!H39&lt;&gt;"",Model!I39&lt;&gt;"",Model!K39&lt;&gt;""),IF(OR(Model!B39="CBA Line of Credit",Model!B39="OFI Line of Credit (Other financial institution)"),AND(Model!F39&lt;&gt;"",Model!I39&lt;&gt;"",Model!K39&lt;&gt;""),FALSE))))))))</f>
        <v>1</v>
      </c>
      <c r="V8" s="207" t="b">
        <f>IF(AND(Model!C39="Investment",Model!D39="Yes",NOT(Model!E39="Yes")),TRUE,FALSE)</f>
        <v>0</v>
      </c>
      <c r="W8" s="207" t="b">
        <f>IF(NOT(V8),TRUE,AND('Neg Gearing'!C8&lt;&gt;"",COUNTBLANK('Neg Gearing'!E8:H8)&lt;4))</f>
        <v>1</v>
      </c>
      <c r="X8" s="854">
        <f>IF(U8,MAX(Model!F39:G39),0)</f>
        <v>0</v>
      </c>
      <c r="AB8" s="317">
        <f>IF($Z$5,$AO7*$Z$1*'Neg Gearing'!E$20+AB$2,0)</f>
        <v>0</v>
      </c>
      <c r="AC8" s="317">
        <f>IF($Z$5,$AO7*$Z$1*'Neg Gearing'!F$20+AC$2,0)</f>
        <v>0</v>
      </c>
      <c r="AD8" s="317">
        <f>IF($Z$5,$AO7*$Z$1*'Neg Gearing'!G$20+AD$2,0)</f>
        <v>0</v>
      </c>
      <c r="AE8" s="317">
        <f>IF($Z$5,$AO7*$Z$1*'Neg Gearing'!H$20+AE$2,0)</f>
        <v>0</v>
      </c>
      <c r="AF8" s="316">
        <f t="shared" si="1"/>
        <v>0</v>
      </c>
      <c r="AG8" s="316">
        <f t="shared" si="1"/>
        <v>0</v>
      </c>
      <c r="AH8" s="316">
        <f t="shared" si="2"/>
        <v>0</v>
      </c>
      <c r="AI8" s="316">
        <f t="shared" si="3"/>
        <v>0</v>
      </c>
      <c r="AJ8" s="316">
        <f>income_tax(AF8)+medicare_levy(AF8)-IF((LITO(AF8,income_tax(AF8))+LMITO(AF8,income_tax(AF8)))&gt;income_tax(AF8),income_tax(AF8),LITO(AF8,income_tax(AF8)))-IF((LITO(AF8,income_tax(AF8))+LMITO(AF8,income_tax(AF8)))&gt;income_tax(AF8),0,LMITO(AF8,income_tax(AF8)))</f>
        <v>0</v>
      </c>
      <c r="AK8" s="316">
        <f>income_tax(AG8)+medicare_levy(AG8)-IF((LITO(AG8,income_tax(AG8))+LMITO(AG8,income_tax(AG8)))&gt;income_tax(AG8),income_tax(AG8),LITO(AG8,income_tax(AG8)))-IF((LITO(AG8,income_tax(AG8))+LMITO(AG8,income_tax(AG8)))&gt;income_tax(AG8),0,LMITO(AG8,income_tax(AG8)))</f>
        <v>0</v>
      </c>
      <c r="AL8" s="316">
        <f>income_tax(AH8)+medicare_levy(AH8)-IF((LITO(AH8,income_tax(AH8))+LMITO(AH8,income_tax(AH8)))&gt;income_tax(AH8),income_tax(AH8),LITO(AH8,income_tax(AH8)))-IF((LITO(AH8,income_tax(AH8))+LMITO(AH8,income_tax(AH8)))&gt;income_tax(AH8),0,LMITO(AH8,income_tax(AH8)))</f>
        <v>0</v>
      </c>
      <c r="AM8" s="316">
        <f>income_tax(AI8)+medicare_levy(AI8)-IF((LITO(AI8,income_tax(AI8))+LMITO(AI8,income_tax(AI8)))&gt;income_tax(AI8),income_tax(AI8),LITO(AI8,income_tax(AI8)))-IF((LITO(AI8,income_tax(AI8))+LMITO(AI8,income_tax(AI8)))&gt;income_tax(AI8),0,LMITO(AI8,income_tax(AI8)))</f>
        <v>0</v>
      </c>
      <c r="AN8" s="360">
        <f>ROUNDDOWN((($C$12+$G$12+$K$12+$O$12+SUM(Model!$L$30:$L$31)-SUM(AJ8:AM8)-Model!$L$34)/12-$F$40)*(1-$S$42)-$S$15,0)</f>
        <v>0</v>
      </c>
      <c r="AO8" s="378">
        <f t="shared" si="0"/>
        <v>0</v>
      </c>
    </row>
    <row r="9" spans="1:41" x14ac:dyDescent="0.2">
      <c r="A9" s="41" t="s">
        <v>37</v>
      </c>
      <c r="B9" s="199">
        <f>Model!G23</f>
        <v>0</v>
      </c>
      <c r="C9" s="199">
        <f>B9*Data!G30</f>
        <v>0</v>
      </c>
      <c r="D9" s="200"/>
      <c r="E9" s="96"/>
      <c r="F9" s="199">
        <f>Model!H23</f>
        <v>0</v>
      </c>
      <c r="G9" s="199">
        <f>F9*Data!G30</f>
        <v>0</v>
      </c>
      <c r="H9" s="200"/>
      <c r="I9" s="200"/>
      <c r="J9" s="199">
        <f>Model!I23</f>
        <v>0</v>
      </c>
      <c r="K9" s="199">
        <f>J9*Data!G30</f>
        <v>0</v>
      </c>
      <c r="L9" s="200"/>
      <c r="M9" s="200"/>
      <c r="N9" s="199">
        <f>Model!J23</f>
        <v>0</v>
      </c>
      <c r="O9" s="199">
        <f>N9*Data!G30</f>
        <v>0</v>
      </c>
      <c r="P9" s="200"/>
      <c r="Q9" s="97"/>
      <c r="R9" s="206" t="s">
        <v>162</v>
      </c>
      <c r="S9" s="355">
        <f>IF(AND(NOT(T9),U9),ROUNDUP(IF(OR(Model!E40="Yes",Model!B40="Margin Loan"),0,IF(Model!B40="Credit Card",MAX(Data!$G$22,MAX(Model!F40:G40)*Data!$G$16),IF(Model!B40="Overdraft",MAX(Model!F40:G40)*Data!$G$18,IF(Model!B40="Commercial Bill",MAX(Model!F40:G40)*Data!$G$20,IF(OR(Model!B40="OFI home loan (Other financial institution)",Model!B40="OFI Line of Credit (Other financial institution)"),Model!J40*(1+Data!$G$26)+Model!K40,Model!J40+Model!K40))))),),0)</f>
        <v>0</v>
      </c>
      <c r="T9" s="206" t="b">
        <f>AND(ISBLANK(Model!B40),ISBLANK(Model!C40),ISBLANK(Model!D40),ISBLANK(Model!E40),ISBLANK(Model!F40),ISBLANK(Model!H40),ISBLANK(Model!I40),ISBLANK(Model!J40),ISBLANK(Model!K40))</f>
        <v>1</v>
      </c>
      <c r="U9" s="198" t="b">
        <f>IF(T9,TRUE,IF(OR(Model!B40="Credit Card",Model!B40="Overdraft",Model!B40="Commercial Bill"),AND(Model!F40&lt;&gt;"",Model!G40&lt;&gt;""),IF(Model!B40="Margin Loan",Model!G40&lt;&gt;"",IF(Model!B40="HECS",Model!J40&lt;&gt;"",
IF(AND(Model!E40&lt;&gt;"Yes",OR(Model!B40="Personal Loan",Model!B40="Lease",Model!B40="Hire Purchase",Model!B40="Other")),AND(Model!J40&lt;&gt;"",Model!K40&lt;&gt;""),IF(Model!E40="Yes",Model!F40&lt;&gt;"",
IF(OR(Model!B40="CBA Variable Rate Home Loan",Model!B40="CBA Fixed Rate Home Loan",Model!B40="OFI home loan (Other financial institution)"),AND(Model!C40&lt;&gt;"",Model!F40&lt;&gt;"",Model!H40&lt;&gt;"",Model!I40&lt;&gt;"",Model!K40&lt;&gt;""),IF(OR(Model!B40="CBA Line of Credit",Model!B40="OFI Line of Credit (Other financial institution)"),AND(Model!F40&lt;&gt;"",Model!I40&lt;&gt;"",Model!K40&lt;&gt;""),FALSE))))))))</f>
        <v>1</v>
      </c>
      <c r="V9" s="207" t="b">
        <f>IF(AND(Model!C40="Investment",Model!D40="Yes",NOT(Model!E40="Yes")),TRUE,FALSE)</f>
        <v>0</v>
      </c>
      <c r="W9" s="207" t="b">
        <f>IF(NOT(V9),TRUE,AND('Neg Gearing'!C9&lt;&gt;"",COUNTBLANK('Neg Gearing'!E9:H9)&lt;4))</f>
        <v>1</v>
      </c>
      <c r="X9" s="854">
        <f>IF(U9,MAX(Model!F40:G40),0)</f>
        <v>0</v>
      </c>
      <c r="Z9" s="315">
        <f>(SUM(Model!G26,Model!G30:G31)&gt;0)+(SUM(Model!H26,Model!H30:H31)&gt;0)+(SUM(Model!I26,Model!I30:I31)&gt;0)+(SUM(Model!J26,Model!J30:J31)&gt;0)</f>
        <v>0</v>
      </c>
      <c r="AA9" t="s">
        <v>247</v>
      </c>
      <c r="AB9" s="317">
        <f>IF($Z$5,$AO8*$Z$1*'Neg Gearing'!E$20+AB$2,0)</f>
        <v>0</v>
      </c>
      <c r="AC9" s="317">
        <f>IF($Z$5,$AO8*$Z$1*'Neg Gearing'!F$20+AC$2,0)</f>
        <v>0</v>
      </c>
      <c r="AD9" s="317">
        <f>IF($Z$5,$AO8*$Z$1*'Neg Gearing'!G$20+AD$2,0)</f>
        <v>0</v>
      </c>
      <c r="AE9" s="317">
        <f>IF($Z$5,$AO8*$Z$1*'Neg Gearing'!H$20+AE$2,0)</f>
        <v>0</v>
      </c>
      <c r="AF9" s="316">
        <f t="shared" si="1"/>
        <v>0</v>
      </c>
      <c r="AG9" s="316">
        <f t="shared" si="1"/>
        <v>0</v>
      </c>
      <c r="AH9" s="316">
        <f t="shared" si="2"/>
        <v>0</v>
      </c>
      <c r="AI9" s="316">
        <f t="shared" si="3"/>
        <v>0</v>
      </c>
      <c r="AJ9" s="316">
        <f>income_tax(AF9)+medicare_levy(AF9)-IF((LITO(AF9,income_tax(AF9))+LMITO(AF9,income_tax(AF9)))&gt;income_tax(AF9),income_tax(AF9),LITO(AF9,income_tax(AF9)))-IF((LITO(AF9,income_tax(AF9))+LMITO(AF9,income_tax(AF9)))&gt;income_tax(AF9),0,LMITO(AF9,income_tax(AF9)))</f>
        <v>0</v>
      </c>
      <c r="AK9" s="316">
        <f>income_tax(AG9)+medicare_levy(AG9)-IF((LITO(AG9,income_tax(AG9))+LMITO(AG9,income_tax(AG9)))&gt;income_tax(AG9),income_tax(AG9),LITO(AG9,income_tax(AG9)))-IF((LITO(AG9,income_tax(AG9))+LMITO(AG9,income_tax(AG9)))&gt;income_tax(AG9),0,LMITO(AG9,income_tax(AG9)))</f>
        <v>0</v>
      </c>
      <c r="AL9" s="316">
        <f>income_tax(AH9)+medicare_levy(AH9)-IF((LITO(AH9,income_tax(AH9))+LMITO(AH9,income_tax(AH9)))&gt;income_tax(AH9),income_tax(AH9),LITO(AH9,income_tax(AH9)))-IF((LITO(AH9,income_tax(AH9))+LMITO(AH9,income_tax(AH9)))&gt;income_tax(AH9),0,LMITO(AH9,income_tax(AH9)))</f>
        <v>0</v>
      </c>
      <c r="AM9" s="316">
        <f>income_tax(AI9)+medicare_levy(AI9)-IF((LITO(AI9,income_tax(AI9))+LMITO(AI9,income_tax(AI9)))&gt;income_tax(AI9),income_tax(AI9),LITO(AI9,income_tax(AI9)))-IF((LITO(AI9,income_tax(AI9))+LMITO(AI9,income_tax(AI9)))&gt;income_tax(AI9),0,LMITO(AI9,income_tax(AI9)))</f>
        <v>0</v>
      </c>
      <c r="AN9" s="360">
        <f>ROUNDDOWN((($C$12+$G$12+$K$12+$O$12+SUM(Model!$L$30:$L$31)-SUM(AJ9:AM9)-Model!$L$34)/12-$F$40)*(1-$S$42)-$S$15,0)</f>
        <v>0</v>
      </c>
      <c r="AO9" s="378">
        <f t="shared" si="0"/>
        <v>0</v>
      </c>
    </row>
    <row r="10" spans="1:41" x14ac:dyDescent="0.2">
      <c r="A10" s="41" t="s">
        <v>39</v>
      </c>
      <c r="B10" s="199">
        <f>Model!G24</f>
        <v>0</v>
      </c>
      <c r="C10" s="199">
        <f>B10</f>
        <v>0</v>
      </c>
      <c r="D10" s="200"/>
      <c r="E10" s="96"/>
      <c r="F10" s="199">
        <f>Model!H24</f>
        <v>0</v>
      </c>
      <c r="G10" s="199">
        <f>F10</f>
        <v>0</v>
      </c>
      <c r="H10" s="200"/>
      <c r="I10" s="200"/>
      <c r="J10" s="199">
        <f>Model!I24</f>
        <v>0</v>
      </c>
      <c r="K10" s="199">
        <f>J10</f>
        <v>0</v>
      </c>
      <c r="L10" s="200"/>
      <c r="M10" s="200"/>
      <c r="N10" s="199">
        <f>Model!J24</f>
        <v>0</v>
      </c>
      <c r="O10" s="199">
        <f>N10</f>
        <v>0</v>
      </c>
      <c r="P10" s="200"/>
      <c r="Q10" s="97"/>
      <c r="R10" s="206" t="s">
        <v>163</v>
      </c>
      <c r="S10" s="355">
        <f>IF(AND(NOT(T10),U10),ROUNDUP(IF(OR(Model!E41="Yes",Model!B41="Margin Loan"),0,IF(Model!B41="Credit Card",MAX(Data!$G$22,MAX(Model!F41:G41)*Data!$G$16),IF(Model!B41="Overdraft",MAX(Model!F41:G41)*Data!$G$18,IF(Model!B41="Commercial Bill",MAX(Model!F41:G41)*Data!$G$20,IF(OR(Model!B41="OFI home loan (Other financial institution)",Model!B41="OFI Line of Credit (Other financial institution)"),Model!J41*(1+Data!$G$26)+Model!K41,Model!J41+Model!K41))))),),0)</f>
        <v>0</v>
      </c>
      <c r="T10" s="206" t="b">
        <f>AND(ISBLANK(Model!B41),ISBLANK(Model!C41),ISBLANK(Model!D41),ISBLANK(Model!E41),ISBLANK(Model!F41),ISBLANK(Model!H41),ISBLANK(Model!I41),ISBLANK(Model!J41),ISBLANK(Model!K41))</f>
        <v>1</v>
      </c>
      <c r="U10" s="198" t="b">
        <f>IF(T10,TRUE,IF(OR(Model!B41="Credit Card",Model!B41="Overdraft",Model!B41="Commercial Bill"),AND(Model!F41&lt;&gt;"",Model!G41&lt;&gt;""),IF(Model!B41="Margin Loan",Model!G41&lt;&gt;"",IF(Model!B41="HECS",Model!J41&lt;&gt;"",
IF(AND(Model!E41&lt;&gt;"Yes",OR(Model!B41="Personal Loan",Model!B41="Lease",Model!B41="Hire Purchase",Model!B41="Other")),AND(Model!J41&lt;&gt;"",Model!K41&lt;&gt;""),IF(Model!E41="Yes",Model!F41&lt;&gt;"",
IF(OR(Model!B41="CBA Variable Rate Home Loan",Model!B41="CBA Fixed Rate Home Loan",Model!B41="OFI home loan (Other financial institution)"),AND(Model!C41&lt;&gt;"",Model!F41&lt;&gt;"",Model!H41&lt;&gt;"",Model!I41&lt;&gt;"",Model!K41&lt;&gt;""),IF(OR(Model!B41="CBA Line of Credit",Model!B41="OFI Line of Credit (Other financial institution)"),AND(Model!F41&lt;&gt;"",Model!I41&lt;&gt;"",Model!K41&lt;&gt;""),FALSE))))))))</f>
        <v>1</v>
      </c>
      <c r="V10" s="207" t="b">
        <f>IF(AND(Model!C41="Investment",Model!D41="Yes",NOT(Model!E41="Yes")),TRUE,FALSE)</f>
        <v>0</v>
      </c>
      <c r="W10" s="207" t="b">
        <f>IF(NOT(V10),TRUE,AND('Neg Gearing'!C10&lt;&gt;"",COUNTBLANK('Neg Gearing'!E10:H10)&lt;4))</f>
        <v>1</v>
      </c>
      <c r="X10" s="854">
        <f>IF(U10,MAX(Model!F41:G41),0)</f>
        <v>0</v>
      </c>
      <c r="AB10" s="317">
        <f>IF($Z$5,$AO9*$Z$1*'Neg Gearing'!E$20+AB$2,0)</f>
        <v>0</v>
      </c>
      <c r="AC10" s="317">
        <f>IF($Z$5,$AO9*$Z$1*'Neg Gearing'!F$20+AC$2,0)</f>
        <v>0</v>
      </c>
      <c r="AD10" s="317">
        <f>IF($Z$5,$AO9*$Z$1*'Neg Gearing'!G$20+AD$2,0)</f>
        <v>0</v>
      </c>
      <c r="AE10" s="317">
        <f>IF($Z$5,$AO9*$Z$1*'Neg Gearing'!H$20+AE$2,0)</f>
        <v>0</v>
      </c>
      <c r="AF10" s="316">
        <f t="shared" si="1"/>
        <v>0</v>
      </c>
      <c r="AG10" s="316">
        <f t="shared" si="1"/>
        <v>0</v>
      </c>
      <c r="AH10" s="316">
        <f t="shared" si="2"/>
        <v>0</v>
      </c>
      <c r="AI10" s="316">
        <f t="shared" si="3"/>
        <v>0</v>
      </c>
      <c r="AJ10" s="316">
        <f>income_tax(AF10)+medicare_levy(AF10)-IF((LITO(AF10,income_tax(AF10))+LMITO(AF10,income_tax(AF10)))&gt;income_tax(AF10),income_tax(AF10),LITO(AF10,income_tax(AF10)))-IF((LITO(AF10,income_tax(AF10))+LMITO(AF10,income_tax(AF10)))&gt;income_tax(AF10),0,LMITO(AF10,income_tax(AF10)))</f>
        <v>0</v>
      </c>
      <c r="AK10" s="316">
        <f>income_tax(AG10)+medicare_levy(AG10)-IF((LITO(AG10,income_tax(AG10))+LMITO(AG10,income_tax(AG10)))&gt;income_tax(AG10),income_tax(AG10),LITO(AG10,income_tax(AG10)))-IF((LITO(AG10,income_tax(AG10))+LMITO(AG10,income_tax(AG10)))&gt;income_tax(AG10),0,LMITO(AG10,income_tax(AG10)))</f>
        <v>0</v>
      </c>
      <c r="AL10" s="316">
        <f>income_tax(AH10)+medicare_levy(AH10)-IF((LITO(AH10,income_tax(AH10))+LMITO(AH10,income_tax(AH10)))&gt;income_tax(AH10),income_tax(AH10),LITO(AH10,income_tax(AH10)))-IF((LITO(AH10,income_tax(AH10))+LMITO(AH10,income_tax(AH10)))&gt;income_tax(AH10),0,LMITO(AH10,income_tax(AH10)))</f>
        <v>0</v>
      </c>
      <c r="AM10" s="316">
        <f>income_tax(AI10)+medicare_levy(AI10)-IF((LITO(AI10,income_tax(AI10))+LMITO(AI10,income_tax(AI10)))&gt;income_tax(AI10),income_tax(AI10),LITO(AI10,income_tax(AI10)))-IF((LITO(AI10,income_tax(AI10))+LMITO(AI10,income_tax(AI10)))&gt;income_tax(AI10),0,LMITO(AI10,income_tax(AI10)))</f>
        <v>0</v>
      </c>
      <c r="AN10" s="360">
        <f>ROUNDDOWN((($C$12+$G$12+$K$12+$O$12+SUM(Model!$L$30:$L$31)-SUM(AJ10:AM10)-Model!$L$34)/12-$F$40)*(1-$S$42)-$S$15,0)</f>
        <v>0</v>
      </c>
      <c r="AO10" s="378">
        <f t="shared" si="0"/>
        <v>0</v>
      </c>
    </row>
    <row r="11" spans="1:41" x14ac:dyDescent="0.2">
      <c r="A11" s="41" t="s">
        <v>41</v>
      </c>
      <c r="B11" s="199">
        <f>Model!G25</f>
        <v>0</v>
      </c>
      <c r="C11" s="199">
        <f>B11</f>
        <v>0</v>
      </c>
      <c r="D11" s="200"/>
      <c r="E11" s="85"/>
      <c r="F11" s="209">
        <f>Model!H25</f>
        <v>0</v>
      </c>
      <c r="G11" s="209">
        <f>F11</f>
        <v>0</v>
      </c>
      <c r="H11" s="325"/>
      <c r="I11" s="325"/>
      <c r="J11" s="209">
        <f>Model!I25</f>
        <v>0</v>
      </c>
      <c r="K11" s="209">
        <f>J11</f>
        <v>0</v>
      </c>
      <c r="L11" s="325"/>
      <c r="M11" s="325"/>
      <c r="N11" s="209">
        <f>Model!J25</f>
        <v>0</v>
      </c>
      <c r="O11" s="209">
        <f>N11</f>
        <v>0</v>
      </c>
      <c r="P11" s="325"/>
      <c r="Q11" s="97"/>
      <c r="R11" s="206" t="s">
        <v>164</v>
      </c>
      <c r="S11" s="355">
        <f>IF(AND(NOT(T11),U11),ROUNDUP(IF(OR(Model!E42="Yes",Model!B42="Margin Loan"),0,IF(Model!B42="Credit Card",MAX(Data!$G$22,MAX(Model!F42:G42)*Data!$G$16),IF(Model!B42="Overdraft",MAX(Model!F42:G42)*Data!$G$18,IF(Model!B42="Commercial Bill",MAX(Model!F42:G42)*Data!$G$20,IF(OR(Model!B42="OFI home loan (Other financial institution)",Model!B42="OFI Line of Credit (Other financial institution)"),Model!J42*(1+Data!$G$26)+Model!K42,Model!J42+Model!K42))))),),0)</f>
        <v>0</v>
      </c>
      <c r="T11" s="206" t="b">
        <f>AND(ISBLANK(Model!B42),ISBLANK(Model!C42),ISBLANK(Model!D42),ISBLANK(Model!E42),ISBLANK(Model!F42),ISBLANK(Model!H42),ISBLANK(Model!I42),ISBLANK(Model!J42),ISBLANK(Model!K42))</f>
        <v>1</v>
      </c>
      <c r="U11" s="198" t="b">
        <f>IF(T11,TRUE,IF(OR(Model!B42="Credit Card",Model!B42="Overdraft",Model!B42="Commercial Bill"),AND(Model!F42&lt;&gt;"",Model!G42&lt;&gt;""),IF(Model!B42="Margin Loan",Model!G42&lt;&gt;"",IF(Model!B42="HECS",Model!J42&lt;&gt;"",
IF(AND(Model!E42&lt;&gt;"Yes",OR(Model!B42="Personal Loan",Model!B42="Lease",Model!B42="Hire Purchase",Model!B42="Other")),AND(Model!J42&lt;&gt;"",Model!K42&lt;&gt;""),IF(Model!E42="Yes",Model!F42&lt;&gt;"",
IF(OR(Model!B42="CBA Variable Rate Home Loan",Model!B42="CBA Fixed Rate Home Loan",Model!B42="OFI home loan (Other financial institution)"),AND(Model!C42&lt;&gt;"",Model!F42&lt;&gt;"",Model!H42&lt;&gt;"",Model!I42&lt;&gt;"",Model!K42&lt;&gt;""),IF(OR(Model!B42="CBA Line of Credit",Model!B42="OFI Line of Credit (Other financial institution)"),AND(Model!F42&lt;&gt;"",Model!I42&lt;&gt;"",Model!K42&lt;&gt;""),FALSE))))))))</f>
        <v>1</v>
      </c>
      <c r="V11" s="207" t="b">
        <f>IF(AND(Model!C42="Investment",Model!D42="Yes",NOT(Model!E42="Yes")),TRUE,FALSE)</f>
        <v>0</v>
      </c>
      <c r="W11" s="207" t="b">
        <f>IF(NOT(V11),TRUE,AND('Neg Gearing'!C11&lt;&gt;"",COUNTBLANK('Neg Gearing'!E11:H11)&lt;4))</f>
        <v>1</v>
      </c>
      <c r="X11" s="854">
        <f>IF(U11,MAX(Model!F42:G42),0)</f>
        <v>0</v>
      </c>
      <c r="AB11" s="317">
        <f>IF($Z$5,$AO10*$Z$1*'Neg Gearing'!E$20+AB$2,0)</f>
        <v>0</v>
      </c>
      <c r="AC11" s="317">
        <f>IF($Z$5,$AO10*$Z$1*'Neg Gearing'!F$20+AC$2,0)</f>
        <v>0</v>
      </c>
      <c r="AD11" s="317">
        <f>IF($Z$5,$AO10*$Z$1*'Neg Gearing'!G$20+AD$2,0)</f>
        <v>0</v>
      </c>
      <c r="AE11" s="317">
        <f>IF($Z$5,$AO10*$Z$1*'Neg Gearing'!H$20+AE$2,0)</f>
        <v>0</v>
      </c>
      <c r="AF11" s="316">
        <f t="shared" si="1"/>
        <v>0</v>
      </c>
      <c r="AG11" s="316">
        <f t="shared" si="1"/>
        <v>0</v>
      </c>
      <c r="AH11" s="316">
        <f t="shared" si="2"/>
        <v>0</v>
      </c>
      <c r="AI11" s="316">
        <f t="shared" si="3"/>
        <v>0</v>
      </c>
      <c r="AJ11" s="316">
        <f>income_tax(AF11)+medicare_levy(AF11)-IF((LITO(AF11,income_tax(AF11))+LMITO(AF11,income_tax(AF11)))&gt;income_tax(AF11),income_tax(AF11),LITO(AF11,income_tax(AF11)))-IF((LITO(AF11,income_tax(AF11))+LMITO(AF11,income_tax(AF11)))&gt;income_tax(AF11),0,LMITO(AF11,income_tax(AF11)))</f>
        <v>0</v>
      </c>
      <c r="AK11" s="316">
        <f>income_tax(AG11)+medicare_levy(AG11)-IF((LITO(AG11,income_tax(AG11))+LMITO(AG11,income_tax(AG11)))&gt;income_tax(AG11),income_tax(AG11),LITO(AG11,income_tax(AG11)))-IF((LITO(AG11,income_tax(AG11))+LMITO(AG11,income_tax(AG11)))&gt;income_tax(AG11),0,LMITO(AG11,income_tax(AG11)))</f>
        <v>0</v>
      </c>
      <c r="AL11" s="316">
        <f>income_tax(AH11)+medicare_levy(AH11)-IF((LITO(AH11,income_tax(AH11))+LMITO(AH11,income_tax(AH11)))&gt;income_tax(AH11),income_tax(AH11),LITO(AH11,income_tax(AH11)))-IF((LITO(AH11,income_tax(AH11))+LMITO(AH11,income_tax(AH11)))&gt;income_tax(AH11),0,LMITO(AH11,income_tax(AH11)))</f>
        <v>0</v>
      </c>
      <c r="AM11" s="316">
        <f>income_tax(AI11)+medicare_levy(AI11)-IF((LITO(AI11,income_tax(AI11))+LMITO(AI11,income_tax(AI11)))&gt;income_tax(AI11),income_tax(AI11),LITO(AI11,income_tax(AI11)))-IF((LITO(AI11,income_tax(AI11))+LMITO(AI11,income_tax(AI11)))&gt;income_tax(AI11),0,LMITO(AI11,income_tax(AI11)))</f>
        <v>0</v>
      </c>
      <c r="AN11" s="360">
        <f>ROUNDDOWN((($C$12+$G$12+$K$12+$O$12+SUM(Model!$L$30:$L$31)-SUM(AJ11:AM11)-Model!$L$34)/12-$F$40)*(1-$S$42)-$S$15,0)</f>
        <v>0</v>
      </c>
      <c r="AO11" s="378">
        <f t="shared" si="0"/>
        <v>0</v>
      </c>
    </row>
    <row r="12" spans="1:41" x14ac:dyDescent="0.2">
      <c r="A12" s="48" t="s">
        <v>44</v>
      </c>
      <c r="B12" s="327">
        <f>SUM(B3:B11)</f>
        <v>0</v>
      </c>
      <c r="C12" s="327">
        <f>SUM(C3:C11)</f>
        <v>0</v>
      </c>
      <c r="D12" s="327">
        <f>C12</f>
        <v>0</v>
      </c>
      <c r="E12" s="85"/>
      <c r="F12" s="327">
        <f>SUM(F3:F11)</f>
        <v>0</v>
      </c>
      <c r="G12" s="327">
        <f>SUM(G3:G11)</f>
        <v>0</v>
      </c>
      <c r="H12" s="327">
        <f>G12</f>
        <v>0</v>
      </c>
      <c r="I12" s="208"/>
      <c r="J12" s="327">
        <f>SUM(J3:J11)</f>
        <v>0</v>
      </c>
      <c r="K12" s="327">
        <f>SUM(K3:K11)</f>
        <v>0</v>
      </c>
      <c r="L12" s="327">
        <f>K12</f>
        <v>0</v>
      </c>
      <c r="M12" s="208"/>
      <c r="N12" s="327">
        <f>SUM(N3:N11)</f>
        <v>0</v>
      </c>
      <c r="O12" s="327">
        <f>SUM(O3:O11)</f>
        <v>0</v>
      </c>
      <c r="P12" s="327">
        <f>O12</f>
        <v>0</v>
      </c>
      <c r="Q12" s="97"/>
      <c r="R12" s="206" t="s">
        <v>165</v>
      </c>
      <c r="S12" s="355">
        <f>IF(AND(NOT(T12),U12),ROUNDUP(IF(OR(Model!E43="Yes",Model!B43="Margin Loan"),0,IF(Model!B43="Credit Card",MAX(Data!$G$22,MAX(Model!F43:G43)*Data!$G$16),IF(Model!B43="Overdraft",MAX(Model!F43:G43)*Data!$G$18,IF(Model!B43="Commercial Bill",MAX(Model!F43:G43)*Data!$G$20,IF(OR(Model!B43="OFI home loan (Other financial institution)",Model!B43="OFI Line of Credit (Other financial institution)"),Model!J43*(1+Data!$G$26)+Model!K43,Model!J43+Model!K43))))),),0)</f>
        <v>0</v>
      </c>
      <c r="T12" s="206" t="b">
        <f>AND(ISBLANK(Model!B43),ISBLANK(Model!C43),ISBLANK(Model!D43),ISBLANK(Model!E43),ISBLANK(Model!F43),ISBLANK(Model!H43),ISBLANK(Model!I43),ISBLANK(Model!J43),ISBLANK(Model!K43))</f>
        <v>1</v>
      </c>
      <c r="U12" s="198" t="b">
        <f>IF(T12,TRUE,IF(OR(Model!B43="Credit Card",Model!B43="Overdraft",Model!B43="Commercial Bill"),AND(Model!F43&lt;&gt;"",Model!G43&lt;&gt;""),IF(Model!B43="Margin Loan",Model!G43&lt;&gt;"",IF(Model!B43="HECS",Model!J43&lt;&gt;"",
IF(AND(Model!E43&lt;&gt;"Yes",OR(Model!B43="Personal Loan",Model!B43="Lease",Model!B43="Hire Purchase",Model!B43="Other")),AND(Model!J43&lt;&gt;"",Model!K43&lt;&gt;""),IF(Model!E43="Yes",Model!F43&lt;&gt;"",
IF(OR(Model!B43="CBA Variable Rate Home Loan",Model!B43="CBA Fixed Rate Home Loan",Model!B43="OFI home loan (Other financial institution)"),AND(Model!C43&lt;&gt;"",Model!F43&lt;&gt;"",Model!H43&lt;&gt;"",Model!I43&lt;&gt;"",Model!K43&lt;&gt;""),IF(OR(Model!B43="CBA Line of Credit",Model!B43="OFI Line of Credit (Other financial institution)"),AND(Model!F43&lt;&gt;"",Model!I43&lt;&gt;"",Model!K43&lt;&gt;""),FALSE))))))))</f>
        <v>1</v>
      </c>
      <c r="V12" s="207" t="b">
        <f>IF(AND(Model!C43="Investment",Model!D43="Yes",NOT(Model!E43="Yes")),TRUE,FALSE)</f>
        <v>0</v>
      </c>
      <c r="W12" s="207" t="b">
        <f>IF(NOT(V12),TRUE,AND('Neg Gearing'!C12&lt;&gt;"",COUNTBLANK('Neg Gearing'!E12:H12)&lt;4))</f>
        <v>1</v>
      </c>
      <c r="X12" s="854">
        <f>IF(U12,MAX(Model!F43:G43),0)</f>
        <v>0</v>
      </c>
      <c r="AB12" s="317">
        <f>IF($Z$5,$AO11*$Z$1*'Neg Gearing'!E$20+AB$2,0)</f>
        <v>0</v>
      </c>
      <c r="AC12" s="317">
        <f>IF($Z$5,$AO11*$Z$1*'Neg Gearing'!F$20+AC$2,0)</f>
        <v>0</v>
      </c>
      <c r="AD12" s="317">
        <f>IF($Z$5,$AO11*$Z$1*'Neg Gearing'!G$20+AD$2,0)</f>
        <v>0</v>
      </c>
      <c r="AE12" s="317">
        <f>IF($Z$5,$AO11*$Z$1*'Neg Gearing'!H$20+AE$2,0)</f>
        <v>0</v>
      </c>
      <c r="AF12" s="316">
        <f t="shared" si="1"/>
        <v>0</v>
      </c>
      <c r="AG12" s="316">
        <f t="shared" si="1"/>
        <v>0</v>
      </c>
      <c r="AH12" s="316">
        <f t="shared" si="2"/>
        <v>0</v>
      </c>
      <c r="AI12" s="316">
        <f t="shared" si="3"/>
        <v>0</v>
      </c>
      <c r="AJ12" s="316">
        <f>income_tax(AF12)+medicare_levy(AF12)-IF((LITO(AF12,income_tax(AF12))+LMITO(AF12,income_tax(AF12)))&gt;income_tax(AF12),income_tax(AF12),LITO(AF12,income_tax(AF12)))-IF((LITO(AF12,income_tax(AF12))+LMITO(AF12,income_tax(AF12)))&gt;income_tax(AF12),0,LMITO(AF12,income_tax(AF12)))</f>
        <v>0</v>
      </c>
      <c r="AK12" s="316">
        <f>income_tax(AG12)+medicare_levy(AG12)-IF((LITO(AG12,income_tax(AG12))+LMITO(AG12,income_tax(AG12)))&gt;income_tax(AG12),income_tax(AG12),LITO(AG12,income_tax(AG12)))-IF((LITO(AG12,income_tax(AG12))+LMITO(AG12,income_tax(AG12)))&gt;income_tax(AG12),0,LMITO(AG12,income_tax(AG12)))</f>
        <v>0</v>
      </c>
      <c r="AL12" s="316">
        <f>income_tax(AH12)+medicare_levy(AH12)-IF((LITO(AH12,income_tax(AH12))+LMITO(AH12,income_tax(AH12)))&gt;income_tax(AH12),income_tax(AH12),LITO(AH12,income_tax(AH12)))-IF((LITO(AH12,income_tax(AH12))+LMITO(AH12,income_tax(AH12)))&gt;income_tax(AH12),0,LMITO(AH12,income_tax(AH12)))</f>
        <v>0</v>
      </c>
      <c r="AM12" s="316">
        <f>income_tax(AI12)+medicare_levy(AI12)-IF((LITO(AI12,income_tax(AI12))+LMITO(AI12,income_tax(AI12)))&gt;income_tax(AI12),income_tax(AI12),LITO(AI12,income_tax(AI12)))-IF((LITO(AI12,income_tax(AI12))+LMITO(AI12,income_tax(AI12)))&gt;income_tax(AI12),0,LMITO(AI12,income_tax(AI12)))</f>
        <v>0</v>
      </c>
      <c r="AN12" s="360">
        <f>ROUNDDOWN((($C$12+$G$12+$K$12+$O$12+SUM(Model!$L$30:$L$31)-SUM(AJ12:AM12)-Model!$L$34)/12-$F$40)*(1-$S$42)-$S$15,0)</f>
        <v>0</v>
      </c>
      <c r="AO12" s="378">
        <f t="shared" si="0"/>
        <v>0</v>
      </c>
    </row>
    <row r="13" spans="1:41" x14ac:dyDescent="0.2">
      <c r="A13" s="321" t="s">
        <v>46</v>
      </c>
      <c r="B13" s="209">
        <f>income_tax(B12)</f>
        <v>0</v>
      </c>
      <c r="C13" s="209">
        <f>income_tax(C12)</f>
        <v>0</v>
      </c>
      <c r="D13" s="209">
        <f>income_tax(D12)</f>
        <v>0</v>
      </c>
      <c r="E13" s="200"/>
      <c r="F13" s="209">
        <f t="shared" ref="F13:H13" si="4">income_tax(F12)</f>
        <v>0</v>
      </c>
      <c r="G13" s="209">
        <f t="shared" si="4"/>
        <v>0</v>
      </c>
      <c r="H13" s="209">
        <f t="shared" si="4"/>
        <v>0</v>
      </c>
      <c r="I13" s="325"/>
      <c r="J13" s="209">
        <f t="shared" ref="J13:L13" si="5">income_tax(J12)</f>
        <v>0</v>
      </c>
      <c r="K13" s="209">
        <f t="shared" si="5"/>
        <v>0</v>
      </c>
      <c r="L13" s="209">
        <f t="shared" si="5"/>
        <v>0</v>
      </c>
      <c r="M13" s="325"/>
      <c r="N13" s="209">
        <f t="shared" ref="N13:P13" si="6">income_tax(N12)</f>
        <v>0</v>
      </c>
      <c r="O13" s="209">
        <f t="shared" si="6"/>
        <v>0</v>
      </c>
      <c r="P13" s="209">
        <f t="shared" si="6"/>
        <v>0</v>
      </c>
      <c r="Q13" s="97"/>
      <c r="R13" s="206" t="s">
        <v>166</v>
      </c>
      <c r="S13" s="355">
        <f>IF(AND(NOT(T13),U13),ROUNDUP(IF(OR(Model!E44="Yes",Model!B44="Margin Loan"),0,IF(Model!B44="Credit Card",MAX(Data!$G$22,MAX(Model!F44:G44)*Data!$G$16),IF(Model!B44="Overdraft",MAX(Model!F44:G44)*Data!$G$18,IF(Model!B44="Commercial Bill",MAX(Model!F44:G44)*Data!$G$20,IF(OR(Model!B44="OFI home loan (Other financial institution)",Model!B44="OFI Line of Credit (Other financial institution)"),Model!J44*(1+Data!$G$26)+Model!K44,Model!J44+Model!K44))))),),0)</f>
        <v>0</v>
      </c>
      <c r="T13" s="206" t="b">
        <f>AND(ISBLANK(Model!B44),ISBLANK(Model!C44),ISBLANK(Model!D44),ISBLANK(Model!E44),ISBLANK(Model!F44),ISBLANK(Model!H44),ISBLANK(Model!I44),ISBLANK(Model!J44),ISBLANK(Model!K44))</f>
        <v>1</v>
      </c>
      <c r="U13" s="198" t="b">
        <f>IF(T13,TRUE,IF(OR(Model!B44="Credit Card",Model!B44="Overdraft",Model!B44="Commercial Bill"),AND(Model!F44&lt;&gt;"",Model!G44&lt;&gt;""),IF(Model!B44="Margin Loan",Model!G44&lt;&gt;"",IF(Model!B44="HECS",Model!J44&lt;&gt;"",
IF(AND(Model!E44&lt;&gt;"Yes",OR(Model!B44="Personal Loan",Model!B44="Lease",Model!B44="Hire Purchase",Model!B44="Other")),AND(Model!J44&lt;&gt;"",Model!K44&lt;&gt;""),IF(Model!E44="Yes",Model!F44&lt;&gt;"",
IF(OR(Model!B44="CBA Variable Rate Home Loan",Model!B44="CBA Fixed Rate Home Loan",Model!B44="OFI home loan (Other financial institution)"),AND(Model!C44&lt;&gt;"",Model!F44&lt;&gt;"",Model!H44&lt;&gt;"",Model!I44&lt;&gt;"",Model!K44&lt;&gt;""),IF(OR(Model!B44="CBA Line of Credit",Model!B44="OFI Line of Credit (Other financial institution)"),AND(Model!F44&lt;&gt;"",Model!I44&lt;&gt;"",Model!K44&lt;&gt;""),FALSE))))))))</f>
        <v>1</v>
      </c>
      <c r="V13" s="207" t="b">
        <f>IF(AND(Model!C44="Investment",Model!D44="Yes",NOT(Model!E44="Yes")),TRUE,FALSE)</f>
        <v>0</v>
      </c>
      <c r="W13" s="207" t="b">
        <f>IF(NOT(V13),TRUE,AND('Neg Gearing'!C13&lt;&gt;"",COUNTBLANK('Neg Gearing'!E13:H13)&lt;4))</f>
        <v>1</v>
      </c>
      <c r="X13" s="854">
        <f>IF(U13,MAX(Model!F44:G44),0)</f>
        <v>0</v>
      </c>
    </row>
    <row r="14" spans="1:41" x14ac:dyDescent="0.2">
      <c r="A14" s="321" t="s">
        <v>48</v>
      </c>
      <c r="B14" s="209">
        <f>medicare_levy(B12)</f>
        <v>0</v>
      </c>
      <c r="C14" s="209">
        <f t="shared" ref="C14:D14" si="7">medicare_levy(C12)</f>
        <v>0</v>
      </c>
      <c r="D14" s="209">
        <f t="shared" si="7"/>
        <v>0</v>
      </c>
      <c r="E14" s="200"/>
      <c r="F14" s="209">
        <f t="shared" ref="F14:H14" si="8">medicare_levy(F12)</f>
        <v>0</v>
      </c>
      <c r="G14" s="209">
        <f t="shared" si="8"/>
        <v>0</v>
      </c>
      <c r="H14" s="209">
        <f t="shared" si="8"/>
        <v>0</v>
      </c>
      <c r="I14" s="200"/>
      <c r="J14" s="209">
        <f t="shared" ref="J14:L14" si="9">medicare_levy(J12)</f>
        <v>0</v>
      </c>
      <c r="K14" s="209">
        <f t="shared" si="9"/>
        <v>0</v>
      </c>
      <c r="L14" s="209">
        <f t="shared" si="9"/>
        <v>0</v>
      </c>
      <c r="M14" s="200"/>
      <c r="N14" s="209">
        <f t="shared" ref="N14:P14" si="10">medicare_levy(N12)</f>
        <v>0</v>
      </c>
      <c r="O14" s="209">
        <f t="shared" si="10"/>
        <v>0</v>
      </c>
      <c r="P14" s="209">
        <f t="shared" si="10"/>
        <v>0</v>
      </c>
      <c r="Q14" s="97"/>
      <c r="R14" s="206" t="s">
        <v>168</v>
      </c>
      <c r="S14" s="355">
        <f>IF(AND(NOT(T14),U14),ROUNDUP(IF(OR(Model!E45="Yes",Model!B45="Margin Loan"),0,IF(Model!B45="Credit Card",MAX(Data!$G$22,MAX(Model!F45:G45)*Data!$G$16),IF(Model!B45="Overdraft",MAX(Model!F45:G45)*Data!$G$18,IF(Model!B45="Commercial Bill",MAX(Model!F45:G45)*Data!$G$20,IF(OR(Model!B45="OFI home loan (Other financial institution)",Model!B45="OFI Line of Credit (Other financial institution)"),Model!J45*(1+Data!$G$26)+Model!K45,Model!J45+Model!K45))))),),0)</f>
        <v>0</v>
      </c>
      <c r="T14" s="206" t="b">
        <f>AND(ISBLANK(Model!B45),ISBLANK(Model!C45),ISBLANK(Model!D45),ISBLANK(Model!E45),ISBLANK(Model!F45),ISBLANK(Model!H45),ISBLANK(Model!I45),ISBLANK(Model!J45),ISBLANK(Model!K45))</f>
        <v>1</v>
      </c>
      <c r="U14" s="198" t="b">
        <f>IF(T14,TRUE,IF(OR(Model!B45="Credit Card",Model!B45="Overdraft",Model!B45="Commercial Bill"),AND(Model!F45&lt;&gt;"",Model!G45&lt;&gt;""),IF(Model!B45="Margin Loan",Model!G45&lt;&gt;"",IF(Model!B45="HECS",Model!J45&lt;&gt;"",
IF(AND(Model!E45&lt;&gt;"Yes",OR(Model!B45="Personal Loan",Model!B45="Lease",Model!B45="Hire Purchase",Model!B45="Other")),AND(Model!J45&lt;&gt;"",Model!K45&lt;&gt;""),IF(Model!E45="Yes",Model!F45&lt;&gt;"",
IF(OR(Model!B45="CBA Variable Rate Home Loan",Model!B45="CBA Fixed Rate Home Loan",Model!B45="OFI home loan (Other financial institution)"),AND(Model!C45&lt;&gt;"",Model!F45&lt;&gt;"",Model!H45&lt;&gt;"",Model!I45&lt;&gt;"",Model!K45&lt;&gt;""),IF(OR(Model!B45="CBA Line of Credit",Model!B45="OFI Line of Credit (Other financial institution)"),AND(Model!F45&lt;&gt;"",Model!I45&lt;&gt;"",Model!K45&lt;&gt;""),FALSE))))))))</f>
        <v>1</v>
      </c>
      <c r="V14" s="207" t="b">
        <f>IF(AND(Model!C45="Investment",Model!D45="Yes",NOT(Model!E45="Yes")),TRUE,FALSE)</f>
        <v>0</v>
      </c>
      <c r="W14" s="207" t="b">
        <f>IF(NOT(V14),TRUE,AND('Neg Gearing'!C14&lt;&gt;"",COUNTBLANK('Neg Gearing'!E14:H14)&lt;4))</f>
        <v>1</v>
      </c>
      <c r="X14" s="854">
        <f>IF(U14,MAX(Model!F45:G45),0)</f>
        <v>0</v>
      </c>
      <c r="Z14" s="314">
        <f>Z15-Data!G33</f>
        <v>2.5999999999999995E-2</v>
      </c>
      <c r="AA14" t="s">
        <v>229</v>
      </c>
      <c r="AB14" s="207" t="s">
        <v>232</v>
      </c>
      <c r="AC14" s="207" t="s">
        <v>233</v>
      </c>
      <c r="AD14" s="207" t="s">
        <v>234</v>
      </c>
      <c r="AE14" s="207" t="s">
        <v>235</v>
      </c>
      <c r="AF14" s="207" t="s">
        <v>236</v>
      </c>
      <c r="AG14" s="207" t="s">
        <v>237</v>
      </c>
      <c r="AH14" s="207" t="s">
        <v>238</v>
      </c>
      <c r="AI14" s="207" t="s">
        <v>239</v>
      </c>
      <c r="AJ14" s="207" t="s">
        <v>240</v>
      </c>
      <c r="AK14" s="207" t="s">
        <v>241</v>
      </c>
      <c r="AL14" s="207" t="s">
        <v>242</v>
      </c>
      <c r="AM14" s="207" t="s">
        <v>243</v>
      </c>
      <c r="AN14" s="207" t="s">
        <v>244</v>
      </c>
      <c r="AO14" s="315" t="s">
        <v>245</v>
      </c>
    </row>
    <row r="15" spans="1:41" x14ac:dyDescent="0.2">
      <c r="A15" s="904" t="s">
        <v>555</v>
      </c>
      <c r="B15" s="209">
        <f>IF((LITO(B12,B13)+LMITO(B12,B13))&gt;B13,B13,LITO(B12,B13))</f>
        <v>0</v>
      </c>
      <c r="C15" s="209">
        <f>IF((LITO(C12,C13)+LMITO(C12,C13))&gt;C13,C13,LITO(C12,C13))</f>
        <v>0</v>
      </c>
      <c r="D15" s="209">
        <f>IF((LITO(D12,D13)+LMITO(D12,D13))&gt;D13,D13,LITO(D12,D13))</f>
        <v>0</v>
      </c>
      <c r="E15" s="200"/>
      <c r="F15" s="209">
        <f>IF((LITO(F12,F13)+LMITO(F12,F13))&gt;F13,F13,LITO(F12,F13))</f>
        <v>0</v>
      </c>
      <c r="G15" s="209">
        <f>IF((LITO(G12,G13)+LMITO(G12,G13))&gt;G13,G13,LITO(G12,G13))</f>
        <v>0</v>
      </c>
      <c r="H15" s="209">
        <f>IF((LITO(H12,H13)+LMITO(H12,H13))&gt;H13,H13,LITO(H12,H13))</f>
        <v>0</v>
      </c>
      <c r="I15" s="200"/>
      <c r="J15" s="209">
        <f>IF((LITO(J12,J13)+LMITO(J12,J13))&gt;J13,J13,LITO(J12,J13))</f>
        <v>0</v>
      </c>
      <c r="K15" s="209">
        <f>IF((LITO(K12,K13)+LMITO(K12,K13))&gt;K13,K13,LITO(K12,K13))</f>
        <v>0</v>
      </c>
      <c r="L15" s="209">
        <f>IF((LITO(L12,L13)+LMITO(L12,L13))&gt;L13,L13,LITO(L12,L13))</f>
        <v>0</v>
      </c>
      <c r="M15" s="200"/>
      <c r="N15" s="209">
        <f>IF((LITO(N12,N13)+LMITO(N12,N13))&gt;N13,N13,LITO(N12,N13))</f>
        <v>0</v>
      </c>
      <c r="O15" s="209">
        <f>IF((LITO(O12,O13)+LMITO(O12,O13))&gt;O13,O13,LITO(O12,O13))</f>
        <v>0</v>
      </c>
      <c r="P15" s="209">
        <f>IF((LITO(P12,P13)+LMITO(P12,P13))&gt;P13,P13,LITO(P12,P13))</f>
        <v>0</v>
      </c>
      <c r="Q15" s="97"/>
      <c r="R15" s="212" t="s">
        <v>169</v>
      </c>
      <c r="S15" s="356">
        <f>SUM(S8:S14)</f>
        <v>0</v>
      </c>
      <c r="T15" s="219" t="b">
        <f>AND(T8:T14)</f>
        <v>1</v>
      </c>
      <c r="U15" s="213" t="b">
        <f>AND(U8:U14)</f>
        <v>1</v>
      </c>
      <c r="V15" s="214" t="b">
        <f>OR(V8:V14)</f>
        <v>0</v>
      </c>
      <c r="W15" s="214" t="b">
        <f>AND(W8:W14)</f>
        <v>1</v>
      </c>
      <c r="X15" s="563"/>
      <c r="Z15" s="314">
        <f>MAX(Model!H67,Data!G32)</f>
        <v>5.0999999999999997E-2</v>
      </c>
      <c r="AA15" t="s">
        <v>230</v>
      </c>
      <c r="AB15" s="317">
        <f>'Neg Gearing'!E28</f>
        <v>0</v>
      </c>
      <c r="AC15" s="317">
        <f>'Neg Gearing'!E29</f>
        <v>0</v>
      </c>
      <c r="AD15" s="317">
        <f>'Neg Gearing'!E30</f>
        <v>0</v>
      </c>
      <c r="AE15" s="317">
        <f>'Neg Gearing'!E31</f>
        <v>0</v>
      </c>
      <c r="AF15" s="316">
        <f>MAX(C12,0)</f>
        <v>0</v>
      </c>
      <c r="AG15" s="316">
        <f>MAX(G12,0)</f>
        <v>0</v>
      </c>
      <c r="AH15" s="316">
        <f>MAX(K12,0)</f>
        <v>0</v>
      </c>
      <c r="AI15" s="316">
        <f>MAX(O12,0)</f>
        <v>0</v>
      </c>
      <c r="AJ15" s="316">
        <f>income_tax(AF15)+medicare_levy(AF15)-IF((LITO(AF15,income_tax(AF15))+LMITO(AF15,income_tax(AF15)))&gt;income_tax(AF15),income_tax(AF15),LITO(AF15,income_tax(AF15)))-IF((LITO(AF15,income_tax(AF15))+LMITO(AF15,income_tax(AF15)))&gt;income_tax(AF15),0,LMITO(AF15,income_tax(AF15)))</f>
        <v>0</v>
      </c>
      <c r="AK15" s="316">
        <f>income_tax(AG15)+medicare_levy(AG15)-IF((LITO(AG15,income_tax(AG15))+LMITO(AG15,income_tax(AG15)))&gt;income_tax(AG15),income_tax(AG15),LITO(AG15,income_tax(AG15)))-IF((LITO(AG15,income_tax(AG15))+LMITO(AG15,income_tax(AG15)))&gt;income_tax(AG15),0,LMITO(AG15,income_tax(AG15)))</f>
        <v>0</v>
      </c>
      <c r="AL15" s="316">
        <f>income_tax(AH15)+medicare_levy(AH15)-IF((LITO(AH15,income_tax(AH15))+LMITO(AH15,income_tax(AH15)))&gt;income_tax(AH15),income_tax(AH15),LITO(AH15,income_tax(AH15)))-IF((LITO(AH15,income_tax(AH15))+LMITO(AH15,income_tax(AH15)))&gt;income_tax(AH15),0,LMITO(AH15,income_tax(AH15)))</f>
        <v>0</v>
      </c>
      <c r="AM15" s="316">
        <f>income_tax(AI15)+medicare_levy(AI15)-IF((LITO(AI15,income_tax(AI15))+LMITO(AI15,income_tax(AI15)))&gt;income_tax(AI15),income_tax(AI15),LITO(AI15,income_tax(AI15)))-IF((LITO(AI15,income_tax(AI15))+LMITO(AI15,income_tax(AI15)))&gt;income_tax(AI15),0,LMITO(AI15,income_tax(AI15)))</f>
        <v>0</v>
      </c>
      <c r="AN15" s="360">
        <f>ROUNDDOWN((($C$12+$G$12+$K$12+$O$12+SUM(Model!$L$30:$L$31)-SUM(AJ15:AM15)-Model!$L$34)/12-$F$40)*(1-$S$42)-$S$15,0)</f>
        <v>0</v>
      </c>
      <c r="AO15" s="378">
        <f t="shared" ref="AO15:AO25" si="11">ROUNDDOWN(PV($Z$15/12,$Z$16*12,-(AN15-$Z$17)),0)</f>
        <v>0</v>
      </c>
    </row>
    <row r="16" spans="1:41" x14ac:dyDescent="0.2">
      <c r="A16" s="904" t="s">
        <v>559</v>
      </c>
      <c r="B16" s="209">
        <f>IF((LITO(B12,B13)+LMITO(B12,B13))&gt;B13,0,LMITO(B12,B13))</f>
        <v>0</v>
      </c>
      <c r="C16" s="209">
        <f>IF((LITO(C12,C13)+LMITO(C12,C13))&gt;C13,0,LMITO(C12,C13))</f>
        <v>0</v>
      </c>
      <c r="D16" s="209">
        <f>IF((LITO(D12,D13)+LMITO(D12,D13))&gt;D13,0,LMITO(D12,D13))</f>
        <v>0</v>
      </c>
      <c r="E16" s="200"/>
      <c r="F16" s="209">
        <f>IF((LITO(F12,F13)+LMITO(F12,F13))&gt;F13,0,LMITO(F12,F13))</f>
        <v>0</v>
      </c>
      <c r="G16" s="209">
        <f>IF((LITO(G12,G13)+LMITO(G12,G13))&gt;G13,0,LMITO(G12,G13))</f>
        <v>0</v>
      </c>
      <c r="H16" s="209">
        <f>IF((LITO(H12,H13)+LMITO(H12,H13))&gt;H13,0,LMITO(H12,H13))</f>
        <v>0</v>
      </c>
      <c r="I16" s="200"/>
      <c r="J16" s="209">
        <f>IF((LITO(J12,J13)+LMITO(J12,J13))&gt;J13,0,LMITO(J12,J13))</f>
        <v>0</v>
      </c>
      <c r="K16" s="209">
        <f>IF((LITO(K12,K13)+LMITO(K12,K13))&gt;K13,0,LMITO(K12,K13))</f>
        <v>0</v>
      </c>
      <c r="L16" s="209">
        <f>IF((LITO(L12,L13)+LMITO(L12,L13))&gt;L13,0,LMITO(L12,L13))</f>
        <v>0</v>
      </c>
      <c r="M16" s="200"/>
      <c r="N16" s="209">
        <f>IF((LITO(N12,N13)+LMITO(N12,N13))&gt;N13,0,LMITO(N12,N13))</f>
        <v>0</v>
      </c>
      <c r="O16" s="209">
        <f>IF((LITO(O12,O13)+LMITO(O12,O13))&gt;O13,0,LMITO(O12,O13))</f>
        <v>0</v>
      </c>
      <c r="P16" s="209">
        <f>IF((LITO(P12,P13)+LMITO(P12,P13))&gt;P13,0,LMITO(P12,P13))</f>
        <v>0</v>
      </c>
      <c r="Q16" s="97"/>
      <c r="R16" s="216"/>
      <c r="S16" s="217"/>
      <c r="T16" s="203" t="s">
        <v>158</v>
      </c>
      <c r="U16" s="204" t="s">
        <v>159</v>
      </c>
      <c r="V16" s="205" t="s">
        <v>160</v>
      </c>
      <c r="W16" s="205" t="s">
        <v>159</v>
      </c>
      <c r="X16" s="205"/>
      <c r="Z16" s="207">
        <f>Model!I67-Model!J67</f>
        <v>0</v>
      </c>
      <c r="AA16" t="s">
        <v>227</v>
      </c>
      <c r="AB16" s="317">
        <f>IF($Z$18,$AO15*$Z$14*IF(SUM('Neg Gearing'!$E$20:$H$20)&gt;0,'Neg Gearing'!E$20,(100%/$Z$9)*(AF$15&gt;0))+AB$15,0)</f>
        <v>0</v>
      </c>
      <c r="AC16" s="317">
        <f>IF($Z$18,$AO15*$Z$14*IF(SUM('Neg Gearing'!$E$20:$H$20)&gt;0,'Neg Gearing'!F$20,(100%/$Z$9)*(AG$15&gt;0))+AC$15,0)</f>
        <v>0</v>
      </c>
      <c r="AD16" s="317">
        <f>IF($Z$18,$AO15*$Z$14*IF(SUM('Neg Gearing'!$E$20:$H$20)&gt;0,'Neg Gearing'!G$20,(100%/$Z$9)*(AH$15&gt;0))+AD$15,0)</f>
        <v>0</v>
      </c>
      <c r="AE16" s="317">
        <f>IF($Z$18,$AO15*$Z$14*IF(SUM('Neg Gearing'!$E$20:$H$20)&gt;0,'Neg Gearing'!H$20,(100%/$Z$9)*(AI$15&gt;0))+AE$15,0)</f>
        <v>0</v>
      </c>
      <c r="AF16" s="316">
        <f t="shared" ref="AF16:AF25" si="12">MAX(AF$2-AB16,0)</f>
        <v>0</v>
      </c>
      <c r="AG16" s="316">
        <f t="shared" ref="AG16:AG25" si="13">MAX(AG$2-AC16,0)</f>
        <v>0</v>
      </c>
      <c r="AH16" s="316">
        <f t="shared" ref="AH16:AH25" si="14">MAX(AH$2-AD16,0)</f>
        <v>0</v>
      </c>
      <c r="AI16" s="316">
        <f t="shared" ref="AI16:AI25" si="15">MAX(AI$2-AE16,0)</f>
        <v>0</v>
      </c>
      <c r="AJ16" s="316">
        <f>income_tax(AF16)+medicare_levy(AF16)-IF((LITO(AF16,income_tax(AF16))+LMITO(AF16,income_tax(AF16)))&gt;income_tax(AF16),income_tax(AF16),LITO(AF16,income_tax(AF16)))-IF((LITO(AF16,income_tax(AF16))+LMITO(AF16,income_tax(AF16)))&gt;income_tax(AF16),0,LMITO(AF16,income_tax(AF16)))</f>
        <v>0</v>
      </c>
      <c r="AK16" s="316">
        <f>income_tax(AG16)+medicare_levy(AG16)-IF((LITO(AG16,income_tax(AG16))+LMITO(AG16,income_tax(AG16)))&gt;income_tax(AG16),income_tax(AG16),LITO(AG16,income_tax(AG16)))-IF((LITO(AG16,income_tax(AG16))+LMITO(AG16,income_tax(AG16)))&gt;income_tax(AG16),0,LMITO(AG16,income_tax(AG16)))</f>
        <v>0</v>
      </c>
      <c r="AL16" s="316">
        <f>income_tax(AH16)+medicare_levy(AH16)-IF((LITO(AH16,income_tax(AH16))+LMITO(AH16,income_tax(AH16)))&gt;income_tax(AH16),income_tax(AH16),LITO(AH16,income_tax(AH16)))-IF((LITO(AH16,income_tax(AH16))+LMITO(AH16,income_tax(AH16)))&gt;income_tax(AH16),0,LMITO(AH16,income_tax(AH16)))</f>
        <v>0</v>
      </c>
      <c r="AM16" s="316">
        <f>income_tax(AI16)+medicare_levy(AI16)-IF((LITO(AI16,income_tax(AI16))+LMITO(AI16,income_tax(AI16)))&gt;income_tax(AI16),income_tax(AI16),LITO(AI16,income_tax(AI16)))-IF((LITO(AI16,income_tax(AI16))+LMITO(AI16,income_tax(AI16)))&gt;income_tax(AI16),0,LMITO(AI16,income_tax(AI16)))</f>
        <v>0</v>
      </c>
      <c r="AN16" s="360">
        <f>ROUNDDOWN((($C$12+$G$12+$K$12+$O$12+SUM(Model!$L$30:$L$31)-SUM(AJ16:AM16)-Model!$L$34)/12-$F$40)*(1-$S$42)-$S$15,0)</f>
        <v>0</v>
      </c>
      <c r="AO16" s="378">
        <f t="shared" si="11"/>
        <v>0</v>
      </c>
    </row>
    <row r="17" spans="1:41" x14ac:dyDescent="0.2">
      <c r="A17" s="322" t="s">
        <v>167</v>
      </c>
      <c r="B17" s="327">
        <f>B13+B14-B15-B16</f>
        <v>0</v>
      </c>
      <c r="C17" s="327">
        <f t="shared" ref="C17:P17" si="16">C13+C14-C15-C16</f>
        <v>0</v>
      </c>
      <c r="D17" s="327">
        <f t="shared" si="16"/>
        <v>0</v>
      </c>
      <c r="E17" s="96"/>
      <c r="F17" s="327">
        <f t="shared" si="16"/>
        <v>0</v>
      </c>
      <c r="G17" s="327">
        <f t="shared" si="16"/>
        <v>0</v>
      </c>
      <c r="H17" s="327">
        <f t="shared" si="16"/>
        <v>0</v>
      </c>
      <c r="I17" s="200"/>
      <c r="J17" s="327">
        <f t="shared" si="16"/>
        <v>0</v>
      </c>
      <c r="K17" s="327">
        <f t="shared" si="16"/>
        <v>0</v>
      </c>
      <c r="L17" s="327">
        <f t="shared" si="16"/>
        <v>0</v>
      </c>
      <c r="M17" s="96"/>
      <c r="N17" s="327">
        <f t="shared" si="16"/>
        <v>0</v>
      </c>
      <c r="O17" s="327">
        <f t="shared" si="16"/>
        <v>0</v>
      </c>
      <c r="P17" s="327">
        <f t="shared" si="16"/>
        <v>0</v>
      </c>
      <c r="Q17" s="97"/>
      <c r="R17" s="206" t="s">
        <v>172</v>
      </c>
      <c r="S17" s="355">
        <f>IF(AND(NOT(T17),U17),ROUNDUP(IF(Model!B52="Credit Card",Model!G52*Data!$G$16,-PMT(MAX(Model!H52,Data!$G$32)/12,D43*12,Model!G52,0)+Model!K52),0),0)</f>
        <v>0</v>
      </c>
      <c r="T17" s="206" t="b">
        <f>AND(Model!B52="",Model!F52="",Model!G52="",Model!H52="",Model!I52="",Model!J52="",Model!K52="")</f>
        <v>1</v>
      </c>
      <c r="U17" s="198" t="b">
        <f>IF(T17,TRUE,IF(Model!B52="Credit Card",Model!G52&lt;&gt;"",AND(Model!B52&lt;&gt;"",Model!E52&lt;&gt;"",Model!G52&lt;&gt;"",Model!H52&lt;&gt;"",Model!I52&lt;&gt;"",Model!K52&lt;&gt;"")))</f>
        <v>1</v>
      </c>
      <c r="V17" s="207" t="b">
        <f>IF(AND(Model!E52="Investment",Model!F52="Yes"),TRUE,FALSE)</f>
        <v>0</v>
      </c>
      <c r="W17" s="207" t="b">
        <f>IF(NOT(V17),TRUE,AND('Neg Gearing'!C20&lt;&gt;"",COUNTBLANK('Neg Gearing'!E20:H20)&lt;4))</f>
        <v>1</v>
      </c>
      <c r="X17" s="1"/>
      <c r="Z17" s="372">
        <f>Model!K67</f>
        <v>0</v>
      </c>
      <c r="AA17" t="s">
        <v>228</v>
      </c>
      <c r="AB17" s="317">
        <f>IF($Z$18,$AO16*$Z$14*IF(SUM('Neg Gearing'!$E$20:$H$20)&gt;0,'Neg Gearing'!E$20,(100%/$Z$9)*(AF$15&gt;0))+AB$15,0)</f>
        <v>0</v>
      </c>
      <c r="AC17" s="317">
        <f>IF($Z$18,$AO16*$Z$14*IF(SUM('Neg Gearing'!$E$20:$H$20)&gt;0,'Neg Gearing'!F$20,(100%/$Z$9)*(AG$15&gt;0))+AC$15,0)</f>
        <v>0</v>
      </c>
      <c r="AD17" s="317">
        <f>IF($Z$18,$AO16*$Z$14*IF(SUM('Neg Gearing'!$E$20:$H$20)&gt;0,'Neg Gearing'!G$20,(100%/$Z$9)*(AH$15&gt;0))+AD$15,0)</f>
        <v>0</v>
      </c>
      <c r="AE17" s="317">
        <f>IF($Z$18,$AO16*$Z$14*IF(SUM('Neg Gearing'!$E$20:$H$20)&gt;0,'Neg Gearing'!H$20,(100%/$Z$9)*(AI$15&gt;0))+AE$15,0)</f>
        <v>0</v>
      </c>
      <c r="AF17" s="316">
        <f t="shared" si="12"/>
        <v>0</v>
      </c>
      <c r="AG17" s="316">
        <f t="shared" si="13"/>
        <v>0</v>
      </c>
      <c r="AH17" s="316">
        <f t="shared" si="14"/>
        <v>0</v>
      </c>
      <c r="AI17" s="316">
        <f t="shared" si="15"/>
        <v>0</v>
      </c>
      <c r="AJ17" s="316">
        <f>income_tax(AF17)+medicare_levy(AF17)-IF((LITO(AF17,income_tax(AF17))+LMITO(AF17,income_tax(AF17)))&gt;income_tax(AF17),income_tax(AF17),LITO(AF17,income_tax(AF17)))-IF((LITO(AF17,income_tax(AF17))+LMITO(AF17,income_tax(AF17)))&gt;income_tax(AF17),0,LMITO(AF17,income_tax(AF17)))</f>
        <v>0</v>
      </c>
      <c r="AK17" s="316">
        <f>income_tax(AG17)+medicare_levy(AG17)-IF((LITO(AG17,income_tax(AG17))+LMITO(AG17,income_tax(AG17)))&gt;income_tax(AG17),income_tax(AG17),LITO(AG17,income_tax(AG17)))-IF((LITO(AG17,income_tax(AG17))+LMITO(AG17,income_tax(AG17)))&gt;income_tax(AG17),0,LMITO(AG17,income_tax(AG17)))</f>
        <v>0</v>
      </c>
      <c r="AL17" s="316">
        <f>income_tax(AH17)+medicare_levy(AH17)-IF((LITO(AH17,income_tax(AH17))+LMITO(AH17,income_tax(AH17)))&gt;income_tax(AH17),income_tax(AH17),LITO(AH17,income_tax(AH17)))-IF((LITO(AH17,income_tax(AH17))+LMITO(AH17,income_tax(AH17)))&gt;income_tax(AH17),0,LMITO(AH17,income_tax(AH17)))</f>
        <v>0</v>
      </c>
      <c r="AM17" s="316">
        <f>income_tax(AI17)+medicare_levy(AI17)-IF((LITO(AI17,income_tax(AI17))+LMITO(AI17,income_tax(AI17)))&gt;income_tax(AI17),income_tax(AI17),LITO(AI17,income_tax(AI17)))-IF((LITO(AI17,income_tax(AI17))+LMITO(AI17,income_tax(AI17)))&gt;income_tax(AI17),0,LMITO(AI17,income_tax(AI17)))</f>
        <v>0</v>
      </c>
      <c r="AN17" s="360">
        <f>ROUNDDOWN((($C$12+$G$12+$K$12+$O$12+SUM(Model!$L$30:$L$31)-SUM(AJ17:AM17)-Model!$L$34)/12-$F$40)*(1-$S$42)-$S$15,0)</f>
        <v>0</v>
      </c>
      <c r="AO17" s="378">
        <f t="shared" si="11"/>
        <v>0</v>
      </c>
    </row>
    <row r="18" spans="1:41" x14ac:dyDescent="0.2">
      <c r="A18" s="323"/>
      <c r="B18" s="210"/>
      <c r="C18" s="210"/>
      <c r="D18" s="211"/>
      <c r="E18" s="96"/>
      <c r="F18" s="211"/>
      <c r="G18" s="211"/>
      <c r="H18" s="211"/>
      <c r="I18" s="96"/>
      <c r="J18" s="211"/>
      <c r="K18" s="211"/>
      <c r="L18" s="211"/>
      <c r="M18" s="96"/>
      <c r="N18" s="211"/>
      <c r="O18" s="211"/>
      <c r="P18" s="211"/>
      <c r="Q18" s="97"/>
      <c r="R18" s="206" t="s">
        <v>173</v>
      </c>
      <c r="S18" s="355">
        <f>IF(AND(NOT(T18),U18),ROUNDUP(IF(Model!B53="Credit Card",Model!G53*Data!$G$16,-PMT(MAX(Model!H53,Data!$G$32)/12,D44*12,Model!G53,0)+Model!K53),0),0)</f>
        <v>0</v>
      </c>
      <c r="T18" s="206" t="b">
        <f>AND(Model!B53="",Model!F53="",Model!G53="",Model!H53="",Model!I53="",Model!J53="",Model!K53="")</f>
        <v>1</v>
      </c>
      <c r="U18" s="198" t="b">
        <f>IF(T18,TRUE,IF(Model!B53="Credit Card",Model!G53&lt;&gt;"",AND(Model!B53&lt;&gt;"",Model!E53&lt;&gt;"",Model!G53&lt;&gt;"",Model!H53&lt;&gt;"",Model!I53&lt;&gt;"",Model!K53&lt;&gt;"")))</f>
        <v>1</v>
      </c>
      <c r="V18" s="207" t="b">
        <f>IF(AND(Model!E53="Investment",Model!F53="Yes"),TRUE,FALSE)</f>
        <v>0</v>
      </c>
      <c r="W18" s="207" t="b">
        <f>IF(NOT(V18),TRUE,AND('Neg Gearing'!C21&lt;&gt;"",COUNTBLANK('Neg Gearing'!E21:H21)&lt;4))</f>
        <v>1</v>
      </c>
      <c r="X18" s="1"/>
      <c r="Z18" s="207" t="b">
        <f>AND(Model!E67="investment",Model!F67="Yes")</f>
        <v>0</v>
      </c>
      <c r="AA18" t="s">
        <v>160</v>
      </c>
      <c r="AB18" s="317">
        <f>IF($Z$18,$AO17*$Z$14*IF(SUM('Neg Gearing'!$E$20:$H$20)&gt;0,'Neg Gearing'!E$20,(100%/$Z$9)*(AF$15&gt;0))+AB$15,0)</f>
        <v>0</v>
      </c>
      <c r="AC18" s="317">
        <f>IF($Z$18,$AO17*$Z$14*IF(SUM('Neg Gearing'!$E$20:$H$20)&gt;0,'Neg Gearing'!F$20,(100%/$Z$9)*(AG$15&gt;0))+AC$15,0)</f>
        <v>0</v>
      </c>
      <c r="AD18" s="317">
        <f>IF($Z$18,$AO17*$Z$14*IF(SUM('Neg Gearing'!$E$20:$H$20)&gt;0,'Neg Gearing'!G$20,(100%/$Z$9)*(AH$15&gt;0))+AD$15,0)</f>
        <v>0</v>
      </c>
      <c r="AE18" s="317">
        <f>IF($Z$18,$AO17*$Z$14*IF(SUM('Neg Gearing'!$E$20:$H$20)&gt;0,'Neg Gearing'!H$20,(100%/$Z$9)*(AI$15&gt;0))+AE$15,0)</f>
        <v>0</v>
      </c>
      <c r="AF18" s="316">
        <f t="shared" si="12"/>
        <v>0</v>
      </c>
      <c r="AG18" s="316">
        <f t="shared" si="13"/>
        <v>0</v>
      </c>
      <c r="AH18" s="316">
        <f t="shared" si="14"/>
        <v>0</v>
      </c>
      <c r="AI18" s="316">
        <f t="shared" si="15"/>
        <v>0</v>
      </c>
      <c r="AJ18" s="316">
        <f>income_tax(AF18)+medicare_levy(AF18)-IF((LITO(AF18,income_tax(AF18))+LMITO(AF18,income_tax(AF18)))&gt;income_tax(AF18),income_tax(AF18),LITO(AF18,income_tax(AF18)))-IF((LITO(AF18,income_tax(AF18))+LMITO(AF18,income_tax(AF18)))&gt;income_tax(AF18),0,LMITO(AF18,income_tax(AF18)))</f>
        <v>0</v>
      </c>
      <c r="AK18" s="316">
        <f>income_tax(AG18)+medicare_levy(AG18)-IF((LITO(AG18,income_tax(AG18))+LMITO(AG18,income_tax(AG18)))&gt;income_tax(AG18),income_tax(AG18),LITO(AG18,income_tax(AG18)))-IF((LITO(AG18,income_tax(AG18))+LMITO(AG18,income_tax(AG18)))&gt;income_tax(AG18),0,LMITO(AG18,income_tax(AG18)))</f>
        <v>0</v>
      </c>
      <c r="AL18" s="316">
        <f>income_tax(AH18)+medicare_levy(AH18)-IF((LITO(AH18,income_tax(AH18))+LMITO(AH18,income_tax(AH18)))&gt;income_tax(AH18),income_tax(AH18),LITO(AH18,income_tax(AH18)))-IF((LITO(AH18,income_tax(AH18))+LMITO(AH18,income_tax(AH18)))&gt;income_tax(AH18),0,LMITO(AH18,income_tax(AH18)))</f>
        <v>0</v>
      </c>
      <c r="AM18" s="316">
        <f>income_tax(AI18)+medicare_levy(AI18)-IF((LITO(AI18,income_tax(AI18))+LMITO(AI18,income_tax(AI18)))&gt;income_tax(AI18),income_tax(AI18),LITO(AI18,income_tax(AI18)))-IF((LITO(AI18,income_tax(AI18))+LMITO(AI18,income_tax(AI18)))&gt;income_tax(AI18),0,LMITO(AI18,income_tax(AI18)))</f>
        <v>0</v>
      </c>
      <c r="AN18" s="360">
        <f>ROUNDDOWN((($C$12+$G$12+$K$12+$O$12+SUM(Model!$L$30:$L$31)-SUM(AJ18:AM18)-Model!$L$34)/12-$F$40)*(1-$S$42)-$S$15,0)</f>
        <v>0</v>
      </c>
      <c r="AO18" s="378">
        <f t="shared" si="11"/>
        <v>0</v>
      </c>
    </row>
    <row r="19" spans="1:41" x14ac:dyDescent="0.2">
      <c r="A19" s="323" t="s">
        <v>170</v>
      </c>
      <c r="C19" s="209">
        <f>'Neg Gearing'!G28</f>
        <v>0</v>
      </c>
      <c r="D19" s="215">
        <f>'Neg Gearing'!E28</f>
        <v>0</v>
      </c>
      <c r="E19" s="96"/>
      <c r="G19" s="209">
        <f>'Neg Gearing'!G29</f>
        <v>0</v>
      </c>
      <c r="H19" s="329">
        <f>'Neg Gearing'!E29</f>
        <v>0</v>
      </c>
      <c r="I19" s="96"/>
      <c r="K19" s="329">
        <f>'Neg Gearing'!G30</f>
        <v>0</v>
      </c>
      <c r="L19" s="329">
        <f>'Neg Gearing'!E30</f>
        <v>0</v>
      </c>
      <c r="M19" s="96"/>
      <c r="O19" s="329">
        <f>'Neg Gearing'!G31</f>
        <v>0</v>
      </c>
      <c r="P19" s="329">
        <f>'Neg Gearing'!E31</f>
        <v>0</v>
      </c>
      <c r="Q19" s="97"/>
      <c r="R19" s="206" t="s">
        <v>174</v>
      </c>
      <c r="S19" s="355">
        <f>IF(AND(NOT(T19),U19),ROUNDUP(IF(Model!B54="Credit Card",Model!G54*Data!$G$16,-PMT(MAX(Model!H54,Data!$G$32)/12,D45*12,Model!G54,0)+Model!K54),0),0)</f>
        <v>0</v>
      </c>
      <c r="T19" s="206" t="b">
        <f>AND(Model!B54="",Model!F54="",Model!G54="",Model!H54="",Model!I54="",Model!J54="",Model!K54="")</f>
        <v>1</v>
      </c>
      <c r="U19" s="198" t="b">
        <f>IF(T19,TRUE,IF(Model!B54="Credit Card",Model!G54&lt;&gt;"",AND(Model!B54&lt;&gt;"",Model!E54&lt;&gt;"",Model!G54&lt;&gt;"",Model!H54&lt;&gt;"",Model!I54&lt;&gt;"",Model!K54&lt;&gt;"")))</f>
        <v>1</v>
      </c>
      <c r="V19" s="207" t="b">
        <f>IF(AND(Model!E54="Investment",Model!F54="Yes"),TRUE,FALSE)</f>
        <v>0</v>
      </c>
      <c r="W19" s="207" t="b">
        <f>IF(NOT(V19),TRUE,AND('Neg Gearing'!C22&lt;&gt;"",COUNTBLANK('Neg Gearing'!E22:H22)&lt;4))</f>
        <v>1</v>
      </c>
      <c r="X19" s="1"/>
      <c r="AB19" s="317">
        <f>IF($Z$18,$AO18*$Z$14*IF(SUM('Neg Gearing'!$E$20:$H$20)&gt;0,'Neg Gearing'!E$20,(100%/$Z$9)*(AF$15&gt;0))+AB$15,0)</f>
        <v>0</v>
      </c>
      <c r="AC19" s="317">
        <f>IF($Z$18,$AO18*$Z$14*IF(SUM('Neg Gearing'!$E$20:$H$20)&gt;0,'Neg Gearing'!F$20,(100%/$Z$9)*(AG$15&gt;0))+AC$15,0)</f>
        <v>0</v>
      </c>
      <c r="AD19" s="317">
        <f>IF($Z$18,$AO18*$Z$14*IF(SUM('Neg Gearing'!$E$20:$H$20)&gt;0,'Neg Gearing'!G$20,(100%/$Z$9)*(AH$15&gt;0))+AD$15,0)</f>
        <v>0</v>
      </c>
      <c r="AE19" s="317">
        <f>IF($Z$18,$AO18*$Z$14*IF(SUM('Neg Gearing'!$E$20:$H$20)&gt;0,'Neg Gearing'!H$20,(100%/$Z$9)*(AI$15&gt;0))+AE$15,0)</f>
        <v>0</v>
      </c>
      <c r="AF19" s="316">
        <f t="shared" si="12"/>
        <v>0</v>
      </c>
      <c r="AG19" s="316">
        <f t="shared" si="13"/>
        <v>0</v>
      </c>
      <c r="AH19" s="316">
        <f t="shared" si="14"/>
        <v>0</v>
      </c>
      <c r="AI19" s="316">
        <f t="shared" si="15"/>
        <v>0</v>
      </c>
      <c r="AJ19" s="316">
        <f>income_tax(AF19)+medicare_levy(AF19)-IF((LITO(AF19,income_tax(AF19))+LMITO(AF19,income_tax(AF19)))&gt;income_tax(AF19),income_tax(AF19),LITO(AF19,income_tax(AF19)))-IF((LITO(AF19,income_tax(AF19))+LMITO(AF19,income_tax(AF19)))&gt;income_tax(AF19),0,LMITO(AF19,income_tax(AF19)))</f>
        <v>0</v>
      </c>
      <c r="AK19" s="316">
        <f>income_tax(AG19)+medicare_levy(AG19)-IF((LITO(AG19,income_tax(AG19))+LMITO(AG19,income_tax(AG19)))&gt;income_tax(AG19),income_tax(AG19),LITO(AG19,income_tax(AG19)))-IF((LITO(AG19,income_tax(AG19))+LMITO(AG19,income_tax(AG19)))&gt;income_tax(AG19),0,LMITO(AG19,income_tax(AG19)))</f>
        <v>0</v>
      </c>
      <c r="AL19" s="316">
        <f>income_tax(AH19)+medicare_levy(AH19)-IF((LITO(AH19,income_tax(AH19))+LMITO(AH19,income_tax(AH19)))&gt;income_tax(AH19),income_tax(AH19),LITO(AH19,income_tax(AH19)))-IF((LITO(AH19,income_tax(AH19))+LMITO(AH19,income_tax(AH19)))&gt;income_tax(AH19),0,LMITO(AH19,income_tax(AH19)))</f>
        <v>0</v>
      </c>
      <c r="AM19" s="316">
        <f>income_tax(AI19)+medicare_levy(AI19)-IF((LITO(AI19,income_tax(AI19))+LMITO(AI19,income_tax(AI19)))&gt;income_tax(AI19),income_tax(AI19),LITO(AI19,income_tax(AI19)))-IF((LITO(AI19,income_tax(AI19))+LMITO(AI19,income_tax(AI19)))&gt;income_tax(AI19),0,LMITO(AI19,income_tax(AI19)))</f>
        <v>0</v>
      </c>
      <c r="AN19" s="360">
        <f>ROUNDDOWN((($C$12+$G$12+$K$12+$O$12+SUM(Model!$L$30:$L$31)-SUM(AJ19:AM19)-Model!$L$34)/12-$F$40)*(1-$S$42)-$S$15,0)</f>
        <v>0</v>
      </c>
      <c r="AO19" s="378">
        <f t="shared" si="11"/>
        <v>0</v>
      </c>
    </row>
    <row r="20" spans="1:41" x14ac:dyDescent="0.2">
      <c r="A20" s="324" t="s">
        <v>171</v>
      </c>
      <c r="C20" s="326">
        <f>MAX(C12-C19,0)</f>
        <v>0</v>
      </c>
      <c r="D20" s="326">
        <f>MAX(D12-D19,0)</f>
        <v>0</v>
      </c>
      <c r="E20" s="96"/>
      <c r="G20" s="326">
        <f>MAX(G12-G19,0)</f>
        <v>0</v>
      </c>
      <c r="H20" s="326">
        <f>MAX(H12-H19,0)</f>
        <v>0</v>
      </c>
      <c r="I20" s="96"/>
      <c r="K20" s="326">
        <f>MAX(K12-K19,0)</f>
        <v>0</v>
      </c>
      <c r="L20" s="326">
        <f>MAX(L12-L19,0)</f>
        <v>0</v>
      </c>
      <c r="M20" s="96"/>
      <c r="O20" s="326">
        <f>MAX(O12-O19,0)</f>
        <v>0</v>
      </c>
      <c r="P20" s="326">
        <f>MAX(P12-P19,0)</f>
        <v>0</v>
      </c>
      <c r="Q20" s="97"/>
      <c r="R20" s="206" t="s">
        <v>176</v>
      </c>
      <c r="S20" s="355">
        <f>IF(AND(NOT(T20),U20),ROUNDUP(IF(Model!B55="Credit Card",Model!G55*Data!$G$16,-PMT(MAX(Model!H55,Data!$G$32)/12,D46*12,Model!G55,0)+Model!K55),0),0)</f>
        <v>0</v>
      </c>
      <c r="T20" s="206" t="b">
        <f>AND(Model!B55="",Model!F55="",Model!G55="",Model!H55="",Model!I55="",Model!J55="",Model!K55="")</f>
        <v>1</v>
      </c>
      <c r="U20" s="198" t="b">
        <f>IF(T20,TRUE,IF(Model!B55="Credit Card",Model!G55&lt;&gt;"",AND(Model!B55&lt;&gt;"",Model!E55&lt;&gt;"",Model!G55&lt;&gt;"",Model!H55&lt;&gt;"",Model!I55&lt;&gt;"",Model!K55&lt;&gt;"")))</f>
        <v>1</v>
      </c>
      <c r="V20" s="207" t="b">
        <f>IF(AND(Model!E55="Investment",Model!F55="Yes"),TRUE,FALSE)</f>
        <v>0</v>
      </c>
      <c r="W20" s="207" t="b">
        <f>IF(NOT(V20),TRUE,AND('Neg Gearing'!C23&lt;&gt;"",COUNTBLANK('Neg Gearing'!E23:H23)&lt;4))</f>
        <v>1</v>
      </c>
      <c r="X20" s="1"/>
      <c r="AB20" s="317">
        <f>IF($Z$18,$AO19*$Z$14*IF(SUM('Neg Gearing'!$E$20:$H$20)&gt;0,'Neg Gearing'!E$20,(100%/$Z$9)*(AF$15&gt;0))+AB$15,0)</f>
        <v>0</v>
      </c>
      <c r="AC20" s="317">
        <f>IF($Z$18,$AO19*$Z$14*IF(SUM('Neg Gearing'!$E$20:$H$20)&gt;0,'Neg Gearing'!F$20,(100%/$Z$9)*(AG$15&gt;0))+AC$15,0)</f>
        <v>0</v>
      </c>
      <c r="AD20" s="317">
        <f>IF($Z$18,$AO19*$Z$14*IF(SUM('Neg Gearing'!$E$20:$H$20)&gt;0,'Neg Gearing'!G$20,(100%/$Z$9)*(AH$15&gt;0))+AD$15,0)</f>
        <v>0</v>
      </c>
      <c r="AE20" s="317">
        <f>IF($Z$18,$AO19*$Z$14*IF(SUM('Neg Gearing'!$E$20:$H$20)&gt;0,'Neg Gearing'!H$20,(100%/$Z$9)*(AI$15&gt;0))+AE$15,0)</f>
        <v>0</v>
      </c>
      <c r="AF20" s="316">
        <f t="shared" si="12"/>
        <v>0</v>
      </c>
      <c r="AG20" s="316">
        <f t="shared" si="13"/>
        <v>0</v>
      </c>
      <c r="AH20" s="316">
        <f t="shared" si="14"/>
        <v>0</v>
      </c>
      <c r="AI20" s="316">
        <f t="shared" si="15"/>
        <v>0</v>
      </c>
      <c r="AJ20" s="316">
        <f>income_tax(AF20)+medicare_levy(AF20)-IF((LITO(AF20,income_tax(AF20))+LMITO(AF20,income_tax(AF20)))&gt;income_tax(AF20),income_tax(AF20),LITO(AF20,income_tax(AF20)))-IF((LITO(AF20,income_tax(AF20))+LMITO(AF20,income_tax(AF20)))&gt;income_tax(AF20),0,LMITO(AF20,income_tax(AF20)))</f>
        <v>0</v>
      </c>
      <c r="AK20" s="316">
        <f>income_tax(AG20)+medicare_levy(AG20)-IF((LITO(AG20,income_tax(AG20))+LMITO(AG20,income_tax(AG20)))&gt;income_tax(AG20),income_tax(AG20),LITO(AG20,income_tax(AG20)))-IF((LITO(AG20,income_tax(AG20))+LMITO(AG20,income_tax(AG20)))&gt;income_tax(AG20),0,LMITO(AG20,income_tax(AG20)))</f>
        <v>0</v>
      </c>
      <c r="AL20" s="316">
        <f>income_tax(AH20)+medicare_levy(AH20)-IF((LITO(AH20,income_tax(AH20))+LMITO(AH20,income_tax(AH20)))&gt;income_tax(AH20),income_tax(AH20),LITO(AH20,income_tax(AH20)))-IF((LITO(AH20,income_tax(AH20))+LMITO(AH20,income_tax(AH20)))&gt;income_tax(AH20),0,LMITO(AH20,income_tax(AH20)))</f>
        <v>0</v>
      </c>
      <c r="AM20" s="316">
        <f>income_tax(AI20)+medicare_levy(AI20)-IF((LITO(AI20,income_tax(AI20))+LMITO(AI20,income_tax(AI20)))&gt;income_tax(AI20),income_tax(AI20),LITO(AI20,income_tax(AI20)))-IF((LITO(AI20,income_tax(AI20))+LMITO(AI20,income_tax(AI20)))&gt;income_tax(AI20),0,LMITO(AI20,income_tax(AI20)))</f>
        <v>0</v>
      </c>
      <c r="AN20" s="360">
        <f>ROUNDDOWN((($C$12+$G$12+$K$12+$O$12+SUM(Model!$L$30:$L$31)-SUM(AJ20:AM20)-Model!$L$34)/12-$F$40)*(1-$S$42)-$S$15,0)</f>
        <v>0</v>
      </c>
      <c r="AO20" s="378">
        <f t="shared" si="11"/>
        <v>0</v>
      </c>
    </row>
    <row r="21" spans="1:41" x14ac:dyDescent="0.2">
      <c r="A21" s="323" t="s">
        <v>46</v>
      </c>
      <c r="C21" s="209">
        <f>income_tax(C20)</f>
        <v>0</v>
      </c>
      <c r="D21" s="209">
        <f>income_tax(D20)</f>
        <v>0</v>
      </c>
      <c r="E21" s="96"/>
      <c r="G21" s="209">
        <f t="shared" ref="G21:H21" si="17">income_tax(G20)</f>
        <v>0</v>
      </c>
      <c r="H21" s="209">
        <f t="shared" si="17"/>
        <v>0</v>
      </c>
      <c r="I21" s="96"/>
      <c r="J21" s="96"/>
      <c r="K21" s="209">
        <f t="shared" ref="K21:L21" si="18">income_tax(K20)</f>
        <v>0</v>
      </c>
      <c r="L21" s="209">
        <f t="shared" si="18"/>
        <v>0</v>
      </c>
      <c r="M21" s="96"/>
      <c r="O21" s="209">
        <f t="shared" ref="O21:P21" si="19">income_tax(O20)</f>
        <v>0</v>
      </c>
      <c r="P21" s="209">
        <f t="shared" si="19"/>
        <v>0</v>
      </c>
      <c r="Q21" s="97"/>
      <c r="R21" s="206" t="s">
        <v>178</v>
      </c>
      <c r="S21" s="355">
        <f>IF(AND(NOT(T21),U21),ROUNDUP(IF(Model!B56="Credit Card",Model!G56*Data!$G$16,-PMT(MAX(Model!H56,Data!$G$32)/12,D47*12,Model!G56,0)+Model!K56),0),0)</f>
        <v>0</v>
      </c>
      <c r="T21" s="206" t="b">
        <f>AND(Model!B56="",Model!F56="",Model!G56="",Model!H56="",Model!I56="",Model!J56="",Model!K56="")</f>
        <v>1</v>
      </c>
      <c r="U21" s="198" t="b">
        <f>IF(T21,TRUE,IF(Model!B56="Credit Card",Model!G56&lt;&gt;"",AND(Model!B56&lt;&gt;"",Model!E56&lt;&gt;"",Model!G56&lt;&gt;"",Model!H56&lt;&gt;"",Model!I56&lt;&gt;"",Model!K56&lt;&gt;"")))</f>
        <v>1</v>
      </c>
      <c r="V21" s="207" t="b">
        <f>IF(AND(Model!E56="Investment",Model!F56="Yes"),TRUE,FALSE)</f>
        <v>0</v>
      </c>
      <c r="W21" s="207" t="b">
        <f>IF(NOT(V21),TRUE,AND('Neg Gearing'!C24&lt;&gt;"",COUNTBLANK('Neg Gearing'!E24:H24)&lt;4))</f>
        <v>1</v>
      </c>
      <c r="X21" s="1"/>
      <c r="AB21" s="317">
        <f>IF($Z$18,$AO20*$Z$14*IF(SUM('Neg Gearing'!$E$20:$H$20)&gt;0,'Neg Gearing'!E$20,(100%/$Z$9)*(AF$15&gt;0))+AB$15,0)</f>
        <v>0</v>
      </c>
      <c r="AC21" s="317">
        <f>IF($Z$18,$AO20*$Z$14*IF(SUM('Neg Gearing'!$E$20:$H$20)&gt;0,'Neg Gearing'!F$20,(100%/$Z$9)*(AG$15&gt;0))+AC$15,0)</f>
        <v>0</v>
      </c>
      <c r="AD21" s="317">
        <f>IF($Z$18,$AO20*$Z$14*IF(SUM('Neg Gearing'!$E$20:$H$20)&gt;0,'Neg Gearing'!G$20,(100%/$Z$9)*(AH$15&gt;0))+AD$15,0)</f>
        <v>0</v>
      </c>
      <c r="AE21" s="317">
        <f>IF($Z$18,$AO20*$Z$14*IF(SUM('Neg Gearing'!$E$20:$H$20)&gt;0,'Neg Gearing'!H$20,(100%/$Z$9)*(AI$15&gt;0))+AE$15,0)</f>
        <v>0</v>
      </c>
      <c r="AF21" s="316">
        <f t="shared" si="12"/>
        <v>0</v>
      </c>
      <c r="AG21" s="316">
        <f t="shared" si="13"/>
        <v>0</v>
      </c>
      <c r="AH21" s="316">
        <f t="shared" si="14"/>
        <v>0</v>
      </c>
      <c r="AI21" s="316">
        <f t="shared" si="15"/>
        <v>0</v>
      </c>
      <c r="AJ21" s="316">
        <f>income_tax(AF21)+medicare_levy(AF21)-IF((LITO(AF21,income_tax(AF21))+LMITO(AF21,income_tax(AF21)))&gt;income_tax(AF21),income_tax(AF21),LITO(AF21,income_tax(AF21)))-IF((LITO(AF21,income_tax(AF21))+LMITO(AF21,income_tax(AF21)))&gt;income_tax(AF21),0,LMITO(AF21,income_tax(AF21)))</f>
        <v>0</v>
      </c>
      <c r="AK21" s="316">
        <f>income_tax(AG21)+medicare_levy(AG21)-IF((LITO(AG21,income_tax(AG21))+LMITO(AG21,income_tax(AG21)))&gt;income_tax(AG21),income_tax(AG21),LITO(AG21,income_tax(AG21)))-IF((LITO(AG21,income_tax(AG21))+LMITO(AG21,income_tax(AG21)))&gt;income_tax(AG21),0,LMITO(AG21,income_tax(AG21)))</f>
        <v>0</v>
      </c>
      <c r="AL21" s="316">
        <f>income_tax(AH21)+medicare_levy(AH21)-IF((LITO(AH21,income_tax(AH21))+LMITO(AH21,income_tax(AH21)))&gt;income_tax(AH21),income_tax(AH21),LITO(AH21,income_tax(AH21)))-IF((LITO(AH21,income_tax(AH21))+LMITO(AH21,income_tax(AH21)))&gt;income_tax(AH21),0,LMITO(AH21,income_tax(AH21)))</f>
        <v>0</v>
      </c>
      <c r="AM21" s="316">
        <f>income_tax(AI21)+medicare_levy(AI21)-IF((LITO(AI21,income_tax(AI21))+LMITO(AI21,income_tax(AI21)))&gt;income_tax(AI21),income_tax(AI21),LITO(AI21,income_tax(AI21)))-IF((LITO(AI21,income_tax(AI21))+LMITO(AI21,income_tax(AI21)))&gt;income_tax(AI21),0,LMITO(AI21,income_tax(AI21)))</f>
        <v>0</v>
      </c>
      <c r="AN21" s="360">
        <f>ROUNDDOWN((($C$12+$G$12+$K$12+$O$12+SUM(Model!$L$30:$L$31)-SUM(AJ21:AM21)-Model!$L$34)/12-$F$40)*(1-$S$42)-$S$15,0)</f>
        <v>0</v>
      </c>
      <c r="AO21" s="378">
        <f t="shared" si="11"/>
        <v>0</v>
      </c>
    </row>
    <row r="22" spans="1:41" x14ac:dyDescent="0.2">
      <c r="A22" s="323" t="s">
        <v>48</v>
      </c>
      <c r="C22" s="209">
        <f t="shared" ref="C22:D22" si="20">medicare_levy(C20)</f>
        <v>0</v>
      </c>
      <c r="D22" s="209">
        <f t="shared" si="20"/>
        <v>0</v>
      </c>
      <c r="E22" s="96"/>
      <c r="F22" s="96"/>
      <c r="G22" s="209">
        <f t="shared" ref="G22:H22" si="21">medicare_levy(G20)</f>
        <v>0</v>
      </c>
      <c r="H22" s="209">
        <f t="shared" si="21"/>
        <v>0</v>
      </c>
      <c r="I22" s="96"/>
      <c r="J22" s="96"/>
      <c r="K22" s="209">
        <f t="shared" ref="K22:L22" si="22">medicare_levy(K20)</f>
        <v>0</v>
      </c>
      <c r="L22" s="209">
        <f t="shared" si="22"/>
        <v>0</v>
      </c>
      <c r="M22" s="96"/>
      <c r="N22" s="96"/>
      <c r="O22" s="209">
        <f t="shared" ref="O22:P22" si="23">medicare_levy(O20)</f>
        <v>0</v>
      </c>
      <c r="P22" s="209">
        <f t="shared" si="23"/>
        <v>0</v>
      </c>
      <c r="Q22" s="97"/>
      <c r="R22" s="206" t="s">
        <v>180</v>
      </c>
      <c r="S22" s="355">
        <f>IF(AND(NOT(T22),U22),ROUNDUP(IF(Model!B57="Credit Card",Model!G57*Data!$G$16,-PMT(MAX(Model!H57,Data!$G$32)/12,D48*12,Model!G57,0)+Model!K57),0),0)</f>
        <v>0</v>
      </c>
      <c r="T22" s="206" t="b">
        <f>AND(Model!B57="",Model!F57="",Model!G57="",Model!H57="",Model!I57="",Model!J57="",Model!K57="")</f>
        <v>1</v>
      </c>
      <c r="U22" s="198" t="b">
        <f>IF(T22,TRUE,IF(Model!B57="Credit Card",Model!G57&lt;&gt;"",AND(Model!B57&lt;&gt;"",Model!E57&lt;&gt;"",Model!G57&lt;&gt;"",Model!H57&lt;&gt;"",Model!I57&lt;&gt;"",Model!K57&lt;&gt;"")))</f>
        <v>1</v>
      </c>
      <c r="V22" s="207" t="b">
        <f>IF(AND(Model!E57="Investment",Model!F57="Yes"),TRUE,FALSE)</f>
        <v>0</v>
      </c>
      <c r="W22" s="207" t="b">
        <f>IF(NOT(V22),TRUE,AND('Neg Gearing'!C25&lt;&gt;"",COUNTBLANK('Neg Gearing'!E25:H25)&lt;4))</f>
        <v>1</v>
      </c>
      <c r="X22" s="1"/>
      <c r="AB22" s="317">
        <f>IF($Z$18,$AO21*$Z$14*IF(SUM('Neg Gearing'!$E$20:$H$20)&gt;0,'Neg Gearing'!E$20,(100%/$Z$9)*(AF$15&gt;0))+AB$15,0)</f>
        <v>0</v>
      </c>
      <c r="AC22" s="317">
        <f>IF($Z$18,$AO21*$Z$14*IF(SUM('Neg Gearing'!$E$20:$H$20)&gt;0,'Neg Gearing'!F$20,(100%/$Z$9)*(AG$15&gt;0))+AC$15,0)</f>
        <v>0</v>
      </c>
      <c r="AD22" s="317">
        <f>IF($Z$18,$AO21*$Z$14*IF(SUM('Neg Gearing'!$E$20:$H$20)&gt;0,'Neg Gearing'!G$20,(100%/$Z$9)*(AH$15&gt;0))+AD$15,0)</f>
        <v>0</v>
      </c>
      <c r="AE22" s="317">
        <f>IF($Z$18,$AO21*$Z$14*IF(SUM('Neg Gearing'!$E$20:$H$20)&gt;0,'Neg Gearing'!H$20,(100%/$Z$9)*(AI$15&gt;0))+AE$15,0)</f>
        <v>0</v>
      </c>
      <c r="AF22" s="316">
        <f t="shared" si="12"/>
        <v>0</v>
      </c>
      <c r="AG22" s="316">
        <f t="shared" si="13"/>
        <v>0</v>
      </c>
      <c r="AH22" s="316">
        <f t="shared" si="14"/>
        <v>0</v>
      </c>
      <c r="AI22" s="316">
        <f t="shared" si="15"/>
        <v>0</v>
      </c>
      <c r="AJ22" s="316">
        <f>income_tax(AF22)+medicare_levy(AF22)-IF((LITO(AF22,income_tax(AF22))+LMITO(AF22,income_tax(AF22)))&gt;income_tax(AF22),income_tax(AF22),LITO(AF22,income_tax(AF22)))-IF((LITO(AF22,income_tax(AF22))+LMITO(AF22,income_tax(AF22)))&gt;income_tax(AF22),0,LMITO(AF22,income_tax(AF22)))</f>
        <v>0</v>
      </c>
      <c r="AK22" s="316">
        <f>income_tax(AG22)+medicare_levy(AG22)-IF((LITO(AG22,income_tax(AG22))+LMITO(AG22,income_tax(AG22)))&gt;income_tax(AG22),income_tax(AG22),LITO(AG22,income_tax(AG22)))-IF((LITO(AG22,income_tax(AG22))+LMITO(AG22,income_tax(AG22)))&gt;income_tax(AG22),0,LMITO(AG22,income_tax(AG22)))</f>
        <v>0</v>
      </c>
      <c r="AL22" s="316">
        <f>income_tax(AH22)+medicare_levy(AH22)-IF((LITO(AH22,income_tax(AH22))+LMITO(AH22,income_tax(AH22)))&gt;income_tax(AH22),income_tax(AH22),LITO(AH22,income_tax(AH22)))-IF((LITO(AH22,income_tax(AH22))+LMITO(AH22,income_tax(AH22)))&gt;income_tax(AH22),0,LMITO(AH22,income_tax(AH22)))</f>
        <v>0</v>
      </c>
      <c r="AM22" s="316">
        <f>income_tax(AI22)+medicare_levy(AI22)-IF((LITO(AI22,income_tax(AI22))+LMITO(AI22,income_tax(AI22)))&gt;income_tax(AI22),income_tax(AI22),LITO(AI22,income_tax(AI22)))-IF((LITO(AI22,income_tax(AI22))+LMITO(AI22,income_tax(AI22)))&gt;income_tax(AI22),0,LMITO(AI22,income_tax(AI22)))</f>
        <v>0</v>
      </c>
      <c r="AN22" s="360">
        <f>ROUNDDOWN((($C$12+$G$12+$K$12+$O$12+SUM(Model!$L$30:$L$31)-SUM(AJ22:AM22)-Model!$L$34)/12-$F$40)*(1-$S$42)-$S$15,0)</f>
        <v>0</v>
      </c>
      <c r="AO22" s="378">
        <f t="shared" si="11"/>
        <v>0</v>
      </c>
    </row>
    <row r="23" spans="1:41" x14ac:dyDescent="0.2">
      <c r="A23" s="697" t="s">
        <v>555</v>
      </c>
      <c r="C23" s="209">
        <f>IF((LITO(C20,C21)+LMITO(C20,C21))&gt;C21,C21,LITO(C20,C21))</f>
        <v>0</v>
      </c>
      <c r="D23" s="209">
        <f>IF((LITO(D20,D21)+LMITO(D20,D21))&gt;D21,D21,LITO(D20,D21))</f>
        <v>0</v>
      </c>
      <c r="E23" s="96"/>
      <c r="F23" s="96"/>
      <c r="G23" s="209">
        <f>IF((LITO(G20,G21)+LMITO(G20,G21))&gt;G21,G21,LITO(G20,G21))</f>
        <v>0</v>
      </c>
      <c r="H23" s="209">
        <f>IF((LITO(H20,H21)+LMITO(H20,H21))&gt;H21,H21,LITO(H20,H21))</f>
        <v>0</v>
      </c>
      <c r="I23" s="96"/>
      <c r="J23" s="96"/>
      <c r="K23" s="209">
        <f>IF((LITO(K20,K21)+LMITO(K20,K21))&gt;K21,K21,LITO(K20,K21))</f>
        <v>0</v>
      </c>
      <c r="L23" s="209">
        <f>IF((LITO(L20,L21)+LMITO(L20,L21))&gt;L21,L21,LITO(L20,L21))</f>
        <v>0</v>
      </c>
      <c r="M23" s="96"/>
      <c r="N23" s="96"/>
      <c r="O23" s="209">
        <f>IF((LITO(O20,O21)+LMITO(O20,O21))&gt;O21,O21,LITO(O20,O21))</f>
        <v>0</v>
      </c>
      <c r="P23" s="209">
        <f>IF((LITO(P20,P21)+LMITO(P20,P21))&gt;P21,P21,LITO(P20,P21))</f>
        <v>0</v>
      </c>
      <c r="Q23" s="97"/>
      <c r="R23" s="212" t="s">
        <v>136</v>
      </c>
      <c r="S23" s="356">
        <f>IF(ISERROR(SUM(S17:S22)),0,SUM(S17:S22))</f>
        <v>0</v>
      </c>
      <c r="T23" s="219" t="b">
        <f>AND(T17:T22)</f>
        <v>1</v>
      </c>
      <c r="U23" s="202" t="b">
        <f>AND(U17:U22)</f>
        <v>1</v>
      </c>
      <c r="V23" s="214" t="b">
        <f>OR(V17:V22)</f>
        <v>0</v>
      </c>
      <c r="W23" s="214" t="b">
        <f>AND(W17:W22)</f>
        <v>1</v>
      </c>
      <c r="X23" s="563"/>
      <c r="AB23" s="317">
        <f>IF($Z$18,$AO22*$Z$14*IF(SUM('Neg Gearing'!$E$20:$H$20)&gt;0,'Neg Gearing'!E$20,(100%/$Z$9)*(AF$15&gt;0))+AB$15,0)</f>
        <v>0</v>
      </c>
      <c r="AC23" s="317">
        <f>IF($Z$18,$AO22*$Z$14*IF(SUM('Neg Gearing'!$E$20:$H$20)&gt;0,'Neg Gearing'!F$20,(100%/$Z$9)*(AG$15&gt;0))+AC$15,0)</f>
        <v>0</v>
      </c>
      <c r="AD23" s="317">
        <f>IF($Z$18,$AO22*$Z$14*IF(SUM('Neg Gearing'!$E$20:$H$20)&gt;0,'Neg Gearing'!G$20,(100%/$Z$9)*(AH$15&gt;0))+AD$15,0)</f>
        <v>0</v>
      </c>
      <c r="AE23" s="317">
        <f>IF($Z$18,$AO22*$Z$14*IF(SUM('Neg Gearing'!$E$20:$H$20)&gt;0,'Neg Gearing'!H$20,(100%/$Z$9)*(AI$15&gt;0))+AE$15,0)</f>
        <v>0</v>
      </c>
      <c r="AF23" s="316">
        <f t="shared" si="12"/>
        <v>0</v>
      </c>
      <c r="AG23" s="316">
        <f t="shared" si="13"/>
        <v>0</v>
      </c>
      <c r="AH23" s="316">
        <f t="shared" si="14"/>
        <v>0</v>
      </c>
      <c r="AI23" s="316">
        <f t="shared" si="15"/>
        <v>0</v>
      </c>
      <c r="AJ23" s="316">
        <f>income_tax(AF23)+medicare_levy(AF23)-IF((LITO(AF23,income_tax(AF23))+LMITO(AF23,income_tax(AF23)))&gt;income_tax(AF23),income_tax(AF23),LITO(AF23,income_tax(AF23)))-IF((LITO(AF23,income_tax(AF23))+LMITO(AF23,income_tax(AF23)))&gt;income_tax(AF23),0,LMITO(AF23,income_tax(AF23)))</f>
        <v>0</v>
      </c>
      <c r="AK23" s="316">
        <f>income_tax(AG23)+medicare_levy(AG23)-IF((LITO(AG23,income_tax(AG23))+LMITO(AG23,income_tax(AG23)))&gt;income_tax(AG23),income_tax(AG23),LITO(AG23,income_tax(AG23)))-IF((LITO(AG23,income_tax(AG23))+LMITO(AG23,income_tax(AG23)))&gt;income_tax(AG23),0,LMITO(AG23,income_tax(AG23)))</f>
        <v>0</v>
      </c>
      <c r="AL23" s="316">
        <f>income_tax(AH23)+medicare_levy(AH23)-IF((LITO(AH23,income_tax(AH23))+LMITO(AH23,income_tax(AH23)))&gt;income_tax(AH23),income_tax(AH23),LITO(AH23,income_tax(AH23)))-IF((LITO(AH23,income_tax(AH23))+LMITO(AH23,income_tax(AH23)))&gt;income_tax(AH23),0,LMITO(AH23,income_tax(AH23)))</f>
        <v>0</v>
      </c>
      <c r="AM23" s="316">
        <f>income_tax(AI23)+medicare_levy(AI23)-IF((LITO(AI23,income_tax(AI23))+LMITO(AI23,income_tax(AI23)))&gt;income_tax(AI23),income_tax(AI23),LITO(AI23,income_tax(AI23)))-IF((LITO(AI23,income_tax(AI23))+LMITO(AI23,income_tax(AI23)))&gt;income_tax(AI23),0,LMITO(AI23,income_tax(AI23)))</f>
        <v>0</v>
      </c>
      <c r="AN23" s="360">
        <f>ROUNDDOWN((($C$12+$G$12+$K$12+$O$12+SUM(Model!$L$30:$L$31)-SUM(AJ23:AM23)-Model!$L$34)/12-$F$40)*(1-$S$42)-$S$15,0)</f>
        <v>0</v>
      </c>
      <c r="AO23" s="378">
        <f t="shared" si="11"/>
        <v>0</v>
      </c>
    </row>
    <row r="24" spans="1:41" x14ac:dyDescent="0.2">
      <c r="A24" s="697" t="s">
        <v>559</v>
      </c>
      <c r="C24" s="209">
        <f>IF((LITO(C20,C21)+LMITO(C20,C21))&gt;C21,0,LMITO(C20,C21))</f>
        <v>0</v>
      </c>
      <c r="D24" s="209">
        <f>IF((LITO(D20,D21)+LMITO(D20,D21))&gt;D21,0,LMITO(D20,D21))</f>
        <v>0</v>
      </c>
      <c r="E24" s="96"/>
      <c r="F24" s="96"/>
      <c r="G24" s="209">
        <f>IF((LITO(G20,G21)+LMITO(G20,G21))&gt;G21,0,LMITO(G20,G21))</f>
        <v>0</v>
      </c>
      <c r="H24" s="209">
        <f>IF((LITO(H20,H21)+LMITO(H20,H21))&gt;H21,0,LMITO(H20,H21))</f>
        <v>0</v>
      </c>
      <c r="I24" s="96"/>
      <c r="J24" s="96"/>
      <c r="K24" s="209">
        <f>IF((LITO(K20,K21)+LMITO(K20,K21))&gt;K21,0,LMITO(K20,K21))</f>
        <v>0</v>
      </c>
      <c r="L24" s="209">
        <f>IF((LITO(L20,L21)+LMITO(L20,L21))&gt;L21,0,LMITO(L20,L21))</f>
        <v>0</v>
      </c>
      <c r="M24" s="96"/>
      <c r="N24" s="96"/>
      <c r="O24" s="209">
        <f>IF((LITO(O20,O21)+LMITO(O20,O21))&gt;O21,0,LMITO(O20,O21))</f>
        <v>0</v>
      </c>
      <c r="P24" s="209">
        <f>IF((LITO(P20,P21)+LMITO(P20,P21))&gt;P21,0,LMITO(P20,P21))</f>
        <v>0</v>
      </c>
      <c r="Q24" s="97"/>
      <c r="R24" s="212" t="s">
        <v>182</v>
      </c>
      <c r="S24" s="356">
        <f>S15+S23</f>
        <v>0</v>
      </c>
      <c r="T24" s="97"/>
      <c r="U24" s="220"/>
      <c r="AB24" s="317">
        <f>IF($Z$18,$AO23*$Z$14*IF(SUM('Neg Gearing'!$E$20:$H$20)&gt;0,'Neg Gearing'!E$20,(100%/$Z$9)*(AF$15&gt;0))+AB$15,0)</f>
        <v>0</v>
      </c>
      <c r="AC24" s="317">
        <f>IF($Z$18,$AO23*$Z$14*IF(SUM('Neg Gearing'!$E$20:$H$20)&gt;0,'Neg Gearing'!F$20,(100%/$Z$9)*(AG$15&gt;0))+AC$15,0)</f>
        <v>0</v>
      </c>
      <c r="AD24" s="317">
        <f>IF($Z$18,$AO23*$Z$14*IF(SUM('Neg Gearing'!$E$20:$H$20)&gt;0,'Neg Gearing'!G$20,(100%/$Z$9)*(AH$15&gt;0))+AD$15,0)</f>
        <v>0</v>
      </c>
      <c r="AE24" s="317">
        <f>IF($Z$18,$AO23*$Z$14*IF(SUM('Neg Gearing'!$E$20:$H$20)&gt;0,'Neg Gearing'!H$20,(100%/$Z$9)*(AI$15&gt;0))+AE$15,0)</f>
        <v>0</v>
      </c>
      <c r="AF24" s="316">
        <f t="shared" si="12"/>
        <v>0</v>
      </c>
      <c r="AG24" s="316">
        <f t="shared" si="13"/>
        <v>0</v>
      </c>
      <c r="AH24" s="316">
        <f t="shared" si="14"/>
        <v>0</v>
      </c>
      <c r="AI24" s="316">
        <f t="shared" si="15"/>
        <v>0</v>
      </c>
      <c r="AJ24" s="316">
        <f>income_tax(AF24)+medicare_levy(AF24)-IF((LITO(AF24,income_tax(AF24))+LMITO(AF24,income_tax(AF24)))&gt;income_tax(AF24),income_tax(AF24),LITO(AF24,income_tax(AF24)))-IF((LITO(AF24,income_tax(AF24))+LMITO(AF24,income_tax(AF24)))&gt;income_tax(AF24),0,LMITO(AF24,income_tax(AF24)))</f>
        <v>0</v>
      </c>
      <c r="AK24" s="316">
        <f>income_tax(AG24)+medicare_levy(AG24)-IF((LITO(AG24,income_tax(AG24))+LMITO(AG24,income_tax(AG24)))&gt;income_tax(AG24),income_tax(AG24),LITO(AG24,income_tax(AG24)))-IF((LITO(AG24,income_tax(AG24))+LMITO(AG24,income_tax(AG24)))&gt;income_tax(AG24),0,LMITO(AG24,income_tax(AG24)))</f>
        <v>0</v>
      </c>
      <c r="AL24" s="316">
        <f>income_tax(AH24)+medicare_levy(AH24)-IF((LITO(AH24,income_tax(AH24))+LMITO(AH24,income_tax(AH24)))&gt;income_tax(AH24),income_tax(AH24),LITO(AH24,income_tax(AH24)))-IF((LITO(AH24,income_tax(AH24))+LMITO(AH24,income_tax(AH24)))&gt;income_tax(AH24),0,LMITO(AH24,income_tax(AH24)))</f>
        <v>0</v>
      </c>
      <c r="AM24" s="316">
        <f>income_tax(AI24)+medicare_levy(AI24)-IF((LITO(AI24,income_tax(AI24))+LMITO(AI24,income_tax(AI24)))&gt;income_tax(AI24),income_tax(AI24),LITO(AI24,income_tax(AI24)))-IF((LITO(AI24,income_tax(AI24))+LMITO(AI24,income_tax(AI24)))&gt;income_tax(AI24),0,LMITO(AI24,income_tax(AI24)))</f>
        <v>0</v>
      </c>
      <c r="AN24" s="360">
        <f>ROUNDDOWN((($C$12+$G$12+$K$12+$O$12+SUM(Model!$L$30:$L$31)-SUM(AJ24:AM24)-Model!$L$34)/12-$F$40)*(1-$S$42)-$S$15,0)</f>
        <v>0</v>
      </c>
      <c r="AO24" s="378">
        <f t="shared" si="11"/>
        <v>0</v>
      </c>
    </row>
    <row r="25" spans="1:41" x14ac:dyDescent="0.2">
      <c r="A25" s="324" t="s">
        <v>175</v>
      </c>
      <c r="C25" s="326">
        <f>C21+C22-C23-C24</f>
        <v>0</v>
      </c>
      <c r="D25" s="326">
        <f t="shared" ref="D25:P25" si="24">D21+D22-D23-D24</f>
        <v>0</v>
      </c>
      <c r="E25" s="96"/>
      <c r="F25" s="96"/>
      <c r="G25" s="326">
        <f t="shared" si="24"/>
        <v>0</v>
      </c>
      <c r="H25" s="326">
        <f t="shared" si="24"/>
        <v>0</v>
      </c>
      <c r="I25" s="96"/>
      <c r="J25" s="96"/>
      <c r="K25" s="326">
        <f t="shared" si="24"/>
        <v>0</v>
      </c>
      <c r="L25" s="326">
        <f t="shared" si="24"/>
        <v>0</v>
      </c>
      <c r="M25" s="96"/>
      <c r="N25" s="96"/>
      <c r="O25" s="326">
        <f t="shared" si="24"/>
        <v>0</v>
      </c>
      <c r="P25" s="326">
        <f t="shared" si="24"/>
        <v>0</v>
      </c>
      <c r="Q25" s="97"/>
      <c r="R25" s="216"/>
      <c r="S25" s="217"/>
      <c r="T25" s="97"/>
      <c r="AB25" s="317">
        <f>IF($Z$18,$AO24*$Z$14*IF(SUM('Neg Gearing'!$E$20:$H$20)&gt;0,'Neg Gearing'!E$20,(100%/$Z$9)*(AF$15&gt;0))+AB$15,0)</f>
        <v>0</v>
      </c>
      <c r="AC25" s="317">
        <f>IF($Z$18,$AO24*$Z$14*IF(SUM('Neg Gearing'!$E$20:$H$20)&gt;0,'Neg Gearing'!F$20,(100%/$Z$9)*(AG$15&gt;0))+AC$15,0)</f>
        <v>0</v>
      </c>
      <c r="AD25" s="317">
        <f>IF($Z$18,$AO24*$Z$14*IF(SUM('Neg Gearing'!$E$20:$H$20)&gt;0,'Neg Gearing'!G$20,(100%/$Z$9)*(AH$15&gt;0))+AD$15,0)</f>
        <v>0</v>
      </c>
      <c r="AE25" s="317">
        <f>IF($Z$18,$AO24*$Z$14*IF(SUM('Neg Gearing'!$E$20:$H$20)&gt;0,'Neg Gearing'!H$20,(100%/$Z$9)*(AI$15&gt;0))+AE$15,0)</f>
        <v>0</v>
      </c>
      <c r="AF25" s="316">
        <f t="shared" si="12"/>
        <v>0</v>
      </c>
      <c r="AG25" s="316">
        <f t="shared" si="13"/>
        <v>0</v>
      </c>
      <c r="AH25" s="316">
        <f t="shared" si="14"/>
        <v>0</v>
      </c>
      <c r="AI25" s="316">
        <f t="shared" si="15"/>
        <v>0</v>
      </c>
      <c r="AJ25" s="316">
        <f>income_tax(AF25)+medicare_levy(AF25)-IF((LITO(AF25,income_tax(AF25))+LMITO(AF25,income_tax(AF25)))&gt;income_tax(AF25),income_tax(AF25),LITO(AF25,income_tax(AF25)))-IF((LITO(AF25,income_tax(AF25))+LMITO(AF25,income_tax(AF25)))&gt;income_tax(AF25),0,LMITO(AF25,income_tax(AF25)))</f>
        <v>0</v>
      </c>
      <c r="AK25" s="316">
        <f>income_tax(AG25)+medicare_levy(AG25)-IF((LITO(AG25,income_tax(AG25))+LMITO(AG25,income_tax(AG25)))&gt;income_tax(AG25),income_tax(AG25),LITO(AG25,income_tax(AG25)))-IF((LITO(AG25,income_tax(AG25))+LMITO(AG25,income_tax(AG25)))&gt;income_tax(AG25),0,LMITO(AG25,income_tax(AG25)))</f>
        <v>0</v>
      </c>
      <c r="AL25" s="316">
        <f>income_tax(AH25)+medicare_levy(AH25)-IF((LITO(AH25,income_tax(AH25))+LMITO(AH25,income_tax(AH25)))&gt;income_tax(AH25),income_tax(AH25),LITO(AH25,income_tax(AH25)))-IF((LITO(AH25,income_tax(AH25))+LMITO(AH25,income_tax(AH25)))&gt;income_tax(AH25),0,LMITO(AH25,income_tax(AH25)))</f>
        <v>0</v>
      </c>
      <c r="AM25" s="316">
        <f>income_tax(AI25)+medicare_levy(AI25)-IF((LITO(AI25,income_tax(AI25))+LMITO(AI25,income_tax(AI25)))&gt;income_tax(AI25),income_tax(AI25),LITO(AI25,income_tax(AI25)))-IF((LITO(AI25,income_tax(AI25))+LMITO(AI25,income_tax(AI25)))&gt;income_tax(AI25),0,LMITO(AI25,income_tax(AI25)))</f>
        <v>0</v>
      </c>
      <c r="AN25" s="360">
        <f>ROUNDDOWN((($C$12+$G$12+$K$12+$O$12+SUM(Model!$L$30:$L$31)-SUM(AJ25:AM25)-Model!$L$34)/12-$F$40)*(1-$S$42)-$S$15,0)</f>
        <v>0</v>
      </c>
      <c r="AO25" s="378">
        <f t="shared" si="11"/>
        <v>0</v>
      </c>
    </row>
    <row r="26" spans="1:41" x14ac:dyDescent="0.2">
      <c r="A26" s="323" t="s">
        <v>177</v>
      </c>
      <c r="C26" s="209">
        <f>IF(C13-C21&lt;0,C13,C13-C21)</f>
        <v>0</v>
      </c>
      <c r="D26" s="209">
        <f>IF(D13-D21&lt;0,D13,D13-D21)</f>
        <v>0</v>
      </c>
      <c r="E26" s="96"/>
      <c r="F26" s="96"/>
      <c r="G26" s="209">
        <f>IF(G13-G21&lt;0,G13,G13-G21)</f>
        <v>0</v>
      </c>
      <c r="H26" s="209">
        <f>IF(H13-H21&lt;0,H13,H13-H21)</f>
        <v>0</v>
      </c>
      <c r="I26" s="96"/>
      <c r="J26" s="96"/>
      <c r="K26" s="209">
        <f>IF(K13-K21&lt;0,K13,K13-K21)</f>
        <v>0</v>
      </c>
      <c r="L26" s="209">
        <f>IF(L13-L21&lt;0,L13,L13-L21)</f>
        <v>0</v>
      </c>
      <c r="M26" s="325"/>
      <c r="O26" s="209">
        <f>IF(O13-O21&lt;0,O13,O13-O21)</f>
        <v>0</v>
      </c>
      <c r="P26" s="209">
        <f>IF(P13-P21&lt;0,P13,P13-P21)</f>
        <v>0</v>
      </c>
      <c r="Q26" s="97"/>
      <c r="R26" s="227" t="s">
        <v>188</v>
      </c>
      <c r="S26" s="228">
        <f>IF(S4&gt;0,IF(S24*12+Model!L34&gt;S3,IF(S2&lt;S4*Data!C18,(S24*12+Model!L34-S3)/S1,(S24*12+Model!L34)/S4),(S24*12+Model!L34)/S4),0)</f>
        <v>0</v>
      </c>
      <c r="T26" s="304"/>
      <c r="U26" s="307"/>
    </row>
    <row r="27" spans="1:41" x14ac:dyDescent="0.2">
      <c r="A27" s="323" t="s">
        <v>179</v>
      </c>
      <c r="C27" s="209">
        <f>IF(C14-C22&lt;0,C14,C14-C22)</f>
        <v>0</v>
      </c>
      <c r="D27" s="209">
        <f>IF(D14-D22&lt;0,D14,D14-D22)</f>
        <v>0</v>
      </c>
      <c r="E27" s="96"/>
      <c r="F27" s="96"/>
      <c r="G27" s="209">
        <f>IF(G14-G22&lt;0,G14,G14-G22)</f>
        <v>0</v>
      </c>
      <c r="H27" s="209">
        <f>IF(H14-H22&lt;0,H14,H14-H22)</f>
        <v>0</v>
      </c>
      <c r="I27" s="96"/>
      <c r="J27" s="96"/>
      <c r="K27" s="209">
        <f>IF(K14-K22&lt;0,K14,K14-K22)</f>
        <v>0</v>
      </c>
      <c r="L27" s="209">
        <f>IF(L14-L22&lt;0,L14,L14-L22)</f>
        <v>0</v>
      </c>
      <c r="M27" s="96"/>
      <c r="N27" s="96"/>
      <c r="O27" s="209">
        <f>IF(O14-O22&lt;0,O14,O14-O22)</f>
        <v>0</v>
      </c>
      <c r="P27" s="209">
        <f>IF(P14-P22&lt;0,P14,P14-P22)</f>
        <v>0</v>
      </c>
      <c r="Q27" s="97"/>
      <c r="R27" s="195" t="s">
        <v>190</v>
      </c>
      <c r="S27" s="229">
        <f>VLOOKUP(IF(S2&lt;S4*Data!C18,S1,S4),Data!$I$3:$K$7,3)</f>
        <v>0.1</v>
      </c>
      <c r="T27" s="97"/>
    </row>
    <row r="28" spans="1:41" x14ac:dyDescent="0.2">
      <c r="A28" s="697" t="s">
        <v>560</v>
      </c>
      <c r="C28" s="209">
        <f>IF((C15+C16)-(C23+C24)&lt;0,(C23+C24)-(C15+C16),(C15+C16)-(C23+C24))</f>
        <v>0</v>
      </c>
      <c r="D28" s="209">
        <f t="shared" ref="D28:P28" si="25">IF((D15+D16)-(D23+D24)&lt;0,(D23+D24)-(D15+D16),(D15+D16)-(D23+D24))</f>
        <v>0</v>
      </c>
      <c r="E28" s="96"/>
      <c r="F28" s="96"/>
      <c r="G28" s="209">
        <f t="shared" si="25"/>
        <v>0</v>
      </c>
      <c r="H28" s="209">
        <f t="shared" si="25"/>
        <v>0</v>
      </c>
      <c r="I28" s="96"/>
      <c r="J28" s="96"/>
      <c r="K28" s="209">
        <f t="shared" si="25"/>
        <v>0</v>
      </c>
      <c r="L28" s="209">
        <f t="shared" si="25"/>
        <v>0</v>
      </c>
      <c r="M28" s="96"/>
      <c r="N28" s="96"/>
      <c r="O28" s="209">
        <f t="shared" si="25"/>
        <v>0</v>
      </c>
      <c r="P28" s="209">
        <f t="shared" si="25"/>
        <v>0</v>
      </c>
      <c r="Q28" s="97"/>
      <c r="R28" s="96"/>
      <c r="S28" s="231"/>
      <c r="T28" s="232" t="s">
        <v>191</v>
      </c>
    </row>
    <row r="29" spans="1:41" x14ac:dyDescent="0.2">
      <c r="A29" s="324" t="s">
        <v>181</v>
      </c>
      <c r="C29" s="326">
        <f>C17-C25</f>
        <v>0</v>
      </c>
      <c r="D29" s="326">
        <f t="shared" ref="D29:P29" si="26">D17-D25</f>
        <v>0</v>
      </c>
      <c r="E29" s="96"/>
      <c r="F29" s="96"/>
      <c r="G29" s="326">
        <f t="shared" si="26"/>
        <v>0</v>
      </c>
      <c r="H29" s="326">
        <f t="shared" si="26"/>
        <v>0</v>
      </c>
      <c r="I29" s="96"/>
      <c r="J29" s="96"/>
      <c r="K29" s="326">
        <f t="shared" si="26"/>
        <v>0</v>
      </c>
      <c r="L29" s="326">
        <f t="shared" si="26"/>
        <v>0</v>
      </c>
      <c r="M29" s="96"/>
      <c r="N29" s="96"/>
      <c r="O29" s="326">
        <f t="shared" si="26"/>
        <v>0</v>
      </c>
      <c r="P29" s="326">
        <f t="shared" si="26"/>
        <v>0</v>
      </c>
      <c r="Q29" s="97"/>
      <c r="R29" s="96"/>
      <c r="S29" s="231"/>
      <c r="T29" s="232"/>
    </row>
    <row r="30" spans="1:41" x14ac:dyDescent="0.2">
      <c r="A30" s="97"/>
      <c r="B30" s="97"/>
      <c r="C30" s="97"/>
      <c r="D30" s="97"/>
      <c r="E30" s="328"/>
      <c r="F30" s="328"/>
      <c r="G30" s="328"/>
      <c r="H30" s="328"/>
      <c r="I30" s="328"/>
      <c r="J30" s="328"/>
      <c r="K30" s="328"/>
      <c r="L30" s="328"/>
      <c r="M30" s="328"/>
      <c r="N30" s="328"/>
      <c r="O30" s="328"/>
      <c r="P30" s="328"/>
      <c r="Q30" s="97"/>
      <c r="R30" s="195" t="s">
        <v>192</v>
      </c>
      <c r="S30" s="359">
        <f>IF(Model!B52="Credit Card",0,MAX(0,ROUNDDOWN(MAX(S27*S4/12,IF(S2&lt;S4*Data!C18,(S27*(S4-S2)+S3)/12,0))-S15-Model!L34/12,0)))</f>
        <v>0</v>
      </c>
      <c r="T30" s="359">
        <f>IF(OR(Model!B67="",Model!H67="",Model!I67="",NOT(V5)),0,MAX(0,ROUNDDOWN(MAX(S27*S4/12,IF(S2&lt;S4*Data!C18,(S27*(S4-S2)+S3)/12,0))-S15-Model!L34/12,0)))</f>
        <v>0</v>
      </c>
      <c r="U30" s="308"/>
    </row>
    <row r="31" spans="1:41" x14ac:dyDescent="0.2">
      <c r="A31" s="697" t="s">
        <v>52</v>
      </c>
      <c r="B31" s="326">
        <f>Model!G30</f>
        <v>0</v>
      </c>
      <c r="C31" s="326">
        <f>B31*Data!G28</f>
        <v>0</v>
      </c>
      <c r="D31" s="97"/>
      <c r="E31" s="328"/>
      <c r="F31" s="326">
        <f>Model!H30</f>
        <v>0</v>
      </c>
      <c r="G31" s="326">
        <f>F31*Data!G28</f>
        <v>0</v>
      </c>
      <c r="H31" s="328"/>
      <c r="I31" s="328"/>
      <c r="J31" s="326">
        <f>Model!I30</f>
        <v>0</v>
      </c>
      <c r="K31" s="326">
        <f>J31*Data!G28</f>
        <v>0</v>
      </c>
      <c r="L31" s="328"/>
      <c r="M31" s="328"/>
      <c r="N31" s="326">
        <f>Model!J30</f>
        <v>0</v>
      </c>
      <c r="O31" s="326">
        <f>N31*Data!G28</f>
        <v>0</v>
      </c>
      <c r="P31" s="328"/>
      <c r="Q31" s="97"/>
      <c r="R31" s="195" t="s">
        <v>193</v>
      </c>
      <c r="S31" s="196">
        <f>IF(OR(S30=0,Model!B52="Credit Card"),0,-PV(Model!H66/12,(Model!I66-IF(Model!J66="",0,Model!J66))*12,S30-IF(Model!K66="",0,Model!K66)))</f>
        <v>0</v>
      </c>
      <c r="T31" s="196">
        <f>IF(T30=0,0,-PV(Model!H67/12,(Model!I67-Model!J67)*12,T30-Model!K67))</f>
        <v>0</v>
      </c>
      <c r="U31" s="56"/>
    </row>
    <row r="32" spans="1:41" x14ac:dyDescent="0.2">
      <c r="A32" s="697" t="s">
        <v>54</v>
      </c>
      <c r="B32" s="326">
        <f>Model!G31</f>
        <v>0</v>
      </c>
      <c r="C32" s="326">
        <f>B32</f>
        <v>0</v>
      </c>
      <c r="D32" s="97"/>
      <c r="E32" s="328"/>
      <c r="F32" s="326">
        <f>Model!H31</f>
        <v>0</v>
      </c>
      <c r="G32" s="326">
        <f>F32</f>
        <v>0</v>
      </c>
      <c r="H32" s="328"/>
      <c r="I32" s="328"/>
      <c r="J32" s="326">
        <f>Model!I31</f>
        <v>0</v>
      </c>
      <c r="K32" s="326">
        <f>J32</f>
        <v>0</v>
      </c>
      <c r="L32" s="328"/>
      <c r="M32" s="328"/>
      <c r="N32" s="326">
        <f>Model!J31</f>
        <v>0</v>
      </c>
      <c r="O32" s="326">
        <f>N32</f>
        <v>0</v>
      </c>
      <c r="P32" s="328"/>
      <c r="Q32" s="97"/>
      <c r="R32" s="96"/>
      <c r="S32" s="226" t="s">
        <v>198</v>
      </c>
      <c r="T32" s="232" t="s">
        <v>199</v>
      </c>
    </row>
    <row r="33" spans="1:22" x14ac:dyDescent="0.2">
      <c r="A33" s="97"/>
      <c r="B33" s="97"/>
      <c r="C33" s="97"/>
      <c r="D33" s="97"/>
      <c r="E33" s="328"/>
      <c r="F33" s="328"/>
      <c r="G33" s="328"/>
      <c r="H33" s="328"/>
      <c r="I33" s="328"/>
      <c r="J33" s="328"/>
      <c r="K33" s="328"/>
      <c r="L33" s="328"/>
      <c r="M33" s="328"/>
      <c r="N33" s="328"/>
      <c r="O33" s="328"/>
      <c r="P33" s="328"/>
      <c r="Q33" s="97"/>
      <c r="R33" s="241" t="s">
        <v>201</v>
      </c>
      <c r="S33" s="199">
        <f>IF(V5,S41-S24,0)</f>
        <v>0</v>
      </c>
      <c r="T33" s="199">
        <f>IF(V5,S40-S24,0)</f>
        <v>0</v>
      </c>
    </row>
    <row r="34" spans="1:22" x14ac:dyDescent="0.2">
      <c r="A34" s="221" t="s">
        <v>183</v>
      </c>
      <c r="B34" s="222" t="s">
        <v>83</v>
      </c>
      <c r="C34" s="223" t="s">
        <v>184</v>
      </c>
      <c r="D34" s="222" t="s">
        <v>185</v>
      </c>
      <c r="E34" s="330" t="s">
        <v>186</v>
      </c>
      <c r="F34" s="222" t="s">
        <v>136</v>
      </c>
      <c r="G34" s="97"/>
      <c r="H34" s="224"/>
      <c r="I34" s="224"/>
      <c r="J34" s="224"/>
      <c r="K34" s="224"/>
      <c r="L34" s="224"/>
      <c r="M34" s="224"/>
      <c r="N34" s="224"/>
      <c r="O34" s="224"/>
      <c r="P34" s="224"/>
      <c r="Q34" s="97"/>
      <c r="R34" s="241" t="s">
        <v>203</v>
      </c>
      <c r="S34" s="365">
        <f>IF(V5,ROUNDDOWN((T41-S15),0),0)</f>
        <v>0</v>
      </c>
      <c r="T34" s="97"/>
    </row>
    <row r="35" spans="1:22" x14ac:dyDescent="0.2">
      <c r="A35" s="84" t="s">
        <v>187</v>
      </c>
      <c r="B35" s="615">
        <f>IF(OR(Model!H10="",Model!H10=0),0,Model!H10)</f>
        <v>0</v>
      </c>
      <c r="C35" s="615">
        <f>IF(OR(Model!I10="",Model!I10=0),0,Model!I10)</f>
        <v>0</v>
      </c>
      <c r="D35" s="615">
        <f>IF(OR(Model!J10="",Model!J10=0),0,Model!J10)</f>
        <v>0</v>
      </c>
      <c r="E35" s="615">
        <f>IF(OR(Model!K10="",Model!K10=0),0,Model!K10)</f>
        <v>0</v>
      </c>
      <c r="F35" s="400">
        <f>SUM(B35:E35)</f>
        <v>0</v>
      </c>
      <c r="G35" s="97"/>
      <c r="H35" s="226"/>
      <c r="I35" s="226"/>
      <c r="J35" s="226"/>
      <c r="K35" s="226"/>
      <c r="L35" s="226"/>
      <c r="M35" s="226"/>
      <c r="N35" s="226"/>
      <c r="O35" s="226"/>
      <c r="P35" s="226"/>
      <c r="Q35" s="97"/>
      <c r="R35" s="96"/>
      <c r="S35" s="200"/>
      <c r="T35" s="232" t="s">
        <v>191</v>
      </c>
    </row>
    <row r="36" spans="1:22" x14ac:dyDescent="0.2">
      <c r="A36" s="84" t="s">
        <v>189</v>
      </c>
      <c r="B36" s="225">
        <f>IF(OR(Model!H11="",Model!H11=0),0,Model!H11)</f>
        <v>0</v>
      </c>
      <c r="C36" s="225">
        <f>IF(OR(Model!I11="",Model!I11=0),0,Model!I11)</f>
        <v>0</v>
      </c>
      <c r="D36" s="225">
        <f>IF(OR(Model!J11="",Model!J11=0),0,Model!J11)</f>
        <v>0</v>
      </c>
      <c r="E36" s="225">
        <f>IF(OR(Model!K11="",Model!K11=0),0,Model!K11)</f>
        <v>0</v>
      </c>
      <c r="F36" s="400">
        <f>SUM(B36:E36)</f>
        <v>0</v>
      </c>
      <c r="G36" s="97"/>
      <c r="H36" s="226"/>
      <c r="I36" s="226"/>
      <c r="J36" s="226"/>
      <c r="K36" s="226"/>
      <c r="L36" s="226"/>
      <c r="M36" s="226"/>
      <c r="N36" s="226"/>
      <c r="O36" s="226"/>
      <c r="P36" s="226"/>
      <c r="Q36" s="97"/>
      <c r="R36" s="247" t="s">
        <v>192</v>
      </c>
      <c r="S36" s="199" t="e">
        <f>IF(AND(U23,Model!B52&lt;&gt;"Credit Card"),MAX(-PMT(Model!H66/12,(Model!I66-IF(Model!J66="",0,Model!J66))*12,S37)+IF(Model!K66="",0,Model!K66),AN12),0)</f>
        <v>#VALUE!</v>
      </c>
      <c r="T36" s="199">
        <f>IF(OR(Model!B67="",Model!H67="",Model!I67="",NOT(V5)),0,MAX(-PMT(Model!H67/12,(Model!I67-Model!J67)*12,T37)+Model!K67,AN25))</f>
        <v>0</v>
      </c>
    </row>
    <row r="37" spans="1:22" x14ac:dyDescent="0.2">
      <c r="A37" s="420" t="s">
        <v>467</v>
      </c>
      <c r="B37" s="795">
        <f>IF(Model!$G$16="Household 1",$C$12+$C$31+$C$32)+IF(Model!$H$16="Household 1",$G$12+$G$31+$G$32)+IF(Model!$I$16="Household 1",$K$12+$K$31+$K$32)+IF(Model!$J$16="Household 1",$O$12+$O$31+$O$32)</f>
        <v>0</v>
      </c>
      <c r="C37" s="795">
        <f>IF(Model!$G$16="Household 2",$C$12+$C$31+$C$32)+IF(Model!$H$16="Household 2",$G$12+$G$31+$G$32)+IF(Model!$I$16="Household 2",$K$12+$K$31+$K$32)+IF(Model!$J$16="Household 2",$O$12+$O$31+$O$32)</f>
        <v>0</v>
      </c>
      <c r="D37" s="795">
        <f>IF(Model!$G$16="Household 3",$C$12+$C$31+$C$32)+IF(Model!$H$16="Household 3",$G$12+$G$31+$G$32)+IF(Model!$I$16="Household 3",$K$12+$K$31+$K$32)+IF(Model!$J$16="Household 3",$O$12+$O$31+$O$32)</f>
        <v>0</v>
      </c>
      <c r="E37" s="795">
        <f>IF(Model!$G$16="Household 4",$C$12+$C$31+$C$32)+IF(Model!$H$16="Household 4",$G$12+$G$31+$G$32)+IF(Model!$I$16="Household 4",$K$12+$K$31+$K$32)+IF(Model!$J$16="Household 4",$O$12+$O$31+$O$32)</f>
        <v>0</v>
      </c>
      <c r="F37" s="796">
        <f>SUM(B37:E37)</f>
        <v>0</v>
      </c>
      <c r="G37" s="97"/>
      <c r="H37" s="226"/>
      <c r="I37" s="226"/>
      <c r="J37" s="226"/>
      <c r="K37" s="226"/>
      <c r="L37" s="226"/>
      <c r="M37" s="226"/>
      <c r="N37" s="226"/>
      <c r="O37" s="226"/>
      <c r="P37" s="226"/>
      <c r="Q37" s="97"/>
      <c r="R37" s="247" t="s">
        <v>193</v>
      </c>
      <c r="S37" s="199" t="e">
        <f>IF(AND(U23,Model!B52&lt;&gt;"Credit Card"),MAX(ROUNDDOWN(PV(Model!H66/12,(Model!I66-IF(Model!J66="",0,Model!J66))*12,-(S34-IF(Model!K66="",0,Model!K66)),0),0),AO12),0)</f>
        <v>#VALUE!</v>
      </c>
      <c r="T37" s="199">
        <f>IF(OR(S34&lt;=0,Model!B67="",Model!H67="",Model!I67=""),0,IF(Model!H67&lt;=0,0,MAX(ROUNDDOWN(MIN(PV(Model!H67/12,(Model!I67-Model!J67)*12,-(S34-Model!K67),0)),0),AO25)))</f>
        <v>0</v>
      </c>
    </row>
    <row r="38" spans="1:22" x14ac:dyDescent="0.2">
      <c r="A38" s="420" t="s">
        <v>357</v>
      </c>
      <c r="B38" s="616">
        <f>IF(B35=0,0,IF(B35=1,VLOOKUP(B37,Data!$Q$23:$AC$43,3+MIN(3,B36))+IF(B36&gt;3,(B36-3)*VLOOKUP(B37,Data!$Q$23:$AC$43,7),0),VLOOKUP(B37,Data!$Q$23:$AC$43,8+MIN(3,B36))+IF(B36&gt;3,(B36-3)*VLOOKUP(B37,Data!$Q$23:$AC$43,12),0)+IF(B35&gt;2,(B35-2)*VLOOKUP(B37,Data!$Q$23:$AC$43,13),0)))</f>
        <v>0</v>
      </c>
      <c r="C38" s="616">
        <f>IF(C35=0,0,IF(C35=1,VLOOKUP(C37,Data!$Q$23:$AC$43,3+MIN(3,C36))+IF(C36&gt;3,(C36-3)*VLOOKUP(C37,Data!$Q$23:$AC$43,7),0),VLOOKUP(C37,Data!$Q$23:$AC$43,8+MIN(3,C36))+IF(C36&gt;3,(C36-3)*VLOOKUP(C37,Data!$Q$23:$AC$43,12),0)+IF(C35&gt;2,(C35-2)*VLOOKUP(C37,Data!$Q$23:$AC$43,13),0)))</f>
        <v>0</v>
      </c>
      <c r="D38" s="616">
        <f>IF(D35=0,0,IF(D35=1,VLOOKUP(D37,Data!$Q$23:$AC$43,3+MIN(3,D36))+IF(D36&gt;3,(D36-3)*VLOOKUP(D37,Data!$Q$23:$AC$43,7),0),VLOOKUP(D37,Data!$Q$23:$AC$43,8+MIN(3,D36))+IF(D36&gt;3,(D36-3)*VLOOKUP(D37,Data!$Q$23:$AC$43,12),0)+IF(D35&gt;2,(D35-2)*VLOOKUP(D37,Data!$Q$23:$AC$43,13),0)))</f>
        <v>0</v>
      </c>
      <c r="E38" s="616">
        <f>IF(E35=0,0,IF(E35=1,VLOOKUP(E37,Data!$Q$23:$AC$43,3+MIN(3,E36))+IF(E36&gt;3,(E36-3)*VLOOKUP(E37,Data!$Q$23:$AC$43,7),0),VLOOKUP(E37,Data!$Q$23:$AC$43,8+MIN(3,E36))+IF(E36&gt;3,(E36-3)*VLOOKUP(E37,Data!$Q$23:$AC$43,12),0)+IF(E35&gt;2,(E35-2)*VLOOKUP(E37,Data!$Q$23:$AC$43,13),0)))</f>
        <v>0</v>
      </c>
      <c r="F38" s="796">
        <f t="shared" ref="F38:F39" si="27">SUM(B38:E38)</f>
        <v>0</v>
      </c>
      <c r="G38" s="97"/>
      <c r="H38" s="230"/>
      <c r="I38" s="230"/>
      <c r="J38" s="230"/>
      <c r="K38" s="230"/>
      <c r="L38" s="230"/>
      <c r="M38" s="230"/>
      <c r="N38" s="230"/>
      <c r="O38" s="230"/>
      <c r="P38" s="230"/>
      <c r="Q38" s="97"/>
      <c r="R38" s="97"/>
      <c r="S38" s="97"/>
      <c r="T38" s="97"/>
    </row>
    <row r="39" spans="1:22" x14ac:dyDescent="0.2">
      <c r="A39" s="420" t="s">
        <v>358</v>
      </c>
      <c r="B39" s="613">
        <f>IF(OR(Model!H12="",Model!H12=0),0,Model!H12)</f>
        <v>0</v>
      </c>
      <c r="C39" s="613">
        <f>IF(OR(Model!I12="",Model!I12=0),0,Model!I12)</f>
        <v>0</v>
      </c>
      <c r="D39" s="613">
        <f>IF(OR(Model!J12="",Model!J12=0),0,Model!J12)</f>
        <v>0</v>
      </c>
      <c r="E39" s="617">
        <f>IF(OR(Model!K12="",Model!K12=0),0,Model!K12)</f>
        <v>0</v>
      </c>
      <c r="F39" s="796">
        <f t="shared" si="27"/>
        <v>0</v>
      </c>
      <c r="G39" s="97"/>
      <c r="H39" s="230"/>
      <c r="I39" s="230"/>
      <c r="J39" s="614"/>
      <c r="K39" s="230"/>
      <c r="L39" s="230"/>
      <c r="M39" s="230"/>
      <c r="N39" s="230"/>
      <c r="O39" s="230"/>
      <c r="P39" s="230"/>
      <c r="Q39" s="97"/>
      <c r="R39" s="96"/>
      <c r="S39" s="251"/>
      <c r="T39" s="252" t="s">
        <v>204</v>
      </c>
    </row>
    <row r="40" spans="1:22" x14ac:dyDescent="0.2">
      <c r="A40" s="233" t="s">
        <v>136</v>
      </c>
      <c r="B40" s="401">
        <f>MAX(B38:B39)</f>
        <v>0</v>
      </c>
      <c r="C40" s="401">
        <f>MAX(C38:C39)</f>
        <v>0</v>
      </c>
      <c r="D40" s="401">
        <f>MAX(D38:D39)</f>
        <v>0</v>
      </c>
      <c r="E40" s="401">
        <f>MAX(E38:E39)</f>
        <v>0</v>
      </c>
      <c r="F40" s="603">
        <f>SUM(B40:E40)</f>
        <v>0</v>
      </c>
      <c r="G40" s="97"/>
      <c r="H40" s="97"/>
      <c r="I40" s="97"/>
      <c r="J40" s="97"/>
      <c r="K40" s="97"/>
      <c r="L40" s="97"/>
      <c r="M40" s="97"/>
      <c r="N40" s="97"/>
      <c r="O40" s="97"/>
      <c r="P40" s="97"/>
      <c r="Q40" s="97"/>
      <c r="R40" s="247" t="s">
        <v>205</v>
      </c>
      <c r="S40" s="253">
        <f>IF(V5,Model!L33-F40-Model!L34/12,0)</f>
        <v>0</v>
      </c>
      <c r="T40" s="199">
        <f>IF(V5,Model!L33-((C29+G29+K29+O29)-(D29+H29+L29+P29))/12-F40-Model!L34/12,0)</f>
        <v>0</v>
      </c>
    </row>
    <row r="41" spans="1:22" x14ac:dyDescent="0.2">
      <c r="A41" s="97"/>
      <c r="B41" s="97"/>
      <c r="C41" s="97"/>
      <c r="D41" s="97"/>
      <c r="E41" s="97"/>
      <c r="F41" s="97"/>
      <c r="G41" s="97"/>
      <c r="H41" s="97"/>
      <c r="I41" s="97"/>
      <c r="J41" s="97"/>
      <c r="K41" s="97"/>
      <c r="L41" s="97"/>
      <c r="M41" s="97"/>
      <c r="N41" s="97"/>
      <c r="O41" s="97"/>
      <c r="P41" s="97"/>
      <c r="Q41" s="97"/>
      <c r="R41" s="375" t="s">
        <v>262</v>
      </c>
      <c r="S41" s="253">
        <f>IF(S40&lt;=0,(1+S42)*S40,(1-S42)*S40)</f>
        <v>0</v>
      </c>
      <c r="T41" s="199">
        <f>IF(T40&lt;=0,(1+S42)*T40,(1-S42)*T40)</f>
        <v>0</v>
      </c>
    </row>
    <row r="42" spans="1:22" ht="25.5" x14ac:dyDescent="0.2">
      <c r="A42" s="234" t="s">
        <v>194</v>
      </c>
      <c r="B42" s="235" t="s">
        <v>195</v>
      </c>
      <c r="C42" s="235" t="s">
        <v>196</v>
      </c>
      <c r="D42" s="235" t="s">
        <v>197</v>
      </c>
      <c r="E42" s="97"/>
      <c r="F42" s="97"/>
      <c r="G42" s="97"/>
      <c r="H42" s="97"/>
      <c r="I42" s="97"/>
      <c r="J42" s="697" t="s">
        <v>412</v>
      </c>
      <c r="K42" s="97"/>
      <c r="L42" s="97"/>
      <c r="M42" s="97"/>
      <c r="N42" s="97"/>
      <c r="O42" s="97"/>
      <c r="P42" s="97"/>
      <c r="Q42" s="97"/>
      <c r="R42" s="375" t="s">
        <v>261</v>
      </c>
      <c r="S42" s="374">
        <f>VLOOKUP(S4,Data!M3:O5,3)</f>
        <v>0</v>
      </c>
    </row>
    <row r="43" spans="1:22" x14ac:dyDescent="0.2">
      <c r="A43" s="236">
        <f>Model!B52</f>
        <v>0</v>
      </c>
      <c r="B43" s="237">
        <f>Model!I52</f>
        <v>0</v>
      </c>
      <c r="C43" s="237">
        <f>IF(Model!J52="",0,IF(A43="Line of Credit",MIN(Model!J52,Data!$J$30),IF(Model!E52="Owner Occupied",MIN(Model!J52,Data!$J$28),IF(Model!E52="Investment",MIN(Model!J52,Data!$J$29),0))))</f>
        <v>0</v>
      </c>
      <c r="D43" s="238">
        <f>IF(A43=0,0,MIN(VLOOKUP(A43,Data!$M$11:$N$22,2,0),B43)-C43)</f>
        <v>0</v>
      </c>
      <c r="E43" s="97"/>
      <c r="F43" s="239" t="s">
        <v>200</v>
      </c>
      <c r="G43" s="240" t="str">
        <f>IF(V5,IF(S26&lt;=S27,"PASS","FAIL"),"")</f>
        <v/>
      </c>
      <c r="H43" s="97"/>
      <c r="I43" s="97"/>
      <c r="J43" s="704" t="s">
        <v>158</v>
      </c>
      <c r="K43" s="704" t="s">
        <v>159</v>
      </c>
      <c r="L43" s="97"/>
      <c r="M43" s="97"/>
      <c r="N43" s="97"/>
      <c r="O43" s="97"/>
      <c r="P43" s="97"/>
      <c r="Q43" s="97"/>
    </row>
    <row r="44" spans="1:22" x14ac:dyDescent="0.2">
      <c r="A44" s="242">
        <f>Model!B53</f>
        <v>0</v>
      </c>
      <c r="B44" s="243">
        <f>Model!I53</f>
        <v>0</v>
      </c>
      <c r="C44" s="243">
        <f>IF(Model!J53="",0,IF(A44="Line of Credit",MIN(Model!J53,Data!$J$30),IF(Model!E53="Owner Occupied",MIN(Model!J53,Data!$J$28),IF(Model!E53="Investment",MIN(Model!J53,Data!$J$29),0))))</f>
        <v>0</v>
      </c>
      <c r="D44" s="244">
        <f>IF(A44=0,0,MIN(VLOOKUP(A44,Data!$M$11:$N$22,2,0),B44)-C44)</f>
        <v>0</v>
      </c>
      <c r="E44" s="97"/>
      <c r="F44" s="245" t="s">
        <v>202</v>
      </c>
      <c r="G44" s="246" t="str">
        <f>IF(V5,IF(S33&gt;=0,"PASS",IF(T33&gt;=0,"REFER","FAIL")),"")</f>
        <v/>
      </c>
      <c r="H44" s="97"/>
      <c r="I44" s="97"/>
      <c r="J44" s="699" t="b">
        <f>COUNTA('Rental Yield'!C7:H7,'Rental Yield'!D30,'Rental Yield'!F30:I30)=0</f>
        <v>1</v>
      </c>
      <c r="K44" s="699" t="b">
        <f>IF(J44,TRUE,COUNTA('Rental Yield'!F7,'Rental Yield'!G7,'Rental Yield'!H7)=3)</f>
        <v>1</v>
      </c>
      <c r="L44" s="97"/>
      <c r="M44" s="97"/>
      <c r="N44" s="97"/>
      <c r="O44" s="97"/>
      <c r="P44" s="97"/>
      <c r="Q44" s="97"/>
    </row>
    <row r="45" spans="1:22" x14ac:dyDescent="0.2">
      <c r="A45" s="242">
        <f>Model!B54</f>
        <v>0</v>
      </c>
      <c r="B45" s="243">
        <f>Model!I54</f>
        <v>0</v>
      </c>
      <c r="C45" s="243">
        <f>IF(Model!J54="",0,IF(A45="Line of Credit",MIN(Model!J54,Data!$J$30),IF(Model!E54="Owner Occupied",MIN(Model!J54,Data!$J$28),IF(Model!E54="Investment",MIN(Model!J54,Data!$J$29),0))))</f>
        <v>0</v>
      </c>
      <c r="D45" s="244">
        <f>IF(A45=0,0,MIN(VLOOKUP(A45,Data!$M$11:$N$22,2,0),B45)-C45)</f>
        <v>0</v>
      </c>
      <c r="E45" s="97"/>
      <c r="F45" s="97"/>
      <c r="G45" s="97"/>
      <c r="H45" s="97"/>
      <c r="I45" s="97"/>
      <c r="J45" s="700" t="b">
        <f>COUNTA('Rental Yield'!C8:H8,'Rental Yield'!D31,'Rental Yield'!F31:I31)=0</f>
        <v>1</v>
      </c>
      <c r="K45" s="700" t="b">
        <f>IF(J45,TRUE,COUNTA('Rental Yield'!F8,'Rental Yield'!G8,'Rental Yield'!H8)=3)</f>
        <v>1</v>
      </c>
      <c r="L45" s="97"/>
      <c r="M45" s="97"/>
      <c r="N45" s="97"/>
      <c r="O45" s="97"/>
      <c r="P45" s="97"/>
      <c r="Q45" s="97"/>
    </row>
    <row r="46" spans="1:22" x14ac:dyDescent="0.2">
      <c r="A46" s="242">
        <f>Model!B55</f>
        <v>0</v>
      </c>
      <c r="B46" s="243">
        <f>Model!I55</f>
        <v>0</v>
      </c>
      <c r="C46" s="243">
        <f>IF(Model!J55="",0,IF(A46="Line of Credit",MIN(Model!J55,Data!$J$30),IF(Model!E55="Owner Occupied",MIN(Model!J55,Data!$J$28),IF(Model!E55="Investment",MIN(Model!J55,Data!$J$29),0))))</f>
        <v>0</v>
      </c>
      <c r="D46" s="244">
        <f>IF(A46=0,0,MIN(VLOOKUP(A46,Data!$M$11:$N$22,2,0),B46)-C46)</f>
        <v>0</v>
      </c>
      <c r="E46" s="97"/>
      <c r="F46" s="97"/>
      <c r="G46" s="97"/>
      <c r="H46" s="97"/>
      <c r="I46" s="97"/>
      <c r="J46" s="700" t="b">
        <f>COUNTA('Rental Yield'!C9:H9,'Rental Yield'!D32,'Rental Yield'!F32:I32)=0</f>
        <v>1</v>
      </c>
      <c r="K46" s="700" t="b">
        <f>IF(J46,TRUE,COUNTA('Rental Yield'!F9,'Rental Yield'!G9,'Rental Yield'!H9)=3)</f>
        <v>1</v>
      </c>
      <c r="L46" s="97"/>
      <c r="M46" s="97"/>
      <c r="N46" s="97"/>
      <c r="O46" s="97"/>
      <c r="P46" s="97"/>
      <c r="Q46" s="97"/>
      <c r="S46" s="387" t="s">
        <v>456</v>
      </c>
    </row>
    <row r="47" spans="1:22" x14ac:dyDescent="0.2">
      <c r="A47" s="242">
        <f>Model!B56</f>
        <v>0</v>
      </c>
      <c r="B47" s="243">
        <f>Model!I56</f>
        <v>0</v>
      </c>
      <c r="C47" s="243">
        <f>IF(Model!J56="",0,IF(A47="Line of Credit",MIN(Model!J56,Data!$J$30),IF(Model!E56="Owner Occupied",MIN(Model!J56,Data!$J$28),IF(Model!E56="Investment",MIN(Model!J56,Data!$J$29),0))))</f>
        <v>0</v>
      </c>
      <c r="D47" s="244">
        <f>IF(A47=0,0,MIN(VLOOKUP(A47,Data!$M$11:$N$22,2,0),B47)-C47)</f>
        <v>0</v>
      </c>
      <c r="E47" s="97"/>
      <c r="F47" s="97"/>
      <c r="G47" s="97"/>
      <c r="H47" s="97"/>
      <c r="I47" s="97"/>
      <c r="J47" s="700" t="b">
        <f>COUNTA('Rental Yield'!C10:H10,'Rental Yield'!D33,'Rental Yield'!F33:I33)=0</f>
        <v>1</v>
      </c>
      <c r="K47" s="700" t="b">
        <f>IF(J47,TRUE,COUNTA('Rental Yield'!F10,'Rental Yield'!G10,'Rental Yield'!H10)=3)</f>
        <v>1</v>
      </c>
      <c r="L47" s="97"/>
      <c r="M47" s="97"/>
      <c r="N47" s="97"/>
      <c r="O47" s="97"/>
      <c r="P47" s="97"/>
      <c r="S47" s="387" t="s">
        <v>85</v>
      </c>
      <c r="T47" s="387" t="s">
        <v>86</v>
      </c>
      <c r="U47" s="387" t="s">
        <v>87</v>
      </c>
      <c r="V47" s="387" t="s">
        <v>88</v>
      </c>
    </row>
    <row r="48" spans="1:22" x14ac:dyDescent="0.2">
      <c r="A48" s="248">
        <f>Model!B57</f>
        <v>0</v>
      </c>
      <c r="B48" s="249">
        <f>Model!I57</f>
        <v>0</v>
      </c>
      <c r="C48" s="249">
        <f>IF(Model!J57="",0,IF(A48="Line of Credit",MIN(Model!J57,Data!$J$30),IF(Model!E57="Owner Occupied",MIN(Model!J57,Data!$J$28),IF(Model!E57="Investment",MIN(Model!J57,Data!$J$29),0))))</f>
        <v>0</v>
      </c>
      <c r="D48" s="250">
        <f>IF(A48=0,0,MIN(VLOOKUP(A48,Data!$M$11:$N$22,2,0),B48)-C48)</f>
        <v>0</v>
      </c>
      <c r="E48" s="97"/>
      <c r="F48" s="97"/>
      <c r="G48" s="97"/>
      <c r="H48" s="97"/>
      <c r="I48" s="97"/>
      <c r="J48" s="700" t="b">
        <f>COUNTA('Rental Yield'!C11:H11,'Rental Yield'!D34,'Rental Yield'!F34:I34)=0</f>
        <v>1</v>
      </c>
      <c r="K48" s="700" t="b">
        <f>IF(J48,TRUE,COUNTA('Rental Yield'!F11,'Rental Yield'!G11,'Rental Yield'!H11)=3)</f>
        <v>1</v>
      </c>
      <c r="L48" s="97"/>
      <c r="M48" s="97"/>
      <c r="N48" s="97"/>
      <c r="O48" s="97"/>
      <c r="P48" s="97"/>
      <c r="R48" s="387" t="s">
        <v>158</v>
      </c>
      <c r="S48" t="b">
        <f>COUNTA('Net To Gross'!C8:C12,'Net To Gross'!C15,'Net To Gross'!C18:C22)=0</f>
        <v>1</v>
      </c>
      <c r="T48" t="b">
        <f>COUNTA('Net To Gross'!D8:D12,'Net To Gross'!D15,'Net To Gross'!D18:D22)=0</f>
        <v>1</v>
      </c>
      <c r="U48" t="b">
        <f>COUNTA('Net To Gross'!E8:E12,'Net To Gross'!E15,'Net To Gross'!E18:E22)=0</f>
        <v>1</v>
      </c>
      <c r="V48" t="b">
        <f>COUNTA('Net To Gross'!F8:F12,'Net To Gross'!F15,'Net To Gross'!F18:F22)=0</f>
        <v>1</v>
      </c>
    </row>
    <row r="49" spans="1:22" x14ac:dyDescent="0.2">
      <c r="A49" s="97"/>
      <c r="B49" s="97"/>
      <c r="C49" s="97"/>
      <c r="D49" s="97"/>
      <c r="E49" s="97"/>
      <c r="F49" s="97"/>
      <c r="G49" s="97"/>
      <c r="H49" s="97"/>
      <c r="I49" s="97"/>
      <c r="J49" s="700" t="b">
        <f>COUNTA('Rental Yield'!C12:H12,'Rental Yield'!D35,'Rental Yield'!F35:I35)=0</f>
        <v>1</v>
      </c>
      <c r="K49" s="700" t="b">
        <f>IF(J49,TRUE,COUNTA('Rental Yield'!F12,'Rental Yield'!G12,'Rental Yield'!H12)=3)</f>
        <v>1</v>
      </c>
      <c r="L49" s="97"/>
      <c r="M49" s="97"/>
      <c r="N49" s="97"/>
      <c r="O49" s="97"/>
      <c r="P49" s="97"/>
      <c r="R49" s="387" t="s">
        <v>159</v>
      </c>
      <c r="S49" t="b">
        <f>AND('Net To Gross'!C10&lt;&gt;"",'Net To Gross'!C15&lt;&gt;"")</f>
        <v>0</v>
      </c>
      <c r="T49" t="b">
        <f>AND('Net To Gross'!D10&lt;&gt;"",'Net To Gross'!D15&lt;&gt;"")</f>
        <v>0</v>
      </c>
      <c r="U49" t="b">
        <f>AND('Net To Gross'!E10&lt;&gt;"",'Net To Gross'!E15&lt;&gt;"")</f>
        <v>0</v>
      </c>
      <c r="V49" t="b">
        <f>AND('Net To Gross'!F10&lt;&gt;"",'Net To Gross'!F15&lt;&gt;"")</f>
        <v>0</v>
      </c>
    </row>
    <row r="50" spans="1:22" x14ac:dyDescent="0.2">
      <c r="A50" s="855" t="s">
        <v>505</v>
      </c>
      <c r="B50" s="856"/>
      <c r="C50" s="96"/>
      <c r="D50" s="96"/>
      <c r="E50" s="96"/>
      <c r="F50" s="96"/>
      <c r="G50" s="97"/>
      <c r="H50" s="97"/>
      <c r="I50" s="97"/>
      <c r="J50" s="700" t="b">
        <f>COUNTA('Rental Yield'!C13:H13,'Rental Yield'!D36,'Rental Yield'!F36:I36)=0</f>
        <v>1</v>
      </c>
      <c r="K50" s="700" t="b">
        <f>IF(J50,TRUE,COUNTA('Rental Yield'!F13,'Rental Yield'!G13,'Rental Yield'!H13)=3)</f>
        <v>1</v>
      </c>
      <c r="L50" s="97"/>
      <c r="M50" s="97"/>
      <c r="N50" s="97"/>
      <c r="O50" s="97"/>
      <c r="P50" s="97"/>
    </row>
    <row r="51" spans="1:22" x14ac:dyDescent="0.2">
      <c r="A51" s="855" t="s">
        <v>502</v>
      </c>
      <c r="B51" s="857">
        <f t="array" ref="B51">SUM(IF((Model!E39:E45&lt;&gt;"Yes")*(Model!B39:B45&lt;&gt;"HECS"),X8:X14))+SUM(Model!G52:G57)</f>
        <v>0</v>
      </c>
      <c r="C51" s="96"/>
      <c r="D51" s="96"/>
      <c r="E51" s="96"/>
      <c r="F51" s="254"/>
      <c r="G51" s="97"/>
      <c r="J51" s="700" t="b">
        <f>COUNTA('Rental Yield'!C14:H14,'Rental Yield'!D37,'Rental Yield'!F37:I37)=0</f>
        <v>1</v>
      </c>
      <c r="K51" s="701" t="b">
        <f>IF(J51,TRUE,COUNTA('Rental Yield'!F14,'Rental Yield'!G14,'Rental Yield'!H14)=3)</f>
        <v>1</v>
      </c>
    </row>
    <row r="52" spans="1:22" x14ac:dyDescent="0.2">
      <c r="A52" s="855" t="s">
        <v>503</v>
      </c>
      <c r="B52" s="857">
        <f>B12+F12+J12+N12-S3+S2+SUM(B31:B32)+SUM(F31:F32)+SUM(J31:J32)+SUM(N31:N32)</f>
        <v>0</v>
      </c>
      <c r="J52" s="700" t="b">
        <f>COUNTA('Rental Yield'!C15:H15,'Rental Yield'!D38,'Rental Yield'!F38:I38)=0</f>
        <v>1</v>
      </c>
      <c r="K52" s="701" t="b">
        <f>IF(J52,TRUE,COUNTA('Rental Yield'!F15,'Rental Yield'!G15,'Rental Yield'!H15)=3)</f>
        <v>1</v>
      </c>
    </row>
    <row r="53" spans="1:22" x14ac:dyDescent="0.2">
      <c r="A53" s="855" t="s">
        <v>504</v>
      </c>
      <c r="B53" s="858">
        <f>IF(B52&gt;0,ROUND(B51/B52,2),0)</f>
        <v>0</v>
      </c>
      <c r="J53" s="700" t="b">
        <f>COUNTA('Rental Yield'!C16:H16,'Rental Yield'!D39,'Rental Yield'!F39:I39)=0</f>
        <v>1</v>
      </c>
      <c r="K53" s="701" t="b">
        <f>IF(J53,TRUE,COUNTA('Rental Yield'!F16,'Rental Yield'!G16,'Rental Yield'!H16)=3)</f>
        <v>1</v>
      </c>
    </row>
    <row r="54" spans="1:22" x14ac:dyDescent="0.2">
      <c r="J54" s="700" t="b">
        <f>COUNTA('Rental Yield'!C17:H17,'Rental Yield'!D40,'Rental Yield'!F40:I40)=0</f>
        <v>1</v>
      </c>
      <c r="K54" s="701" t="b">
        <f>IF(J54,TRUE,COUNTA('Rental Yield'!F17,'Rental Yield'!G17,'Rental Yield'!H17)=3)</f>
        <v>1</v>
      </c>
    </row>
    <row r="55" spans="1:22" x14ac:dyDescent="0.2">
      <c r="J55" s="700" t="b">
        <f>COUNTA('Rental Yield'!C18:H18,'Rental Yield'!D41,'Rental Yield'!F41:I41)=0</f>
        <v>1</v>
      </c>
      <c r="K55" s="701" t="b">
        <f>IF(J55,TRUE,COUNTA('Rental Yield'!F18,'Rental Yield'!G18,'Rental Yield'!H18)=3)</f>
        <v>1</v>
      </c>
    </row>
    <row r="56" spans="1:22" x14ac:dyDescent="0.2">
      <c r="J56" s="700" t="b">
        <f>COUNTA('Rental Yield'!C19:H19,'Rental Yield'!D42,'Rental Yield'!F42:I42)=0</f>
        <v>1</v>
      </c>
      <c r="K56" s="701" t="b">
        <f>IF(J56,TRUE,COUNTA('Rental Yield'!F19,'Rental Yield'!G19,'Rental Yield'!H19)=3)</f>
        <v>1</v>
      </c>
    </row>
    <row r="57" spans="1:22" x14ac:dyDescent="0.2">
      <c r="J57" s="700" t="b">
        <f>COUNTA('Rental Yield'!C20:H20,'Rental Yield'!D43,'Rental Yield'!F43:I43)=0</f>
        <v>1</v>
      </c>
      <c r="K57" s="701" t="b">
        <f>IF(J57,TRUE,COUNTA('Rental Yield'!F20,'Rental Yield'!G20,'Rental Yield'!H20)=3)</f>
        <v>1</v>
      </c>
    </row>
    <row r="58" spans="1:22" x14ac:dyDescent="0.2">
      <c r="J58" s="700" t="b">
        <f>COUNTA('Rental Yield'!C21:H21,'Rental Yield'!D44,'Rental Yield'!F44:I44)=0</f>
        <v>1</v>
      </c>
      <c r="K58" s="701" t="b">
        <f>IF(J58,TRUE,COUNTA('Rental Yield'!F21,'Rental Yield'!G21,'Rental Yield'!H21)=3)</f>
        <v>1</v>
      </c>
    </row>
    <row r="59" spans="1:22" x14ac:dyDescent="0.2">
      <c r="J59" s="700" t="b">
        <f>COUNTA('Rental Yield'!C22:H22,'Rental Yield'!D45,'Rental Yield'!F45:I45)=0</f>
        <v>1</v>
      </c>
      <c r="K59" s="701" t="b">
        <f>IF(J59,TRUE,COUNTA('Rental Yield'!F22,'Rental Yield'!G22,'Rental Yield'!H22)=3)</f>
        <v>1</v>
      </c>
    </row>
    <row r="60" spans="1:22" x14ac:dyDescent="0.2">
      <c r="J60" s="700" t="b">
        <f>COUNTA('Rental Yield'!C23:H23,'Rental Yield'!D46,'Rental Yield'!F46:I46)=0</f>
        <v>1</v>
      </c>
      <c r="K60" s="701" t="b">
        <f>IF(J60,TRUE,COUNTA('Rental Yield'!F23,'Rental Yield'!G23,'Rental Yield'!H23)=3)</f>
        <v>1</v>
      </c>
    </row>
    <row r="61" spans="1:22" x14ac:dyDescent="0.2">
      <c r="J61" s="700" t="b">
        <f>COUNTA('Rental Yield'!C24:H24,'Rental Yield'!D47,'Rental Yield'!F47:I47)=0</f>
        <v>1</v>
      </c>
      <c r="K61" s="701" t="b">
        <f>IF(J61,TRUE,COUNTA('Rental Yield'!F24,'Rental Yield'!G24,'Rental Yield'!H24)=3)</f>
        <v>1</v>
      </c>
    </row>
    <row r="62" spans="1:22" x14ac:dyDescent="0.2">
      <c r="J62" s="700" t="b">
        <f>COUNTA('Rental Yield'!C25:H25,'Rental Yield'!D48,'Rental Yield'!F48:I48)=0</f>
        <v>1</v>
      </c>
      <c r="K62" s="701" t="b">
        <f>IF(J62,TRUE,COUNTA('Rental Yield'!F25,'Rental Yield'!G25,'Rental Yield'!H25)=3)</f>
        <v>1</v>
      </c>
    </row>
    <row r="63" spans="1:22" x14ac:dyDescent="0.2">
      <c r="J63" s="702" t="b">
        <f>COUNTA('Rental Yield'!C26:H26,'Rental Yield'!D49,'Rental Yield'!F49:I49)=0</f>
        <v>1</v>
      </c>
      <c r="K63" s="703" t="b">
        <f>IF(J63,TRUE,COUNTA('Rental Yield'!F26,'Rental Yield'!G26,'Rental Yield'!H26)=3)</f>
        <v>1</v>
      </c>
    </row>
    <row r="64" spans="1:22" x14ac:dyDescent="0.2">
      <c r="J64" s="698" t="b">
        <f>AND(J44:J63)</f>
        <v>1</v>
      </c>
      <c r="K64" s="698" t="b">
        <f>AND(K44:K63)</f>
        <v>1</v>
      </c>
    </row>
  </sheetData>
  <sheetProtection algorithmName="SHA-512" hashValue="sPX0zrsB8MWtKA5KPrXJVGuj1j+GfcgqP+tWaHSmrnnXqSa6cm5IiFjfNHG9KbhS10VWSNBuNDgGbjYXqYRTRg==" saltValue="UV6T8WT/+mqqFkNMm5f4jg==" spinCount="100000" sheet="1" objects="1" scenarios="1"/>
  <customSheetViews>
    <customSheetView guid="{47743E36-E3F1-4AC8-AB28-1C3AD83F86F4}" state="hidden" showRuler="0">
      <pageMargins left="0.75" right="0.75" top="1" bottom="1" header="0.5" footer="0.5"/>
      <pageSetup paperSize="9" orientation="portrait" r:id="rId1"/>
      <headerFooter alignWithMargins="0"/>
    </customSheetView>
    <customSheetView guid="{878686E5-D823-11D7-9EB6-0000F6FFAA54}" hiddenRows="1" state="hidden" showRuler="0" topLeftCell="A65536">
      <selection activeCell="P1" sqref="A1:IV65536"/>
      <pageMargins left="0.75" right="0.75" top="1" bottom="1" header="0.5" footer="0.5"/>
      <pageSetup paperSize="9" orientation="portrait" r:id="rId2"/>
      <headerFooter alignWithMargins="0"/>
    </customSheetView>
  </customSheetViews>
  <phoneticPr fontId="27" type="noConversion"/>
  <pageMargins left="0.75" right="0.75" top="1" bottom="1" header="0.5" footer="0.5"/>
  <pageSetup paperSize="9" orientation="portrait" r:id="rId3"/>
  <headerFooter alignWithMargins="0">
    <oddFooter>&amp;L&amp;1#&amp;"Arial"&amp;9&amp;K000000</oddFooter>
  </headerFooter>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G52"/>
  <sheetViews>
    <sheetView zoomScale="80" zoomScaleNormal="80" workbookViewId="0">
      <selection activeCell="P30" sqref="P30"/>
    </sheetView>
  </sheetViews>
  <sheetFormatPr defaultRowHeight="12.75" x14ac:dyDescent="0.2"/>
  <cols>
    <col min="1" max="1" width="25.7109375" style="543" customWidth="1"/>
    <col min="2" max="3" width="14.140625" style="543" customWidth="1"/>
    <col min="4" max="4" width="3.7109375" style="543" customWidth="1"/>
    <col min="5" max="6" width="14.140625" style="543" customWidth="1"/>
    <col min="7" max="7" width="6.7109375" style="543" customWidth="1"/>
    <col min="8" max="8" width="25.7109375" style="543" customWidth="1"/>
    <col min="9" max="10" width="14.140625" style="543" customWidth="1"/>
    <col min="11" max="11" width="3.7109375" style="543" customWidth="1"/>
    <col min="12" max="13" width="14.140625" style="543" customWidth="1"/>
    <col min="14" max="14" width="3.7109375" style="543" customWidth="1"/>
    <col min="15" max="16" width="10.7109375" style="543" customWidth="1"/>
    <col min="17" max="19" width="11.7109375" style="543" customWidth="1"/>
    <col min="20" max="20" width="3.5703125" style="543" customWidth="1"/>
    <col min="21" max="21" width="28.5703125" style="543" bestFit="1" customWidth="1"/>
    <col min="22" max="22" width="16.28515625" style="543" customWidth="1"/>
    <col min="23" max="26" width="12.140625" style="543" customWidth="1"/>
    <col min="27" max="27" width="9.140625" style="543"/>
    <col min="28" max="28" width="26.28515625" style="543" bestFit="1" customWidth="1"/>
    <col min="29" max="32" width="12.140625" style="543" bestFit="1" customWidth="1"/>
    <col min="33" max="33" width="12.28515625" style="543" customWidth="1"/>
    <col min="34" max="16384" width="9.140625" style="543"/>
  </cols>
  <sheetData>
    <row r="1" spans="1:33" x14ac:dyDescent="0.2">
      <c r="A1" s="1052" t="s">
        <v>312</v>
      </c>
      <c r="B1" s="1052"/>
      <c r="C1" s="1052"/>
      <c r="D1" s="1052"/>
      <c r="E1" s="1052"/>
      <c r="F1" s="1052"/>
      <c r="H1" s="1052" t="s">
        <v>313</v>
      </c>
      <c r="I1" s="1052"/>
      <c r="J1" s="1052"/>
      <c r="K1" s="1052"/>
      <c r="L1" s="1052"/>
      <c r="M1" s="1052"/>
      <c r="O1" s="205" t="s">
        <v>314</v>
      </c>
      <c r="P1"/>
      <c r="Q1"/>
      <c r="R1"/>
      <c r="S1"/>
      <c r="U1" s="544" t="s">
        <v>285</v>
      </c>
      <c r="V1"/>
      <c r="W1"/>
      <c r="X1"/>
      <c r="Y1"/>
      <c r="Z1" s="9"/>
      <c r="AB1" s="544" t="s">
        <v>286</v>
      </c>
      <c r="AC1"/>
      <c r="AD1"/>
      <c r="AE1"/>
      <c r="AF1"/>
      <c r="AG1" s="9"/>
    </row>
    <row r="2" spans="1:33" ht="12.75" customHeight="1" x14ac:dyDescent="0.2">
      <c r="A2" s="390"/>
      <c r="B2" s="545" t="s">
        <v>85</v>
      </c>
      <c r="C2" s="546" t="s">
        <v>141</v>
      </c>
      <c r="D2" s="390"/>
      <c r="E2" s="545" t="s">
        <v>86</v>
      </c>
      <c r="F2" s="546" t="s">
        <v>141</v>
      </c>
      <c r="I2" s="545" t="s">
        <v>85</v>
      </c>
      <c r="J2" s="546" t="s">
        <v>141</v>
      </c>
      <c r="K2" s="390"/>
      <c r="L2" s="545" t="s">
        <v>86</v>
      </c>
      <c r="M2" s="546" t="s">
        <v>141</v>
      </c>
      <c r="O2" s="547" t="s">
        <v>158</v>
      </c>
      <c r="P2" s="547" t="s">
        <v>159</v>
      </c>
      <c r="Q2" s="547" t="s">
        <v>315</v>
      </c>
      <c r="R2" s="547" t="s">
        <v>159</v>
      </c>
      <c r="S2" s="848" t="s">
        <v>497</v>
      </c>
      <c r="U2" s="548" t="s">
        <v>183</v>
      </c>
      <c r="V2" s="373" t="s">
        <v>83</v>
      </c>
      <c r="W2" s="549" t="s">
        <v>184</v>
      </c>
      <c r="X2" s="373" t="s">
        <v>185</v>
      </c>
      <c r="Y2" s="549" t="s">
        <v>186</v>
      </c>
      <c r="Z2" s="373" t="s">
        <v>136</v>
      </c>
      <c r="AB2" s="548" t="s">
        <v>183</v>
      </c>
      <c r="AC2" s="373" t="s">
        <v>83</v>
      </c>
      <c r="AD2" s="549" t="s">
        <v>184</v>
      </c>
      <c r="AE2" s="373" t="s">
        <v>185</v>
      </c>
      <c r="AF2" s="549" t="s">
        <v>186</v>
      </c>
      <c r="AG2" s="373" t="s">
        <v>136</v>
      </c>
    </row>
    <row r="3" spans="1:33" x14ac:dyDescent="0.2">
      <c r="A3" s="390" t="s">
        <v>316</v>
      </c>
      <c r="B3" s="550">
        <f>Bridging!F17</f>
        <v>0</v>
      </c>
      <c r="C3" s="550">
        <f>B3</f>
        <v>0</v>
      </c>
      <c r="D3" s="390"/>
      <c r="E3" s="551">
        <f>Bridging!H17</f>
        <v>0</v>
      </c>
      <c r="F3" s="551">
        <f>E3</f>
        <v>0</v>
      </c>
      <c r="H3" s="543" t="s">
        <v>316</v>
      </c>
      <c r="I3" s="550">
        <f>Bridging!G17</f>
        <v>0</v>
      </c>
      <c r="J3" s="550">
        <f>I3</f>
        <v>0</v>
      </c>
      <c r="K3" s="390"/>
      <c r="L3" s="551">
        <f>Bridging!I17</f>
        <v>0</v>
      </c>
      <c r="M3" s="551">
        <f>L3</f>
        <v>0</v>
      </c>
      <c r="O3" s="626" t="b">
        <f>COUNTBLANK(Bridging!B39:K39)=10</f>
        <v>1</v>
      </c>
      <c r="P3" s="629" t="b">
        <f>IF(O3,TRUE,IF(OR(Bridging!B39="Credit Card",Bridging!B39="Overdraft",Bridging!B39="Commercial Bill"),AND(Bridging!F39&lt;&gt;"",Bridging!G39&lt;&gt;""),IF(Bridging!B39="Margin Loan",Bridging!G39&lt;&gt;"",IF(OR(Bridging!E39="With my funds",Bridging!E39="Add to bridging"),AND(Bridging!F39&lt;&gt;"",Bridging!G39&lt;&gt;""),IF(OR(Bridging!B39="Personal Loan",Bridging!B39="Lease",Bridging!B39="Hire Purchase",Bridging!B39="Other"),AND(Bridging!J39&lt;&gt;"",Bridging!K39&lt;&gt;""),IF(OR(Bridging!B39="CBA Variable Rate Home Loan",Bridging!B39="CBA Fixed Rate Home Loan",Bridging!B39="OFI home loan (Other financial institution)"),AND(Bridging!C39&lt;&gt;"",Bridging!F39&lt;&gt;"",Bridging!G39&lt;&gt;"",Bridging!H39&lt;&gt;"",Bridging!I39&lt;&gt;"",Bridging!K39&lt;&gt;""),IF(OR(Bridging!B39="CBA Line of Credit",Bridging!B39="OFI Line of Credit (Other financial institution)"),AND(Bridging!C39&lt;&gt;"",Bridging!F39&lt;&gt;"",Bridging!G39&lt;&gt;"",Bridging!I39&lt;&gt;"",Bridging!K39&lt;&gt;""),IF(Bridging!B39="HECS",Bridging!J39&lt;&gt;"",FALSE))))))))</f>
        <v>1</v>
      </c>
      <c r="Q3" s="623" t="b">
        <f>AND(Bridging!E39&lt;&gt;"With my funds",Bridging!B39&lt;&gt;"",Bridging!D39="Yes")</f>
        <v>0</v>
      </c>
      <c r="R3" s="552" t="b">
        <f>IF(NOT(Q3),TRUE,COUNTBLANK('Bridging Neg Gearing'!E8:F8)&lt;2)</f>
        <v>1</v>
      </c>
      <c r="S3" s="846">
        <f>IF(O3=FALSE,MAX(Bridging!F39:G39),0)</f>
        <v>0</v>
      </c>
      <c r="U3" s="8" t="s">
        <v>187</v>
      </c>
      <c r="V3" s="553">
        <f>IF(OR(Bridging!I9="",Bridging!I9=0),0,Bridging!I9)</f>
        <v>0</v>
      </c>
      <c r="W3" s="553">
        <f>IF(OR(Bridging!J9="",Bridging!J9=0),0,Bridging!J9)</f>
        <v>0</v>
      </c>
      <c r="X3" s="553">
        <f>IF(OR(Bridging!K9="",Bridging!K9=0),0,Bridging!K9)</f>
        <v>0</v>
      </c>
      <c r="Y3" s="553">
        <f>IF(OR(Bridging!L9="",Bridging!L9=0),0,Bridging!L9)</f>
        <v>0</v>
      </c>
      <c r="Z3" s="554">
        <f t="shared" ref="Z3:Z8" si="0">SUM(V3:Y3)</f>
        <v>0</v>
      </c>
      <c r="AB3" s="8" t="s">
        <v>187</v>
      </c>
      <c r="AC3" s="553">
        <f>IF(OR(Bridging!I9="",Bridging!I9=0),0,Bridging!I9)</f>
        <v>0</v>
      </c>
      <c r="AD3" s="553">
        <f>IF(OR(Bridging!J9="",Bridging!J9=0),0,Bridging!J9)</f>
        <v>0</v>
      </c>
      <c r="AE3" s="553">
        <f>IF(OR(Bridging!K9="",Bridging!K9=0),0,Bridging!K9)</f>
        <v>0</v>
      </c>
      <c r="AF3" s="553">
        <f>IF(OR(Bridging!L9="",Bridging!L9=0),0,Bridging!L9)</f>
        <v>0</v>
      </c>
      <c r="AG3" s="554">
        <f t="shared" ref="AG3:AG8" si="1">SUM(AC3:AF3)</f>
        <v>0</v>
      </c>
    </row>
    <row r="4" spans="1:33" x14ac:dyDescent="0.2">
      <c r="A4" s="390" t="s">
        <v>369</v>
      </c>
      <c r="B4" s="550">
        <f>Bridging!F18</f>
        <v>0</v>
      </c>
      <c r="C4" s="550">
        <f>B4*Data!$C$20</f>
        <v>0</v>
      </c>
      <c r="D4" s="390"/>
      <c r="E4" s="551">
        <f>Bridging!H18</f>
        <v>0</v>
      </c>
      <c r="F4" s="550">
        <f>E4*Data!$C$20</f>
        <v>0</v>
      </c>
      <c r="H4" s="390" t="s">
        <v>369</v>
      </c>
      <c r="I4" s="550">
        <f>Bridging!G18</f>
        <v>0</v>
      </c>
      <c r="J4" s="550">
        <f>I4*Data!$C$20</f>
        <v>0</v>
      </c>
      <c r="K4" s="390"/>
      <c r="L4" s="551">
        <f>Bridging!I18</f>
        <v>0</v>
      </c>
      <c r="M4" s="550">
        <f>L4*Data!$C$20</f>
        <v>0</v>
      </c>
      <c r="O4" s="627" t="b">
        <f>COUNTBLANK(Bridging!B40:K40)=10</f>
        <v>1</v>
      </c>
      <c r="P4" s="629" t="b">
        <f>IF(O4,TRUE,IF(OR(Bridging!B40="Credit Card",Bridging!B40="Overdraft",Bridging!B40="Commercial Bill"),AND(Bridging!F40&lt;&gt;"",Bridging!G40&lt;&gt;""),IF(Bridging!B40="Margin Loan",Bridging!G40&lt;&gt;"",IF(OR(Bridging!E40="With my funds",Bridging!E40="Add to bridging"),AND(Bridging!F40&lt;&gt;"",Bridging!G40&lt;&gt;""),IF(OR(Bridging!B40="Personal Loan",Bridging!B40="Lease",Bridging!B40="Hire Purchase",Bridging!B40="Other"),AND(Bridging!J40&lt;&gt;"",Bridging!K40&lt;&gt;""),IF(OR(Bridging!B40="CBA Variable Rate Home Loan",Bridging!B40="CBA Fixed Rate Home Loan",Bridging!B40="OFI home loan (Other financial institution)"),AND(Bridging!C40&lt;&gt;"",Bridging!F40&lt;&gt;"",Bridging!G40&lt;&gt;"",Bridging!H40&lt;&gt;"",Bridging!I40&lt;&gt;"",Bridging!K40&lt;&gt;""),IF(OR(Bridging!B40="CBA Line of Credit",Bridging!B40="OFI Line of Credit (Other financial institution)"),AND(Bridging!C40&lt;&gt;"",Bridging!F40&lt;&gt;"",Bridging!G40&lt;&gt;"",Bridging!I40&lt;&gt;"",Bridging!K40&lt;&gt;""),IF(Bridging!B40="HECS",Bridging!J40&lt;&gt;"",FALSE))))))))</f>
        <v>1</v>
      </c>
      <c r="Q4" s="624" t="b">
        <f>AND(Bridging!E40&lt;&gt;"With my funds",Bridging!B40&lt;&gt;"",Bridging!D40="Yes")</f>
        <v>0</v>
      </c>
      <c r="R4" s="637" t="b">
        <f>IF(NOT(Q4),TRUE,COUNTBLANK('Bridging Neg Gearing'!E9:F9)&lt;2)</f>
        <v>1</v>
      </c>
      <c r="S4" s="846">
        <f>IF(O4=FALSE,MAX(Bridging!F40:G40),0)</f>
        <v>0</v>
      </c>
      <c r="U4" s="8" t="s">
        <v>189</v>
      </c>
      <c r="V4" s="553">
        <f>IF(OR(Bridging!I10="",Bridging!I10=0),0,Bridging!I10)</f>
        <v>0</v>
      </c>
      <c r="W4" s="553">
        <f>IF(OR(Bridging!J10="",Bridging!J10=0),0,Bridging!J10)</f>
        <v>0</v>
      </c>
      <c r="X4" s="553">
        <f>IF(OR(Bridging!K10="",Bridging!K10=0),0,Bridging!K10)</f>
        <v>0</v>
      </c>
      <c r="Y4" s="553">
        <f>IF(OR(Bridging!L10="",Bridging!L10=0),0,Bridging!L10)</f>
        <v>0</v>
      </c>
      <c r="Z4" s="554">
        <f t="shared" si="0"/>
        <v>0</v>
      </c>
      <c r="AB4" s="8" t="s">
        <v>189</v>
      </c>
      <c r="AC4" s="553">
        <f>IF(OR(Bridging!I10="",Bridging!I10=0),0,Bridging!I10)</f>
        <v>0</v>
      </c>
      <c r="AD4" s="553">
        <f>IF(OR(Bridging!J10="",Bridging!J10=0),0,Bridging!J10)</f>
        <v>0</v>
      </c>
      <c r="AE4" s="553">
        <f>IF(OR(Bridging!K10="",Bridging!K10=0),0,Bridging!K10)</f>
        <v>0</v>
      </c>
      <c r="AF4" s="553">
        <f>IF(OR(Bridging!L10="",Bridging!L10=0),0,Bridging!L10)</f>
        <v>0</v>
      </c>
      <c r="AG4" s="554">
        <f t="shared" si="1"/>
        <v>0</v>
      </c>
    </row>
    <row r="5" spans="1:33" x14ac:dyDescent="0.2">
      <c r="A5" s="390" t="s">
        <v>270</v>
      </c>
      <c r="B5" s="550">
        <f>Bridging!F19</f>
        <v>0</v>
      </c>
      <c r="C5" s="550">
        <f>B5*Data!$C$21</f>
        <v>0</v>
      </c>
      <c r="D5" s="390"/>
      <c r="E5" s="551">
        <f>Bridging!H19</f>
        <v>0</v>
      </c>
      <c r="F5" s="550">
        <f>E5*Data!$C$21</f>
        <v>0</v>
      </c>
      <c r="H5" s="390" t="s">
        <v>270</v>
      </c>
      <c r="I5" s="550">
        <f>Bridging!G19</f>
        <v>0</v>
      </c>
      <c r="J5" s="550">
        <f>I5*Data!$C$21</f>
        <v>0</v>
      </c>
      <c r="K5" s="390"/>
      <c r="L5" s="551">
        <f>Bridging!I19</f>
        <v>0</v>
      </c>
      <c r="M5" s="550">
        <f>L5*Data!$C$21</f>
        <v>0</v>
      </c>
      <c r="O5" s="627" t="b">
        <f>COUNTBLANK(Bridging!B41:K41)=10</f>
        <v>1</v>
      </c>
      <c r="P5" s="629" t="b">
        <f>IF(O5,TRUE,IF(OR(Bridging!B41="Credit Card",Bridging!B41="Overdraft",Bridging!B41="Commercial Bill"),AND(Bridging!F41&lt;&gt;"",Bridging!G41&lt;&gt;""),IF(Bridging!B41="Margin Loan",Bridging!G41&lt;&gt;"",IF(OR(Bridging!E41="With my funds",Bridging!E41="Add to bridging"),AND(Bridging!F41&lt;&gt;"",Bridging!G41&lt;&gt;""),IF(OR(Bridging!B41="Personal Loan",Bridging!B41="Lease",Bridging!B41="Hire Purchase",Bridging!B41="Other"),AND(Bridging!J41&lt;&gt;"",Bridging!K41&lt;&gt;""),IF(OR(Bridging!B41="CBA Variable Rate Home Loan",Bridging!B41="CBA Fixed Rate Home Loan",Bridging!B41="OFI home loan (Other financial institution)"),AND(Bridging!C41&lt;&gt;"",Bridging!F41&lt;&gt;"",Bridging!G41&lt;&gt;"",Bridging!H41&lt;&gt;"",Bridging!I41&lt;&gt;"",Bridging!K41&lt;&gt;""),IF(OR(Bridging!B41="CBA Line of Credit",Bridging!B41="OFI Line of Credit (Other financial institution)"),AND(Bridging!C41&lt;&gt;"",Bridging!F41&lt;&gt;"",Bridging!G41&lt;&gt;"",Bridging!I41&lt;&gt;"",Bridging!K41&lt;&gt;""),IF(Bridging!B41="HECS",Bridging!J41&lt;&gt;"",FALSE))))))))</f>
        <v>1</v>
      </c>
      <c r="Q5" s="624" t="b">
        <f>AND(Bridging!E41&lt;&gt;"With my funds",Bridging!B41&lt;&gt;"",Bridging!D41="Yes")</f>
        <v>0</v>
      </c>
      <c r="R5" s="637" t="b">
        <f>IF(NOT(Q5),TRUE,COUNTBLANK('Bridging Neg Gearing'!E10:F10)&lt;2)</f>
        <v>1</v>
      </c>
      <c r="S5" s="846">
        <f>IF(O5=FALSE,MAX(Bridging!F41:G41),0)</f>
        <v>0</v>
      </c>
      <c r="U5" s="618" t="s">
        <v>467</v>
      </c>
      <c r="V5" s="803">
        <f>IF(Bridging!F16="Household 1",$C$12+$C$29+$C$30)+IF(Bridging!H16="Household 1",$F$12+$F$29+$F$30)</f>
        <v>0</v>
      </c>
      <c r="W5" s="803">
        <f>IF(Bridging!F16="Household 2",$C$12+$C$29+$C$30)+IF(Bridging!H16="Household 2",$F$12+$F$29+$F$30)</f>
        <v>0</v>
      </c>
      <c r="X5" s="803">
        <f>IF(Bridging!F16="Household 3",$C$12+$C$29+$C$30)+IF(Bridging!H16="Household 3",$F$12+$F$29+$F$30)</f>
        <v>0</v>
      </c>
      <c r="Y5" s="803">
        <f>IF(Bridging!F16="Household 4",$C$12+$C$29+$C$30)+IF(Bridging!H16="Household 4",$F$12+$F$29+$F$30)</f>
        <v>0</v>
      </c>
      <c r="Z5" s="621">
        <f t="shared" si="0"/>
        <v>0</v>
      </c>
      <c r="AB5" s="618" t="s">
        <v>467</v>
      </c>
      <c r="AC5" s="803">
        <f>IF(Bridging!G16="Household 1",$J$12+$J$29+$J$30)+IF(Bridging!I16="Household 1",$M$12+$M$29+$M$30)</f>
        <v>0</v>
      </c>
      <c r="AD5" s="803">
        <f>IF(Bridging!G16="Household 2",$J$12+$J$29+$J$30)+IF(Bridging!I16="Household 2",$M$12+$M$29+$M$30)</f>
        <v>0</v>
      </c>
      <c r="AE5" s="803">
        <f>IF(Bridging!G16="Household 3",$J$12+$J$29+$J$30)+IF(Bridging!I16="Household 3",$M$12+$M$29+$M$30)</f>
        <v>0</v>
      </c>
      <c r="AF5" s="803">
        <f>IF(Bridging!G16="Household 4",$J$12+$J$29+$J$30)+IF(Bridging!I16="Household 4",$M$12+$M$29+$M$30)</f>
        <v>0</v>
      </c>
      <c r="AG5" s="621">
        <f t="shared" si="1"/>
        <v>0</v>
      </c>
    </row>
    <row r="6" spans="1:33" x14ac:dyDescent="0.2">
      <c r="A6" s="390" t="s">
        <v>34</v>
      </c>
      <c r="B6" s="550">
        <f>Bridging!F20</f>
        <v>0</v>
      </c>
      <c r="C6" s="550">
        <f>B6</f>
        <v>0</v>
      </c>
      <c r="D6" s="390"/>
      <c r="E6" s="551">
        <f>Bridging!H20</f>
        <v>0</v>
      </c>
      <c r="F6" s="550">
        <f>E6</f>
        <v>0</v>
      </c>
      <c r="H6" s="543" t="s">
        <v>34</v>
      </c>
      <c r="I6" s="550">
        <f>Bridging!G20</f>
        <v>0</v>
      </c>
      <c r="J6" s="550">
        <f>I6</f>
        <v>0</v>
      </c>
      <c r="K6" s="390"/>
      <c r="L6" s="551">
        <f>Bridging!I20</f>
        <v>0</v>
      </c>
      <c r="M6" s="550">
        <f>L6</f>
        <v>0</v>
      </c>
      <c r="O6" s="627" t="b">
        <f>COUNTBLANK(Bridging!B42:K42)=10</f>
        <v>1</v>
      </c>
      <c r="P6" s="629" t="b">
        <f>IF(O6,TRUE,IF(OR(Bridging!B42="Credit Card",Bridging!B42="Overdraft",Bridging!B42="Commercial Bill"),AND(Bridging!F42&lt;&gt;"",Bridging!G42&lt;&gt;""),IF(Bridging!B42="Margin Loan",Bridging!G42&lt;&gt;"",IF(OR(Bridging!E42="With my funds",Bridging!E42="Add to bridging"),AND(Bridging!F42&lt;&gt;"",Bridging!G42&lt;&gt;""),IF(OR(Bridging!B42="Personal Loan",Bridging!B42="Lease",Bridging!B42="Hire Purchase",Bridging!B42="Other"),AND(Bridging!J42&lt;&gt;"",Bridging!K42&lt;&gt;""),IF(OR(Bridging!B42="CBA Variable Rate Home Loan",Bridging!B42="CBA Fixed Rate Home Loan",Bridging!B42="OFI home loan (Other financial institution)"),AND(Bridging!C42&lt;&gt;"",Bridging!F42&lt;&gt;"",Bridging!G42&lt;&gt;"",Bridging!H42&lt;&gt;"",Bridging!I42&lt;&gt;"",Bridging!K42&lt;&gt;""),IF(OR(Bridging!B42="CBA Line of Credit",Bridging!B42="OFI Line of Credit (Other financial institution)"),AND(Bridging!C42&lt;&gt;"",Bridging!F42&lt;&gt;"",Bridging!G42&lt;&gt;"",Bridging!I42&lt;&gt;"",Bridging!K42&lt;&gt;""),IF(Bridging!B42="HECS",Bridging!J42&lt;&gt;"",FALSE))))))))</f>
        <v>1</v>
      </c>
      <c r="Q6" s="624" t="b">
        <f>AND(Bridging!E42&lt;&gt;"With my funds",Bridging!B42&lt;&gt;"",Bridging!D42="Yes")</f>
        <v>0</v>
      </c>
      <c r="R6" s="637" t="b">
        <f>IF(NOT(Q6),TRUE,COUNTBLANK('Bridging Neg Gearing'!E11:F11)&lt;2)</f>
        <v>1</v>
      </c>
      <c r="S6" s="846">
        <f>IF(O6=FALSE,MAX(Bridging!F42:G42),0)</f>
        <v>0</v>
      </c>
      <c r="U6" s="618" t="s">
        <v>356</v>
      </c>
      <c r="V6" s="803">
        <f>IF(V3=0,0,IF(V3=1,VLOOKUP(V5,Data!$Q$23:$AC$43,3+MIN(3,V4))+IF(V4&gt;3,(V4-3)*VLOOKUP(V5,Data!$Q$23:$AC$43,7),0),VLOOKUP(V5,Data!$Q$23:$AC$43,8+MIN(3,V4))+IF(V4&gt;3,(V4-3)*VLOOKUP(V5,Data!$Q$23:$AC$43,12),0)+IF(V3&gt;2,(V3-2)*VLOOKUP(V5,Data!$Q$23:$AC$43,13),0)))</f>
        <v>0</v>
      </c>
      <c r="W6" s="803">
        <f>IF(W3=0,0,IF(W3=1,VLOOKUP(W5,Data!$Q$23:$AC$43,3+MIN(3,W4))+IF(W4&gt;3,(W4-3)*VLOOKUP(W5,Data!$Q$23:$AC$43,7),0),VLOOKUP(W5,Data!$Q$23:$AC$43,8+MIN(3,W4))+IF(W4&gt;3,(W4-3)*VLOOKUP(W5,Data!$Q$23:$AC$43,12),0)+IF(W3&gt;2,(W3-2)*VLOOKUP(W5,Data!$Q$23:$AC$43,13),0)))</f>
        <v>0</v>
      </c>
      <c r="X6" s="803">
        <f>IF(X3=0,0,IF(X3=1,VLOOKUP(X5,Data!$Q$23:$AC$43,3+MIN(3,X4))+IF(X4&gt;3,(X4-3)*VLOOKUP(X5,Data!$Q$23:$AC$43,7),0),VLOOKUP(X5,Data!$Q$23:$AC$43,8+MIN(3,X4))+IF(X4&gt;3,(X4-3)*VLOOKUP(X5,Data!$Q$23:$AC$43,12),0)+IF(X3&gt;2,(X3-2)*VLOOKUP(X5,Data!$Q$23:$AC$43,13),0)))</f>
        <v>0</v>
      </c>
      <c r="Y6" s="803">
        <f>IF(Y3=0,0,IF(Y3=1,VLOOKUP(Y5,Data!$Q$23:$AC$43,3+MIN(3,Y4))+IF(Y4&gt;3,(Y4-3)*VLOOKUP(Y5,Data!$Q$23:$AC$43,7),0),VLOOKUP(Y5,Data!$Q$23:$AC$43,8+MIN(3,Y4))+IF(Y4&gt;3,(Y4-3)*VLOOKUP(Y5,Data!$Q$23:$AC$43,12),0)+IF(Y3&gt;2,(Y3-2)*VLOOKUP(Y5,Data!$Q$23:$AC$43,13),0)))</f>
        <v>0</v>
      </c>
      <c r="Z6" s="621">
        <f t="shared" si="0"/>
        <v>0</v>
      </c>
      <c r="AB6" s="618" t="s">
        <v>356</v>
      </c>
      <c r="AC6" s="803">
        <f>IF(AC3=0,0,IF(AC3=1,VLOOKUP(AC5,Data!$Q$23:$AC$43,3+MIN(3,AC4))+IF(AC4&gt;3,(AC4-3)*VLOOKUP(AC5,Data!$Q$23:$AC$43,7),0),VLOOKUP(AC5,Data!$Q$23:$AC$43,8+MIN(3,AC4))+IF(AC4&gt;3,(AC4-3)*VLOOKUP(AC5,Data!$Q$23:$AC$43,12),0)+IF(AC3&gt;2,(AC3-2)*VLOOKUP(AC5,Data!$Q$23:$AC$43,13),0)))</f>
        <v>0</v>
      </c>
      <c r="AD6" s="803">
        <f>IF(AD3=0,0,IF(AD3=1,VLOOKUP(AD5,Data!$Q$23:$AC$43,3+MIN(3,AD4))+IF(AD4&gt;3,(AD4-3)*VLOOKUP(AD5,Data!$Q$23:$AC$43,7),0),VLOOKUP(AD5,Data!$Q$23:$AC$43,8+MIN(3,AD4))+IF(AD4&gt;3,(AD4-3)*VLOOKUP(AD5,Data!$Q$23:$AC$43,12),0)+IF(AD3&gt;2,(AD3-2)*VLOOKUP(AD5,Data!$Q$23:$AC$43,13),0)))</f>
        <v>0</v>
      </c>
      <c r="AE6" s="803">
        <f>IF(AE3=0,0,IF(AE3=1,VLOOKUP(AE5,Data!$Q$23:$AC$43,3+MIN(3,AE4))+IF(AE4&gt;3,(AE4-3)*VLOOKUP(AE5,Data!$Q$23:$AC$43,7),0),VLOOKUP(AE5,Data!$Q$23:$AC$43,8+MIN(3,AE4))+IF(AE4&gt;3,(AE4-3)*VLOOKUP(AE5,Data!$Q$23:$AC$43,12),0)+IF(AE3&gt;2,(AE3-2)*VLOOKUP(AE5,Data!$Q$23:$AC$43,13),0)))</f>
        <v>0</v>
      </c>
      <c r="AF6" s="803">
        <f>IF(AF3=0,0,IF(AF3=1,VLOOKUP(AF5,Data!$Q$23:$AC$43,3+MIN(3,AF4))+IF(AF4&gt;3,(AF4-3)*VLOOKUP(AF5,Data!$Q$23:$AC$43,7),0),VLOOKUP(AF5,Data!$Q$23:$AC$43,8+MIN(3,AF4))+IF(AF4&gt;3,(AF4-3)*VLOOKUP(AF5,Data!$Q$23:$AC$43,12),0)+IF(AF3&gt;2,(AF3-2)*VLOOKUP(AF5,Data!$Q$23:$AC$43,13),0)))</f>
        <v>0</v>
      </c>
      <c r="AG6" s="621">
        <f t="shared" si="1"/>
        <v>0</v>
      </c>
    </row>
    <row r="7" spans="1:33" x14ac:dyDescent="0.2">
      <c r="A7" s="390" t="s">
        <v>35</v>
      </c>
      <c r="B7" s="550">
        <f>Bridging!F21</f>
        <v>0</v>
      </c>
      <c r="C7" s="550">
        <f>B7</f>
        <v>0</v>
      </c>
      <c r="D7" s="390"/>
      <c r="E7" s="551">
        <f>Bridging!H21</f>
        <v>0</v>
      </c>
      <c r="F7" s="550">
        <f>E7</f>
        <v>0</v>
      </c>
      <c r="H7" s="543" t="s">
        <v>35</v>
      </c>
      <c r="I7" s="550">
        <f>Bridging!G21</f>
        <v>0</v>
      </c>
      <c r="J7" s="550">
        <f>I7</f>
        <v>0</v>
      </c>
      <c r="K7" s="390"/>
      <c r="L7" s="551">
        <f>Bridging!I21</f>
        <v>0</v>
      </c>
      <c r="M7" s="550">
        <f>L7</f>
        <v>0</v>
      </c>
      <c r="O7" s="627" t="b">
        <f>COUNTBLANK(Bridging!B43:K43)=10</f>
        <v>1</v>
      </c>
      <c r="P7" s="629" t="b">
        <f>IF(O7,TRUE,IF(OR(Bridging!B43="Credit Card",Bridging!B43="Overdraft",Bridging!B43="Commercial Bill"),AND(Bridging!F43&lt;&gt;"",Bridging!G43&lt;&gt;""),IF(Bridging!B43="Margin Loan",Bridging!G43&lt;&gt;"",IF(OR(Bridging!E43="With my funds",Bridging!E43="Add to bridging"),AND(Bridging!F43&lt;&gt;"",Bridging!G43&lt;&gt;""),IF(OR(Bridging!B43="Personal Loan",Bridging!B43="Lease",Bridging!B43="Hire Purchase",Bridging!B43="Other"),AND(Bridging!J43&lt;&gt;"",Bridging!K43&lt;&gt;""),IF(OR(Bridging!B43="CBA Variable Rate Home Loan",Bridging!B43="CBA Fixed Rate Home Loan",Bridging!B43="OFI home loan (Other financial institution)"),AND(Bridging!C43&lt;&gt;"",Bridging!F43&lt;&gt;"",Bridging!G43&lt;&gt;"",Bridging!H43&lt;&gt;"",Bridging!I43&lt;&gt;"",Bridging!K43&lt;&gt;""),IF(OR(Bridging!B43="CBA Line of Credit",Bridging!B43="OFI Line of Credit (Other financial institution)"),AND(Bridging!C43&lt;&gt;"",Bridging!F43&lt;&gt;"",Bridging!G43&lt;&gt;"",Bridging!I43&lt;&gt;"",Bridging!K43&lt;&gt;""),IF(Bridging!B43="HECS",Bridging!J43&lt;&gt;"",FALSE))))))))</f>
        <v>1</v>
      </c>
      <c r="Q7" s="624" t="b">
        <f>AND(Bridging!E43&lt;&gt;"With my funds",Bridging!B43&lt;&gt;"",Bridging!D43="Yes")</f>
        <v>0</v>
      </c>
      <c r="R7" s="637" t="b">
        <f>IF(NOT(Q7),TRUE,COUNTBLANK('Bridging Neg Gearing'!E12:F12)&lt;2)</f>
        <v>1</v>
      </c>
      <c r="S7" s="846">
        <f>IF(O7=FALSE,MAX(Bridging!F43:G43),0)</f>
        <v>0</v>
      </c>
      <c r="U7" s="618" t="s">
        <v>355</v>
      </c>
      <c r="V7" s="804">
        <f>IF(OR(Bridging!I11="",Bridging!I11=0),0,Bridging!I11)</f>
        <v>0</v>
      </c>
      <c r="W7" s="804">
        <f>IF(OR(Bridging!J11="",Bridging!J11=0),0,Bridging!J11)</f>
        <v>0</v>
      </c>
      <c r="X7" s="804">
        <f>IF(OR(Bridging!K11="",Bridging!K11=0),0,Bridging!K11)</f>
        <v>0</v>
      </c>
      <c r="Y7" s="805">
        <f>IF(OR(Bridging!L11="",Bridging!L11=0),0,Bridging!L11)</f>
        <v>0</v>
      </c>
      <c r="Z7" s="622">
        <f t="shared" si="0"/>
        <v>0</v>
      </c>
      <c r="AB7" s="618" t="s">
        <v>355</v>
      </c>
      <c r="AC7" s="804">
        <f>IF(OR(Bridging!I11="",Bridging!I11=0),0,Bridging!I11)</f>
        <v>0</v>
      </c>
      <c r="AD7" s="804">
        <f>IF(OR(Bridging!J11="",Bridging!J11=0),0,Bridging!J11)</f>
        <v>0</v>
      </c>
      <c r="AE7" s="804">
        <f>IF(OR(Bridging!K11="",Bridging!K11=0),0,Bridging!K11)</f>
        <v>0</v>
      </c>
      <c r="AF7" s="804">
        <f>IF(OR(Bridging!L11="",Bridging!L11=0),0,Bridging!L11)</f>
        <v>0</v>
      </c>
      <c r="AG7" s="622">
        <f t="shared" si="1"/>
        <v>0</v>
      </c>
    </row>
    <row r="8" spans="1:33" x14ac:dyDescent="0.2">
      <c r="A8" s="390" t="s">
        <v>317</v>
      </c>
      <c r="B8" s="550">
        <f>Bridging!F22</f>
        <v>0</v>
      </c>
      <c r="C8" s="550">
        <f>B8*Data!$C$22</f>
        <v>0</v>
      </c>
      <c r="D8" s="390"/>
      <c r="E8" s="551">
        <f>Bridging!H22</f>
        <v>0</v>
      </c>
      <c r="F8" s="550">
        <f>E8*Data!$C$22</f>
        <v>0</v>
      </c>
      <c r="H8" s="543" t="s">
        <v>317</v>
      </c>
      <c r="I8" s="550">
        <f>Bridging!G22</f>
        <v>0</v>
      </c>
      <c r="J8" s="550">
        <f>I8*Data!$C$22</f>
        <v>0</v>
      </c>
      <c r="K8" s="390"/>
      <c r="L8" s="551">
        <f>Bridging!I22</f>
        <v>0</v>
      </c>
      <c r="M8" s="550">
        <f>L8*Data!$C$22</f>
        <v>0</v>
      </c>
      <c r="O8" s="627" t="b">
        <f>COUNTBLANK(Bridging!B44:K44)=10</f>
        <v>1</v>
      </c>
      <c r="P8" s="629" t="b">
        <f>IF(O8,TRUE,IF(OR(Bridging!B44="Credit Card",Bridging!B44="Overdraft",Bridging!B44="Commercial Bill"),AND(Bridging!F44&lt;&gt;"",Bridging!G44&lt;&gt;""),IF(Bridging!B44="Margin Loan",Bridging!G44&lt;&gt;"",IF(OR(Bridging!E44="With my funds",Bridging!E44="Add to bridging"),AND(Bridging!F44&lt;&gt;"",Bridging!G44&lt;&gt;""),IF(OR(Bridging!B44="Personal Loan",Bridging!B44="Lease",Bridging!B44="Hire Purchase",Bridging!B44="Other"),AND(Bridging!J44&lt;&gt;"",Bridging!K44&lt;&gt;""),IF(OR(Bridging!B44="CBA Variable Rate Home Loan",Bridging!B44="CBA Fixed Rate Home Loan",Bridging!B44="OFI home loan (Other financial institution)"),AND(Bridging!C44&lt;&gt;"",Bridging!F44&lt;&gt;"",Bridging!G44&lt;&gt;"",Bridging!H44&lt;&gt;"",Bridging!I44&lt;&gt;"",Bridging!K44&lt;&gt;""),IF(OR(Bridging!B44="CBA Line of Credit",Bridging!B44="OFI Line of Credit (Other financial institution)"),AND(Bridging!C44&lt;&gt;"",Bridging!F44&lt;&gt;"",Bridging!G44&lt;&gt;"",Bridging!I44&lt;&gt;"",Bridging!K44&lt;&gt;""),IF(Bridging!B44="HECS",Bridging!J44&lt;&gt;"",FALSE))))))))</f>
        <v>1</v>
      </c>
      <c r="Q8" s="624" t="b">
        <f>AND(Bridging!E44&lt;&gt;"With my funds",Bridging!B44&lt;&gt;"",Bridging!D44="Yes")</f>
        <v>0</v>
      </c>
      <c r="R8" s="637" t="b">
        <f>IF(NOT(Q8),TRUE,COUNTBLANK('Bridging Neg Gearing'!E13:F13)&lt;2)</f>
        <v>1</v>
      </c>
      <c r="S8" s="846">
        <f>IF(O8=FALSE,MAX(Bridging!F44:G44),0)</f>
        <v>0</v>
      </c>
      <c r="U8" s="555" t="s">
        <v>136</v>
      </c>
      <c r="V8" s="556">
        <f>MAX(V6:V7)</f>
        <v>0</v>
      </c>
      <c r="W8" s="556">
        <f>MAX(W6:W7)</f>
        <v>0</v>
      </c>
      <c r="X8" s="556">
        <f>MAX(X6:X7)</f>
        <v>0</v>
      </c>
      <c r="Y8" s="556">
        <f>MAX(Y6:Y7)</f>
        <v>0</v>
      </c>
      <c r="Z8" s="557">
        <f t="shared" si="0"/>
        <v>0</v>
      </c>
      <c r="AB8" s="555" t="s">
        <v>136</v>
      </c>
      <c r="AC8" s="556">
        <f>MAX(AC6:AC7)</f>
        <v>0</v>
      </c>
      <c r="AD8" s="556">
        <f>MAX(AD6:AD7)</f>
        <v>0</v>
      </c>
      <c r="AE8" s="556">
        <f>MAX(AE6:AE7)</f>
        <v>0</v>
      </c>
      <c r="AF8" s="556">
        <f>MAX(AF6:AF7)</f>
        <v>0</v>
      </c>
      <c r="AG8" s="557">
        <f t="shared" si="1"/>
        <v>0</v>
      </c>
    </row>
    <row r="9" spans="1:33" x14ac:dyDescent="0.2">
      <c r="A9" s="390" t="s">
        <v>37</v>
      </c>
      <c r="B9" s="550">
        <f>Bridging!F23</f>
        <v>0</v>
      </c>
      <c r="C9" s="550">
        <f>B9*Data!G30</f>
        <v>0</v>
      </c>
      <c r="D9" s="390"/>
      <c r="E9" s="551">
        <f>Bridging!H23</f>
        <v>0</v>
      </c>
      <c r="F9" s="551">
        <f>E9*Data!G30</f>
        <v>0</v>
      </c>
      <c r="H9" s="543" t="s">
        <v>37</v>
      </c>
      <c r="I9" s="550">
        <f>Bridging!G23</f>
        <v>0</v>
      </c>
      <c r="J9" s="550">
        <f>I9*Data!G30</f>
        <v>0</v>
      </c>
      <c r="K9" s="390"/>
      <c r="L9" s="551">
        <f>Bridging!I23</f>
        <v>0</v>
      </c>
      <c r="M9" s="551">
        <f>L9*Data!G30</f>
        <v>0</v>
      </c>
      <c r="O9" s="628" t="b">
        <f>COUNTBLANK(Bridging!B45:K45)=10</f>
        <v>1</v>
      </c>
      <c r="P9" s="630" t="b">
        <f>IF(O9,TRUE,IF(OR(Bridging!B45="Credit Card",Bridging!B45="Overdraft",Bridging!B45="Commercial Bill"),AND(Bridging!F45&lt;&gt;"",Bridging!G45&lt;&gt;""),IF(Bridging!B45="Margin Loan",Bridging!G45&lt;&gt;"",IF(OR(Bridging!E45="With my funds",Bridging!E45="Add to bridging"),AND(Bridging!F45&lt;&gt;"",Bridging!G45&lt;&gt;""),IF(OR(Bridging!B45="Personal Loan",Bridging!B45="Lease",Bridging!B45="Hire Purchase",Bridging!B45="Other"),AND(Bridging!J45&lt;&gt;"",Bridging!K45&lt;&gt;""),IF(OR(Bridging!B45="CBA Variable Rate Home Loan",Bridging!B45="CBA Fixed Rate Home Loan",Bridging!B45="OFI home loan (Other financial institution)"),AND(Bridging!C45&lt;&gt;"",Bridging!F45&lt;&gt;"",Bridging!G45&lt;&gt;"",Bridging!H45&lt;&gt;"",Bridging!I45&lt;&gt;"",Bridging!K45&lt;&gt;""),IF(OR(Bridging!B45="CBA Line of Credit",Bridging!B45="OFI Line of Credit (Other financial institution)"),AND(Bridging!C45&lt;&gt;"",Bridging!F45&lt;&gt;"",Bridging!G45&lt;&gt;"",Bridging!I45&lt;&gt;"",Bridging!K45&lt;&gt;""),IF(Bridging!B45="HECS",Bridging!J45&lt;&gt;"",FALSE))))))))</f>
        <v>1</v>
      </c>
      <c r="Q9" s="625" t="b">
        <f>AND(Bridging!E45&lt;&gt;"With my funds",Bridging!B45&lt;&gt;"",Bridging!D45="Yes")</f>
        <v>0</v>
      </c>
      <c r="R9" s="638" t="b">
        <f>IF(NOT(Q9),TRUE,COUNTBLANK('Bridging Neg Gearing'!E14:F14)&lt;2)</f>
        <v>1</v>
      </c>
      <c r="S9" s="847">
        <f>IF(O9=FALSE,MAX(Bridging!F45:G45),0)</f>
        <v>0</v>
      </c>
    </row>
    <row r="10" spans="1:33" x14ac:dyDescent="0.2">
      <c r="A10" s="390" t="s">
        <v>290</v>
      </c>
      <c r="B10" s="550">
        <f>Bridging!F24</f>
        <v>0</v>
      </c>
      <c r="C10" s="550">
        <f>B10</f>
        <v>0</v>
      </c>
      <c r="D10" s="390"/>
      <c r="E10" s="551">
        <f>Bridging!H24</f>
        <v>0</v>
      </c>
      <c r="F10" s="551">
        <f>E10</f>
        <v>0</v>
      </c>
      <c r="H10" s="543" t="s">
        <v>290</v>
      </c>
      <c r="I10" s="550">
        <f>Bridging!G24</f>
        <v>0</v>
      </c>
      <c r="J10" s="550">
        <f>I10</f>
        <v>0</v>
      </c>
      <c r="K10" s="390"/>
      <c r="L10" s="551">
        <f>Bridging!I24</f>
        <v>0</v>
      </c>
      <c r="M10" s="551">
        <f>L10</f>
        <v>0</v>
      </c>
      <c r="O10" s="561"/>
      <c r="P10" s="562" t="b">
        <f>AND(P3:P9)</f>
        <v>1</v>
      </c>
      <c r="Q10" s="562" t="b">
        <f>OR(Q3:Q9)</f>
        <v>0</v>
      </c>
      <c r="R10" s="562" t="b">
        <f>AND(R3:R9)</f>
        <v>1</v>
      </c>
      <c r="S10" s="562"/>
      <c r="V10" s="558" t="s">
        <v>285</v>
      </c>
      <c r="W10" s="558" t="s">
        <v>286</v>
      </c>
      <c r="Y10" s="9"/>
      <c r="Z10" s="402" t="s">
        <v>159</v>
      </c>
    </row>
    <row r="11" spans="1:33" x14ac:dyDescent="0.2">
      <c r="A11" s="390" t="s">
        <v>41</v>
      </c>
      <c r="B11" s="550">
        <f>Bridging!F25</f>
        <v>0</v>
      </c>
      <c r="C11" s="550">
        <f>B11</f>
        <v>0</v>
      </c>
      <c r="D11" s="390"/>
      <c r="E11" s="551">
        <f>Bridging!H25</f>
        <v>0</v>
      </c>
      <c r="F11" s="551">
        <f>E11</f>
        <v>0</v>
      </c>
      <c r="H11" s="543" t="s">
        <v>41</v>
      </c>
      <c r="I11" s="550">
        <f>Bridging!G25</f>
        <v>0</v>
      </c>
      <c r="J11" s="550">
        <f>I11</f>
        <v>0</v>
      </c>
      <c r="K11" s="390"/>
      <c r="L11" s="551">
        <f>Bridging!I25</f>
        <v>0</v>
      </c>
      <c r="M11" s="551">
        <f>L11</f>
        <v>0</v>
      </c>
      <c r="O11" s="561"/>
      <c r="P11" s="561"/>
      <c r="Q11" s="561"/>
      <c r="R11" s="561"/>
      <c r="S11" s="561"/>
      <c r="T11" s="564"/>
      <c r="U11" s="559" t="s">
        <v>221</v>
      </c>
      <c r="V11" s="596">
        <f>SUM(C3:C5,C8:C11,Bridging!F30:F31,F3:F5,F8:F11,Bridging!H30:H31)</f>
        <v>0</v>
      </c>
      <c r="W11" s="596">
        <f>SUM(J3:J5,J8:J11,Bridging!G30:G31,M3:M5,M8:M11,Bridging!I30:I31)</f>
        <v>0</v>
      </c>
      <c r="Y11" s="9" t="s">
        <v>318</v>
      </c>
      <c r="Z11" s="560" t="b">
        <f>AND(Bridging!K7,Bridging!I6&lt;&gt;"",Bridging!F16&lt;&gt;"",Bridging!J6="",Bridging!I10&lt;&gt;"",IF(Bridging!I6&gt;1,Bridging!J10&lt;&gt;"",TRUE),IF(Bridging!I6&gt;2,Bridging!K10&lt;&gt;"",TRUE),IF(Bridging!I6&gt;3,Bridging!L10&lt;&gt;"",TRUE))</f>
        <v>0</v>
      </c>
    </row>
    <row r="12" spans="1:33" s="564" customFormat="1" x14ac:dyDescent="0.2">
      <c r="A12" s="391" t="s">
        <v>44</v>
      </c>
      <c r="B12" s="550">
        <f>SUM(B3:B11)</f>
        <v>0</v>
      </c>
      <c r="C12" s="550">
        <f>SUM(C3:C11)</f>
        <v>0</v>
      </c>
      <c r="D12" s="390"/>
      <c r="E12" s="551">
        <f>SUM(E3:E11)</f>
        <v>0</v>
      </c>
      <c r="F12" s="551">
        <f>SUM(F3:F11)</f>
        <v>0</v>
      </c>
      <c r="G12" s="543"/>
      <c r="H12" s="563" t="s">
        <v>44</v>
      </c>
      <c r="I12" s="550">
        <f>SUM(I3:I11)</f>
        <v>0</v>
      </c>
      <c r="J12" s="550">
        <f>SUM(J3:J11)</f>
        <v>0</v>
      </c>
      <c r="K12" s="390"/>
      <c r="L12" s="551">
        <f>SUM(L3:L11)</f>
        <v>0</v>
      </c>
      <c r="M12" s="551">
        <f>SUM(M3:M11)</f>
        <v>0</v>
      </c>
      <c r="O12" s="563" t="s">
        <v>320</v>
      </c>
      <c r="U12" s="195" t="s">
        <v>222</v>
      </c>
      <c r="V12" s="597">
        <f t="array" ref="V12">SUM(IF(('Bridging Rental Yield'!I7:I26="Bridging")+('Bridging Rental Yield'!I7:I26="Both"),('Bridging Rental Yield'!$C$30:$C$49)*('Bridging Rental Yield'!F30:F49)))
+SUM(IF(('Bridging Rental Yield'!I7:I26="Bridging")+('Bridging Rental Yield'!I7:I26="Both"),('Bridging Rental Yield'!$C$30:$C$49)*('Bridging Rental Yield'!G30:G49)))</f>
        <v>0</v>
      </c>
      <c r="W12" s="597">
        <f t="array" ref="W12">SUM(IF(('Bridging Rental Yield'!I7:I26="Ongoing")+('Bridging Rental Yield'!I7:I26="Both"),('Bridging Rental Yield'!$C$30:$C$49)*('Bridging Rental Yield'!F30:F49)))
+SUM(IF(('Bridging Rental Yield'!I7:I26="Ongoing")+('Bridging Rental Yield'!I7:I26="Both"),('Bridging Rental Yield'!$C$30:$C$49)*('Bridging Rental Yield'!G30:G49)))</f>
        <v>0</v>
      </c>
      <c r="X12" s="543"/>
      <c r="Y12" s="9" t="s">
        <v>141</v>
      </c>
      <c r="Z12" s="560" t="b">
        <f>AND(SUM(Bridging!F26,Bridging!F30:F31)&gt;0,SUM(Bridging!G26,Bridging!G30:G31)&gt;0)</f>
        <v>0</v>
      </c>
      <c r="AA12" s="543"/>
      <c r="AB12" s="543"/>
      <c r="AC12" s="543"/>
      <c r="AD12" s="543"/>
      <c r="AE12" s="543"/>
      <c r="AF12" s="543"/>
      <c r="AG12" s="543"/>
    </row>
    <row r="13" spans="1:33" s="564" customFormat="1" x14ac:dyDescent="0.2">
      <c r="A13" s="390" t="s">
        <v>46</v>
      </c>
      <c r="B13" s="550">
        <f>income_tax(B12)</f>
        <v>0</v>
      </c>
      <c r="C13" s="550">
        <f>income_tax(C12)</f>
        <v>0</v>
      </c>
      <c r="D13" s="390"/>
      <c r="E13" s="550">
        <f>income_tax(E12)</f>
        <v>0</v>
      </c>
      <c r="F13" s="550">
        <f>income_tax(F12)</f>
        <v>0</v>
      </c>
      <c r="H13" s="543" t="s">
        <v>46</v>
      </c>
      <c r="I13" s="550">
        <f>income_tax(I12)</f>
        <v>0</v>
      </c>
      <c r="J13" s="550">
        <f>income_tax(J12)</f>
        <v>0</v>
      </c>
      <c r="K13" s="390"/>
      <c r="L13" s="550">
        <f>income_tax(L12)</f>
        <v>0</v>
      </c>
      <c r="M13" s="550">
        <f>income_tax(M12)</f>
        <v>0</v>
      </c>
      <c r="O13" s="567" t="s">
        <v>158</v>
      </c>
      <c r="P13" s="567" t="s">
        <v>159</v>
      </c>
      <c r="Q13" s="567" t="s">
        <v>315</v>
      </c>
      <c r="R13" s="567" t="s">
        <v>159</v>
      </c>
      <c r="S13" s="845"/>
      <c r="T13" s="568"/>
      <c r="U13" s="195" t="s">
        <v>223</v>
      </c>
      <c r="V13" s="597">
        <f t="array" ref="V13">SUM(IF(('Bridging Rental Yield'!I7:I26="Bridging")+('Bridging Rental Yield'!I7:I26="Both"),('Bridging Rental Yield'!$E$30:$E$49)*('Bridging Rental Yield'!F30:F49)))
+SUM(IF(('Bridging Rental Yield'!I7:I26="Bridging")+('Bridging Rental Yield'!I7:I26="Both"),('Bridging Rental Yield'!$E$30:$E$49)*('Bridging Rental Yield'!G30:G49)))</f>
        <v>0</v>
      </c>
      <c r="W13" s="597">
        <f t="array" ref="W13">SUM(IF(('Bridging Rental Yield'!I7:I26="Ongoing")+('Bridging Rental Yield'!I7:I26="Both"),('Bridging Rental Yield'!$E$30:$E$49)*('Bridging Rental Yield'!F30:F49)))
+SUM(IF(('Bridging Rental Yield'!I7:I26="Ongoing")+('Bridging Rental Yield'!I7:I26="Both"),('Bridging Rental Yield'!$E$30:$E$49)*('Bridging Rental Yield'!G30:G49)))</f>
        <v>0</v>
      </c>
      <c r="Y13" s="9" t="s">
        <v>319</v>
      </c>
      <c r="Z13" s="560" t="b">
        <f>AND(P10,R10,P20,R20)</f>
        <v>1</v>
      </c>
    </row>
    <row r="14" spans="1:33" s="568" customFormat="1" x14ac:dyDescent="0.2">
      <c r="A14" s="390" t="s">
        <v>48</v>
      </c>
      <c r="B14" s="550">
        <f>medicare_levy(B12)</f>
        <v>0</v>
      </c>
      <c r="C14" s="550">
        <f>medicare_levy(C12)</f>
        <v>0</v>
      </c>
      <c r="D14" s="390"/>
      <c r="E14" s="550">
        <f>medicare_levy(E12)</f>
        <v>0</v>
      </c>
      <c r="F14" s="550">
        <f>medicare_levy(F12)</f>
        <v>0</v>
      </c>
      <c r="G14" s="390"/>
      <c r="H14" s="543" t="s">
        <v>48</v>
      </c>
      <c r="I14" s="550">
        <f>medicare_levy(I12)</f>
        <v>0</v>
      </c>
      <c r="J14" s="550">
        <f>medicare_levy(J12)</f>
        <v>0</v>
      </c>
      <c r="K14" s="390"/>
      <c r="L14" s="550">
        <f>medicare_levy(L12)</f>
        <v>0</v>
      </c>
      <c r="M14" s="550">
        <f>medicare_levy(M12)</f>
        <v>0</v>
      </c>
      <c r="O14" s="572" t="b">
        <f>AND(Bridging!B65="",Bridging!C65="",Bridging!D65="",Bridging!E65="",Bridging!F65="",Bridging!I65="",Bridging!J65="",Bridging!K65="")</f>
        <v>1</v>
      </c>
      <c r="P14" s="573" t="b">
        <f>IF(O14,TRUE,IF(Bridging!B65="Credit Card",Bridging!E65&lt;&gt;"",AND(Bridging!C65&lt;&gt;"",Bridging!E65&lt;&gt;"",Bridging!F65&lt;&gt;"",Bridging!I65&lt;&gt;"",Bridging!K65&lt;&gt;"")))</f>
        <v>1</v>
      </c>
      <c r="Q14" s="572" t="b">
        <f>AND(Bridging!B65&lt;&gt;"",Bridging!D65="Yes")</f>
        <v>0</v>
      </c>
      <c r="R14" s="572" t="b">
        <f>IF(NOT(Q14),TRUE,COUNTBLANK('Bridging Neg Gearing'!E32:F32)&lt;2)</f>
        <v>1</v>
      </c>
      <c r="S14" s="9"/>
      <c r="T14" s="543"/>
      <c r="U14" s="195" t="s">
        <v>224</v>
      </c>
      <c r="V14" s="597">
        <f>SUM(V11:V12)</f>
        <v>0</v>
      </c>
      <c r="W14" s="597">
        <f>SUM(W11:W12)</f>
        <v>0</v>
      </c>
      <c r="X14" s="564"/>
      <c r="Y14" s="565" t="s">
        <v>285</v>
      </c>
      <c r="Z14" s="566" t="b">
        <f>AND(COUNTBLANK(Bridging!F50:F53)=0,Bridging!K50&lt;&gt;"",Bridging!K52&lt;&gt;"")</f>
        <v>0</v>
      </c>
      <c r="AA14" s="564"/>
      <c r="AB14" s="564"/>
      <c r="AC14" s="564"/>
      <c r="AD14" s="564"/>
      <c r="AE14" s="564"/>
      <c r="AF14" s="564"/>
      <c r="AG14" s="564"/>
    </row>
    <row r="15" spans="1:33" s="568" customFormat="1" x14ac:dyDescent="0.2">
      <c r="A15" s="390" t="s">
        <v>555</v>
      </c>
      <c r="B15" s="550">
        <f>IF((LITO(B12,B13)+LMITO(B12,B13))&gt;B13,B13,LITO(B12,B13))</f>
        <v>0</v>
      </c>
      <c r="C15" s="550">
        <f>IF((LITO(C12,C13)+LMITO(C12,C13))&gt;C13,C13,LITO(C12,C13))</f>
        <v>0</v>
      </c>
      <c r="D15" s="390"/>
      <c r="E15" s="550">
        <f>IF((LITO(E12,E13)+LMITO(E12,E13))&gt;E13,E13,LITO(E12,E13))</f>
        <v>0</v>
      </c>
      <c r="F15" s="550">
        <f>IF((LITO(F12,F13)+LMITO(F12,F13))&gt;F13,F13,LITO(F12,F13))</f>
        <v>0</v>
      </c>
      <c r="G15" s="390"/>
      <c r="H15" s="390" t="s">
        <v>555</v>
      </c>
      <c r="I15" s="550">
        <f>IF((LITO(I12,I13)+LMITO(I12,I13))&gt;I13,I13,LITO(I12,I13))</f>
        <v>0</v>
      </c>
      <c r="J15" s="550">
        <f>IF((LITO(J12,J13)+LMITO(J12,J13))&gt;J13,J13,LITO(J12,J13))</f>
        <v>0</v>
      </c>
      <c r="K15"/>
      <c r="L15" s="550">
        <f>IF((LITO(L12,L13)+LMITO(L12,L13))&gt;L13,L13,LITO(L12,L13))</f>
        <v>0</v>
      </c>
      <c r="M15" s="550">
        <f>IF((LITO(M12,M13)+LMITO(M12,M13))&gt;M13,M13,LITO(M12,M13))</f>
        <v>0</v>
      </c>
      <c r="O15" s="578" t="b">
        <f>AND(Bridging!B66="",Bridging!C66="",Bridging!D66="",Bridging!E66="",Bridging!F66="",Bridging!I66="",Bridging!J66="",Bridging!K66="")</f>
        <v>1</v>
      </c>
      <c r="P15" s="579" t="b">
        <f>IF(O15,TRUE,IF(Bridging!B66="Credit Card",Bridging!E66&lt;&gt;"",AND(Bridging!C66&lt;&gt;"",Bridging!E66&lt;&gt;"",Bridging!F66&lt;&gt;"",Bridging!I66&lt;&gt;"",Bridging!K66&lt;&gt;"")))</f>
        <v>1</v>
      </c>
      <c r="Q15" s="579" t="b">
        <f>AND(Bridging!B66&lt;&gt;"",Bridging!D66="Yes")</f>
        <v>0</v>
      </c>
      <c r="R15" s="639" t="b">
        <f>IF(NOT(Q15),TRUE,COUNTBLANK('Bridging Neg Gearing'!E33:F33)&lt;2)</f>
        <v>1</v>
      </c>
      <c r="S15" s="9"/>
      <c r="T15" s="543"/>
      <c r="Y15" s="62" t="s">
        <v>321</v>
      </c>
      <c r="Z15" s="569" t="b">
        <f>AND(Z11:Z14)</f>
        <v>0</v>
      </c>
      <c r="AB15" s="564"/>
      <c r="AC15" s="564"/>
      <c r="AD15" s="564"/>
      <c r="AE15" s="564"/>
      <c r="AF15" s="564"/>
      <c r="AG15" s="564"/>
    </row>
    <row r="16" spans="1:33" s="568" customFormat="1" x14ac:dyDescent="0.2">
      <c r="A16" s="390" t="s">
        <v>559</v>
      </c>
      <c r="B16" s="550">
        <f>IF((LITO(B12,B13)+LMITO(B12,B13))&gt;B13,0,LMITO(B12,B13))</f>
        <v>0</v>
      </c>
      <c r="C16" s="550">
        <f>IF((LITO(C12,C13)+LMITO(C12,C13))&gt;C13,0,LMITO(C12,C13))</f>
        <v>0</v>
      </c>
      <c r="D16" s="390"/>
      <c r="E16" s="550">
        <f>IF((LITO(E12,E13)+LMITO(E12,E13))&gt;E13,0,LMITO(E12,E13))</f>
        <v>0</v>
      </c>
      <c r="F16" s="550">
        <f>IF((LITO(F12,F13)+LMITO(F12,F13))&gt;F13,0,LMITO(F12,F13))</f>
        <v>0</v>
      </c>
      <c r="G16" s="390"/>
      <c r="H16" s="390" t="s">
        <v>559</v>
      </c>
      <c r="I16" s="550">
        <f>IF((LITO(I12,I13)+LMITO(I12,I13))&gt;I13,0,LMITO(I12,I13))</f>
        <v>0</v>
      </c>
      <c r="J16" s="550">
        <f>IF((LITO(J12,J13)+LMITO(J12,J13))&gt;J13,0,LMITO(J12,J13))</f>
        <v>0</v>
      </c>
      <c r="K16"/>
      <c r="L16" s="550">
        <f>IF((LITO(L12,L13)+LMITO(L12,L13))&gt;L13,0,LMITO(L12,L13))</f>
        <v>0</v>
      </c>
      <c r="M16" s="550">
        <f>IF((LITO(M12,M13)+LMITO(M12,M13))&gt;M13,0,LMITO(M12,M13))</f>
        <v>0</v>
      </c>
      <c r="O16" s="578" t="b">
        <f>AND(Bridging!B67="",Bridging!C67="",Bridging!D67="",Bridging!E67="",Bridging!F67="",Bridging!I67="",Bridging!J67="",Bridging!K67="")</f>
        <v>1</v>
      </c>
      <c r="P16" s="579" t="b">
        <f>IF(O16,TRUE,IF(Bridging!B67="Credit Card",Bridging!E67&lt;&gt;"",AND(Bridging!C67&lt;&gt;"",Bridging!E67&lt;&gt;"",Bridging!F67&lt;&gt;"",Bridging!I67&lt;&gt;"",Bridging!K67&lt;&gt;"")))</f>
        <v>1</v>
      </c>
      <c r="Q16" s="579" t="b">
        <f>AND(Bridging!B67&lt;&gt;"",Bridging!D67="Yes")</f>
        <v>0</v>
      </c>
      <c r="R16" s="639" t="b">
        <f>IF(NOT(Q16),TRUE,COUNTBLANK('Bridging Neg Gearing'!E34:F34)&lt;2)</f>
        <v>1</v>
      </c>
      <c r="S16" s="9"/>
      <c r="T16" s="563"/>
      <c r="U16" s="559" t="s">
        <v>188</v>
      </c>
      <c r="V16" s="574">
        <f>IF(V14&gt;0,IF(Bridging!K57*12+Bridging!K34&gt;V13,IF(V12&lt;V14*Data!C18,(Bridging!K57*12+Bridging!K34-V13)/V11,(Bridging!K57*12+Bridging!K34)/V14),(Bridging!K57*12+Bridging!K34)/V14),0)</f>
        <v>0</v>
      </c>
      <c r="W16" s="574">
        <f>IF(W14&gt;0,IF(Bridging!L71*12+Bridging!L34&gt;W13,IF(W12&lt;W14*Data!C18,(Bridging!L71*12+Bridging!L34-W13)/W11,(Bridging!L71*12+Bridging!L34)/W14),(Bridging!L71*12+Bridging!L34)/W14),0)</f>
        <v>0</v>
      </c>
      <c r="X16" s="543"/>
      <c r="Y16" s="543"/>
      <c r="Z16" s="543"/>
      <c r="AA16" s="543"/>
      <c r="AB16" s="564"/>
      <c r="AC16" s="564"/>
      <c r="AD16" s="564"/>
      <c r="AE16" s="564"/>
      <c r="AF16" s="564"/>
      <c r="AG16" s="564"/>
    </row>
    <row r="17" spans="1:33" x14ac:dyDescent="0.2">
      <c r="A17" s="391" t="s">
        <v>322</v>
      </c>
      <c r="B17" s="570">
        <f>B13+B14-B15-B16</f>
        <v>0</v>
      </c>
      <c r="C17" s="570">
        <f>C13+C14-C15-C16</f>
        <v>0</v>
      </c>
      <c r="D17" s="390"/>
      <c r="E17" s="570">
        <f t="shared" ref="E17:F17" si="2">E13+E14-E15-E16</f>
        <v>0</v>
      </c>
      <c r="F17" s="570">
        <f t="shared" si="2"/>
        <v>0</v>
      </c>
      <c r="G17" s="390"/>
      <c r="H17" s="563" t="s">
        <v>322</v>
      </c>
      <c r="I17" s="570">
        <f>I13+I14-I15-I16</f>
        <v>0</v>
      </c>
      <c r="J17" s="570">
        <f>J13+J14-J15-J16</f>
        <v>0</v>
      </c>
      <c r="K17"/>
      <c r="L17" s="570">
        <f>L13+L14-L15-L16</f>
        <v>0</v>
      </c>
      <c r="M17" s="570">
        <f>M13+M14-M15-M16</f>
        <v>0</v>
      </c>
      <c r="O17" s="578" t="b">
        <f>AND(Bridging!B68="",Bridging!C68="",Bridging!D68="",Bridging!E68="",Bridging!F68="",Bridging!I68="",Bridging!J68="",Bridging!K68="")</f>
        <v>1</v>
      </c>
      <c r="P17" s="579" t="b">
        <f>IF(O17,TRUE,IF(Bridging!B68="Credit Card",Bridging!E68&lt;&gt;"",AND(Bridging!C68&lt;&gt;"",Bridging!E68&lt;&gt;"",Bridging!F68&lt;&gt;"",Bridging!I68&lt;&gt;"",Bridging!K68&lt;&gt;"")))</f>
        <v>1</v>
      </c>
      <c r="Q17" s="579" t="b">
        <f>AND(Bridging!B68&lt;&gt;"",Bridging!D68="Yes")</f>
        <v>0</v>
      </c>
      <c r="R17" s="639" t="b">
        <f>IF(NOT(Q17),TRUE,COUNTBLANK('Bridging Neg Gearing'!E35:F35)&lt;2)</f>
        <v>1</v>
      </c>
      <c r="S17" s="9"/>
      <c r="T17" s="564"/>
      <c r="U17" s="559" t="s">
        <v>190</v>
      </c>
      <c r="V17" s="580">
        <f>VLOOKUP(IF(V12&lt;V14*Data!$C18,V11,V14),Data!$I$3:$K$7,3)</f>
        <v>0.1</v>
      </c>
      <c r="W17" s="580">
        <f>VLOOKUP(IF(W12&lt;W14*Data!$C18,W11,W14),Data!$I$3:$K$7,3)</f>
        <v>0.1</v>
      </c>
      <c r="AB17" s="568"/>
      <c r="AC17" s="568"/>
      <c r="AD17" s="568"/>
      <c r="AE17" s="568"/>
      <c r="AF17" s="568"/>
      <c r="AG17" s="568"/>
    </row>
    <row r="18" spans="1:33" x14ac:dyDescent="0.2">
      <c r="A18" s="390"/>
      <c r="B18" s="575"/>
      <c r="C18" s="575"/>
      <c r="D18" s="390"/>
      <c r="E18" s="576"/>
      <c r="F18" s="576"/>
      <c r="G18" s="390"/>
      <c r="I18"/>
      <c r="J18" s="575"/>
      <c r="K18" s="390"/>
      <c r="L18" s="577"/>
      <c r="M18" s="577"/>
      <c r="O18" s="578" t="b">
        <f>AND(Bridging!B69="",Bridging!C69="",Bridging!D69="",Bridging!E69="",Bridging!F69="",Bridging!I69="",Bridging!J69="",Bridging!K69="")</f>
        <v>1</v>
      </c>
      <c r="P18" s="579" t="b">
        <f>IF(O18,TRUE,IF(Bridging!B69="Credit Card",Bridging!E69&lt;&gt;"",AND(Bridging!C69&lt;&gt;"",Bridging!E69&lt;&gt;"",Bridging!F69&lt;&gt;"",Bridging!I69&lt;&gt;"",Bridging!K69&lt;&gt;"")))</f>
        <v>1</v>
      </c>
      <c r="Q18" s="579" t="b">
        <f>AND(Bridging!B69&lt;&gt;"",Bridging!D69="Yes")</f>
        <v>0</v>
      </c>
      <c r="R18" s="639" t="b">
        <f>IF(NOT(Q18),TRUE,COUNTBLANK('Bridging Neg Gearing'!E36:F36)&lt;2)</f>
        <v>1</v>
      </c>
      <c r="S18" s="9"/>
      <c r="T18" s="564"/>
      <c r="U18"/>
      <c r="V18"/>
      <c r="W18"/>
      <c r="X18" s="563"/>
      <c r="Y18" s="563"/>
      <c r="Z18" s="563"/>
      <c r="AA18" s="563"/>
    </row>
    <row r="19" spans="1:33" s="563" customFormat="1" x14ac:dyDescent="0.2">
      <c r="A19" s="390" t="s">
        <v>323</v>
      </c>
      <c r="B19"/>
      <c r="C19" s="550">
        <f>'Bridging Neg Gearing'!C42</f>
        <v>0</v>
      </c>
      <c r="D19" s="390"/>
      <c r="E19" s="390"/>
      <c r="F19" s="551">
        <f>'Bridging Neg Gearing'!C43</f>
        <v>0</v>
      </c>
      <c r="G19" s="390"/>
      <c r="H19" s="543" t="s">
        <v>323</v>
      </c>
      <c r="I19"/>
      <c r="J19" s="550">
        <f>SUM('Bridging Neg Gearing'!E42:F42)</f>
        <v>0</v>
      </c>
      <c r="K19" s="390"/>
      <c r="L19"/>
      <c r="M19" s="551">
        <f>SUM('Bridging Neg Gearing'!E43:F43)</f>
        <v>0</v>
      </c>
      <c r="O19" s="582" t="b">
        <f>AND(Bridging!B70="",Bridging!C70="",Bridging!D70="",Bridging!E70="",Bridging!F70="",Bridging!I70="",Bridging!J70="",Bridging!K70="")</f>
        <v>1</v>
      </c>
      <c r="P19" s="582" t="b">
        <f>IF(O19,TRUE,IF(Bridging!B70="Credit Card",Bridging!E70&lt;&gt;"",AND(Bridging!C70&lt;&gt;"",Bridging!E70&lt;&gt;"",Bridging!F70&lt;&gt;"",Bridging!I70&lt;&gt;"",Bridging!K70&lt;&gt;"")))</f>
        <v>1</v>
      </c>
      <c r="Q19" s="583" t="b">
        <f>AND(Bridging!B70&lt;&gt;"",Bridging!D70="Yes")</f>
        <v>0</v>
      </c>
      <c r="R19" s="583" t="b">
        <f>IF(NOT(Q19),TRUE,COUNTBLANK('Bridging Neg Gearing'!E37:F37)&lt;2)</f>
        <v>1</v>
      </c>
      <c r="S19" s="9"/>
      <c r="T19" s="568"/>
      <c r="U19" s="247" t="s">
        <v>205</v>
      </c>
      <c r="V19" s="581">
        <f>IF($Z15,Bridging!K33-$Z8-Bridging!K34/12,0)</f>
        <v>0</v>
      </c>
      <c r="W19" s="581">
        <f>IF($Z15,Bridging!L33-$AG8-Bridging!L34/12,0)</f>
        <v>0</v>
      </c>
      <c r="X19" s="564"/>
      <c r="Y19" s="564"/>
      <c r="Z19" s="564"/>
      <c r="AA19" s="564"/>
      <c r="AB19" s="543"/>
      <c r="AC19" s="543"/>
      <c r="AD19" s="543"/>
      <c r="AE19" s="543"/>
      <c r="AF19" s="543"/>
      <c r="AG19" s="543"/>
    </row>
    <row r="20" spans="1:33" s="564" customFormat="1" x14ac:dyDescent="0.2">
      <c r="A20" s="391" t="s">
        <v>171</v>
      </c>
      <c r="B20"/>
      <c r="C20" s="570">
        <f>MAX((C12-C19),0)</f>
        <v>0</v>
      </c>
      <c r="D20" s="390"/>
      <c r="E20" s="390"/>
      <c r="F20" s="571">
        <f>MAX((F12-F19),0)</f>
        <v>0</v>
      </c>
      <c r="G20" s="390"/>
      <c r="H20" s="563" t="s">
        <v>171</v>
      </c>
      <c r="I20"/>
      <c r="J20" s="570">
        <f>MAX((J12-J19),0)</f>
        <v>0</v>
      </c>
      <c r="K20" s="390"/>
      <c r="L20"/>
      <c r="M20" s="571">
        <f>MAX((M12-M19),0)</f>
        <v>0</v>
      </c>
      <c r="O20" s="586" t="b">
        <f>AND(O14:O19)</f>
        <v>1</v>
      </c>
      <c r="P20" s="586" t="b">
        <f>AND(P14:P19)</f>
        <v>1</v>
      </c>
      <c r="Q20" s="586" t="b">
        <f>OR(Q14:Q19)</f>
        <v>0</v>
      </c>
      <c r="R20" s="586" t="b">
        <f>AND(R14:R19)</f>
        <v>1</v>
      </c>
      <c r="S20" s="391"/>
      <c r="T20" s="543"/>
      <c r="U20" s="247" t="s">
        <v>324</v>
      </c>
      <c r="V20" s="581">
        <f>IF(V19&lt;=0,(1+V26)*V19,(1-W26)*V19)</f>
        <v>0</v>
      </c>
      <c r="W20" s="581">
        <f>IF(W19&lt;=0,(1+V26)*W19,(1-W26)*W19)</f>
        <v>0</v>
      </c>
      <c r="AB20" s="563"/>
      <c r="AC20" s="563"/>
      <c r="AD20" s="563"/>
      <c r="AE20" s="563"/>
      <c r="AF20" s="563"/>
      <c r="AG20" s="563"/>
    </row>
    <row r="21" spans="1:33" s="564" customFormat="1" x14ac:dyDescent="0.2">
      <c r="A21" s="390" t="s">
        <v>46</v>
      </c>
      <c r="B21"/>
      <c r="C21" s="550">
        <f>income_tax(C20)</f>
        <v>0</v>
      </c>
      <c r="D21" s="390"/>
      <c r="E21" s="390"/>
      <c r="F21" s="550">
        <f>income_tax(F20)</f>
        <v>0</v>
      </c>
      <c r="G21" s="390"/>
      <c r="H21" s="543" t="s">
        <v>46</v>
      </c>
      <c r="I21"/>
      <c r="J21" s="550">
        <f>income_tax(J20)</f>
        <v>0</v>
      </c>
      <c r="K21" s="390"/>
      <c r="L21"/>
      <c r="M21" s="550">
        <f>income_tax(M20)</f>
        <v>0</v>
      </c>
      <c r="T21" s="568"/>
      <c r="U21" s="584" t="s">
        <v>325</v>
      </c>
      <c r="V21" s="585">
        <f>IF(Z15,V20-Bridging!K57,0)</f>
        <v>0</v>
      </c>
      <c r="W21" s="585">
        <f>IF(Z15,W20-Bridging!L71,0)</f>
        <v>0</v>
      </c>
      <c r="X21" s="568"/>
      <c r="Y21" s="568"/>
      <c r="Z21" s="568"/>
      <c r="AA21" s="568"/>
    </row>
    <row r="22" spans="1:33" s="568" customFormat="1" x14ac:dyDescent="0.2">
      <c r="A22" s="390" t="s">
        <v>48</v>
      </c>
      <c r="B22"/>
      <c r="C22" s="550">
        <f>medicare_levy(C20)</f>
        <v>0</v>
      </c>
      <c r="D22" s="390"/>
      <c r="E22" s="390"/>
      <c r="F22" s="550">
        <f>medicare_levy(F20)</f>
        <v>0</v>
      </c>
      <c r="G22" s="390"/>
      <c r="H22" s="543" t="s">
        <v>48</v>
      </c>
      <c r="I22"/>
      <c r="J22" s="550">
        <f>medicare_levy(J20)</f>
        <v>0</v>
      </c>
      <c r="K22" s="390"/>
      <c r="L22" s="390"/>
      <c r="M22" s="550">
        <f>medicare_levy(M20)</f>
        <v>0</v>
      </c>
      <c r="O22" s="564"/>
      <c r="P22" s="564"/>
      <c r="Q22" s="564"/>
      <c r="R22" s="564"/>
      <c r="S22" s="564"/>
      <c r="T22" s="543"/>
      <c r="U22" s="543"/>
      <c r="V22" s="543"/>
      <c r="W22" s="543"/>
      <c r="X22" s="543"/>
      <c r="Y22" s="543"/>
      <c r="Z22" s="543"/>
      <c r="AA22" s="543"/>
      <c r="AB22" s="564"/>
      <c r="AC22" s="564"/>
      <c r="AD22" s="564"/>
      <c r="AE22" s="564"/>
      <c r="AF22" s="564"/>
      <c r="AG22" s="564"/>
    </row>
    <row r="23" spans="1:33" s="568" customFormat="1" x14ac:dyDescent="0.2">
      <c r="A23" s="390" t="s">
        <v>555</v>
      </c>
      <c r="B23"/>
      <c r="C23" s="550">
        <f>IF((LITO(C20,C21)+LMITO(C20,C21))&gt;C21,C21,LITO(C20,C21))</f>
        <v>0</v>
      </c>
      <c r="D23" s="390"/>
      <c r="E23" s="390"/>
      <c r="F23" s="550">
        <f>IF((LITO(F20,F21)+LMITO(F20,F21))&gt;F21,F21,LITO(F20,F21))</f>
        <v>0</v>
      </c>
      <c r="G23" s="390"/>
      <c r="H23" s="390" t="s">
        <v>555</v>
      </c>
      <c r="I23"/>
      <c r="J23" s="550">
        <f>IF((LITO(J20,J21)+LMITO(J20,J21))&gt;J21,J21,LITO(J20,J21))</f>
        <v>0</v>
      </c>
      <c r="K23"/>
      <c r="L23"/>
      <c r="M23" s="550">
        <f>IF((LITO(M20,M21)+LMITO(M20,M21))&gt;M21,M21,LITO(M20,M21))</f>
        <v>0</v>
      </c>
      <c r="O23" s="543"/>
      <c r="T23" s="543"/>
      <c r="U23" s="588" t="s">
        <v>327</v>
      </c>
      <c r="V23" s="589" t="str">
        <f>IF(V16&lt;=V17,"PASS","FAIL")</f>
        <v>PASS</v>
      </c>
      <c r="W23" s="589" t="str">
        <f>IF(W16&lt;=W17,"PASS","FAIL")</f>
        <v>PASS</v>
      </c>
      <c r="Y23" s="543"/>
      <c r="Z23" s="543"/>
      <c r="AA23" s="543"/>
      <c r="AB23" s="564"/>
      <c r="AC23" s="564"/>
      <c r="AD23" s="564"/>
      <c r="AE23" s="564"/>
      <c r="AF23" s="564"/>
      <c r="AG23" s="564"/>
    </row>
    <row r="24" spans="1:33" s="568" customFormat="1" x14ac:dyDescent="0.2">
      <c r="A24" s="390" t="s">
        <v>559</v>
      </c>
      <c r="B24"/>
      <c r="C24" s="550">
        <f>IF((LITO(C20,C21)+LMITO(C20,C21))&gt;C21,0,LMITO(C20,C21))</f>
        <v>0</v>
      </c>
      <c r="D24" s="390"/>
      <c r="E24" s="390"/>
      <c r="F24" s="550">
        <f>IF((LITO(F20,F21)+LMITO(F20,F21))&gt;F21,0,LMITO(F20,F21))</f>
        <v>0</v>
      </c>
      <c r="G24" s="390"/>
      <c r="H24" s="390" t="s">
        <v>559</v>
      </c>
      <c r="I24"/>
      <c r="J24" s="550">
        <f>IF((LITO(J20,J21)+LMITO(J20,J21))&gt;J21,0,LMITO(J20,J21))</f>
        <v>0</v>
      </c>
      <c r="K24"/>
      <c r="L24"/>
      <c r="M24" s="550">
        <f>IF((LITO(M20,M21)+LMITO(M20,M21))&gt;M21,0,LMITO(M20,M21))</f>
        <v>0</v>
      </c>
      <c r="T24" s="543"/>
      <c r="U24" s="584" t="s">
        <v>329</v>
      </c>
      <c r="V24" s="592" t="str">
        <f>IF(V20-Bridging!K57&gt;=0,"PASS",IF(V19-Bridging!K57&gt;0,"REFER","FAIL"))</f>
        <v>PASS</v>
      </c>
      <c r="W24" s="592" t="str">
        <f>IF(W20-Bridging!L71&gt;=0,"PASS",IF(W19-Bridging!L71&gt;0,"REFER","FAIL"))</f>
        <v>PASS</v>
      </c>
      <c r="X24" s="543"/>
      <c r="Y24" s="543"/>
      <c r="Z24" s="543"/>
      <c r="AA24" s="543"/>
      <c r="AB24" s="564"/>
      <c r="AC24" s="564"/>
      <c r="AD24" s="564"/>
      <c r="AE24" s="564"/>
      <c r="AF24" s="564"/>
      <c r="AG24" s="564"/>
    </row>
    <row r="25" spans="1:33" x14ac:dyDescent="0.2">
      <c r="A25" s="391" t="s">
        <v>326</v>
      </c>
      <c r="B25"/>
      <c r="C25" s="570">
        <f>C21+C22-C23-C24</f>
        <v>0</v>
      </c>
      <c r="D25" s="390"/>
      <c r="E25" s="390"/>
      <c r="F25" s="570">
        <f t="shared" ref="F25" si="3">F21+F22-F23-F24</f>
        <v>0</v>
      </c>
      <c r="G25" s="568"/>
      <c r="H25" s="563" t="s">
        <v>326</v>
      </c>
      <c r="I25"/>
      <c r="J25" s="570">
        <f>J21+J22-J23-J24</f>
        <v>0</v>
      </c>
      <c r="K25" s="390"/>
      <c r="L25" s="390"/>
      <c r="M25" s="570">
        <f t="shared" ref="M25" si="4">M21+M22-M23-M24</f>
        <v>0</v>
      </c>
      <c r="O25" s="568"/>
      <c r="P25" s="568"/>
      <c r="Q25" s="568"/>
      <c r="R25" s="568"/>
      <c r="S25" s="568"/>
      <c r="Y25" s="568"/>
      <c r="Z25" s="568"/>
      <c r="AA25" s="568"/>
      <c r="AB25" s="568"/>
      <c r="AC25" s="568"/>
      <c r="AD25" s="568"/>
      <c r="AE25" s="568"/>
      <c r="AF25" s="568"/>
      <c r="AG25" s="568"/>
    </row>
    <row r="26" spans="1:33" s="568" customFormat="1" x14ac:dyDescent="0.2">
      <c r="A26" s="390"/>
      <c r="B26"/>
      <c r="C26" s="587"/>
      <c r="D26" s="390"/>
      <c r="E26" s="390"/>
      <c r="F26" s="576"/>
      <c r="G26" s="543"/>
      <c r="H26" s="543"/>
      <c r="I26"/>
      <c r="J26" s="587"/>
      <c r="K26" s="390"/>
      <c r="L26"/>
      <c r="M26" s="577"/>
      <c r="T26" s="543"/>
      <c r="U26" s="584" t="s">
        <v>330</v>
      </c>
      <c r="V26" s="594">
        <f>VLOOKUP(V14,Data!$M$3:$O$5,3)</f>
        <v>0</v>
      </c>
      <c r="W26" s="594">
        <f>VLOOKUP(W14,Data!$M$3:$O$5,3)</f>
        <v>0</v>
      </c>
      <c r="X26" s="543"/>
      <c r="Y26" s="543"/>
      <c r="Z26" s="543"/>
      <c r="AA26" s="543"/>
      <c r="AB26" s="543"/>
      <c r="AC26" s="543"/>
      <c r="AD26" s="543"/>
      <c r="AE26" s="543"/>
      <c r="AF26" s="543"/>
      <c r="AG26" s="543"/>
    </row>
    <row r="27" spans="1:33" x14ac:dyDescent="0.2">
      <c r="A27" s="391" t="s">
        <v>328</v>
      </c>
      <c r="B27"/>
      <c r="C27" s="590">
        <f>C17-C25</f>
        <v>0</v>
      </c>
      <c r="D27" s="391"/>
      <c r="E27"/>
      <c r="F27" s="591">
        <f>F17-F25</f>
        <v>0</v>
      </c>
      <c r="G27" s="568"/>
      <c r="H27" s="563" t="s">
        <v>328</v>
      </c>
      <c r="I27"/>
      <c r="J27" s="590">
        <f>J17-J25</f>
        <v>0</v>
      </c>
      <c r="K27" s="391"/>
      <c r="L27"/>
      <c r="M27" s="591">
        <f>M17-M25</f>
        <v>0</v>
      </c>
      <c r="AB27" s="568"/>
      <c r="AC27" s="568"/>
      <c r="AD27" s="568"/>
      <c r="AE27" s="568"/>
      <c r="AF27" s="568"/>
      <c r="AG27" s="568"/>
    </row>
    <row r="28" spans="1:33" x14ac:dyDescent="0.2">
      <c r="A28" s="391"/>
      <c r="B28"/>
      <c r="C28" s="801"/>
      <c r="D28" s="391"/>
      <c r="E28" s="1"/>
      <c r="F28" s="802"/>
      <c r="G28" s="568"/>
      <c r="H28" s="563"/>
      <c r="I28" s="1"/>
      <c r="J28" s="801"/>
      <c r="K28" s="391"/>
      <c r="L28" s="1"/>
      <c r="M28" s="802"/>
      <c r="O28" s="697" t="s">
        <v>412</v>
      </c>
      <c r="P28" s="97"/>
      <c r="Q28" s="568"/>
      <c r="R28" s="568"/>
      <c r="S28" s="568"/>
      <c r="U28" s="649" t="s">
        <v>377</v>
      </c>
      <c r="V28" s="650">
        <f>C12+F12+Bridging!K30+Bridging!K31</f>
        <v>0</v>
      </c>
    </row>
    <row r="29" spans="1:33" x14ac:dyDescent="0.2">
      <c r="A29" s="697" t="s">
        <v>52</v>
      </c>
      <c r="B29" s="550">
        <f>Bridging!F30</f>
        <v>0</v>
      </c>
      <c r="C29" s="550">
        <f>B29*Data!G28</f>
        <v>0</v>
      </c>
      <c r="D29" s="391"/>
      <c r="E29" s="550">
        <f>Bridging!H30</f>
        <v>0</v>
      </c>
      <c r="F29" s="550">
        <f>E29*Data!G28</f>
        <v>0</v>
      </c>
      <c r="G29" s="568"/>
      <c r="H29" s="697" t="s">
        <v>52</v>
      </c>
      <c r="I29" s="550">
        <f>Bridging!G30</f>
        <v>0</v>
      </c>
      <c r="J29" s="550">
        <f>I29*Data!G28</f>
        <v>0</v>
      </c>
      <c r="K29" s="391"/>
      <c r="L29" s="550">
        <f>Bridging!I30</f>
        <v>0</v>
      </c>
      <c r="M29" s="550">
        <f>L29*Data!G28</f>
        <v>0</v>
      </c>
      <c r="O29" s="704" t="s">
        <v>158</v>
      </c>
      <c r="P29" s="704" t="s">
        <v>159</v>
      </c>
      <c r="U29" s="649" t="s">
        <v>378</v>
      </c>
      <c r="V29" s="650">
        <f>J12+M12+Bridging!L30+Bridging!L31</f>
        <v>0</v>
      </c>
    </row>
    <row r="30" spans="1:33" x14ac:dyDescent="0.2">
      <c r="A30" s="697" t="s">
        <v>54</v>
      </c>
      <c r="B30" s="550">
        <f>Bridging!F31</f>
        <v>0</v>
      </c>
      <c r="C30" s="550">
        <f>B30</f>
        <v>0</v>
      </c>
      <c r="D30" s="391"/>
      <c r="E30" s="550">
        <f>Bridging!H31</f>
        <v>0</v>
      </c>
      <c r="F30" s="550">
        <f>E30</f>
        <v>0</v>
      </c>
      <c r="G30" s="568"/>
      <c r="H30" s="697" t="s">
        <v>54</v>
      </c>
      <c r="I30" s="550">
        <f>Bridging!G31</f>
        <v>0</v>
      </c>
      <c r="J30" s="550">
        <f>I30</f>
        <v>0</v>
      </c>
      <c r="K30" s="391"/>
      <c r="L30" s="550">
        <f>Bridging!I31</f>
        <v>0</v>
      </c>
      <c r="M30" s="550">
        <f>L30</f>
        <v>0</v>
      </c>
      <c r="O30" s="699" t="b">
        <f>COUNTA('Bridging Rental Yield'!C7:I7,'Bridging Rental Yield'!D30,'Bridging Rental Yield'!F30:G30)=0</f>
        <v>1</v>
      </c>
      <c r="P30" s="699" t="b">
        <f>IF(O30,TRUE,COUNTA('Bridging Rental Yield'!F7:I7)=4)</f>
        <v>1</v>
      </c>
    </row>
    <row r="31" spans="1:33" x14ac:dyDescent="0.2">
      <c r="B31"/>
      <c r="E31" s="593"/>
      <c r="F31" s="593"/>
      <c r="O31" s="700" t="b">
        <f>COUNTA('Bridging Rental Yield'!C8:I8,'Bridging Rental Yield'!D31,'Bridging Rental Yield'!F31:G31)=0</f>
        <v>1</v>
      </c>
      <c r="P31" s="700" t="b">
        <f>IF(O31,TRUE,COUNTA('Bridging Rental Yield'!F8:I8)=4)</f>
        <v>1</v>
      </c>
    </row>
    <row r="32" spans="1:33" x14ac:dyDescent="0.2">
      <c r="O32" s="700" t="b">
        <f>COUNTA('Bridging Rental Yield'!C9:I9,'Bridging Rental Yield'!D32,'Bridging Rental Yield'!F32:G32)=0</f>
        <v>1</v>
      </c>
      <c r="P32" s="700" t="b">
        <f>IF(O32,TRUE,COUNTA('Bridging Rental Yield'!F9:I9)=4)</f>
        <v>1</v>
      </c>
    </row>
    <row r="33" spans="1:16" x14ac:dyDescent="0.2">
      <c r="O33" s="700" t="b">
        <f>COUNTA('Bridging Rental Yield'!C10:I10,'Bridging Rental Yield'!D33,'Bridging Rental Yield'!F33:G33)=0</f>
        <v>1</v>
      </c>
      <c r="P33" s="700" t="b">
        <f>IF(O33,TRUE,COUNTA('Bridging Rental Yield'!F10:I10)=4)</f>
        <v>1</v>
      </c>
    </row>
    <row r="34" spans="1:16" x14ac:dyDescent="0.2">
      <c r="A34" s="855" t="s">
        <v>506</v>
      </c>
      <c r="B34" s="856"/>
      <c r="O34" s="700" t="b">
        <f>COUNTA('Bridging Rental Yield'!C11:I11,'Bridging Rental Yield'!D34,'Bridging Rental Yield'!F34:G34)=0</f>
        <v>1</v>
      </c>
      <c r="P34" s="700" t="b">
        <f>IF(O34,TRUE,COUNTA('Bridging Rental Yield'!F11:I11)=4)</f>
        <v>1</v>
      </c>
    </row>
    <row r="35" spans="1:16" x14ac:dyDescent="0.2">
      <c r="A35" s="855" t="s">
        <v>502</v>
      </c>
      <c r="B35" s="857">
        <f t="array" ref="B35">SUM(IF((Bridging!E39:E45&lt;&gt;"With my funds")*(Bridging!B39:B45&lt;&gt;"HECS"),S3:S9))+Bridging!K50</f>
        <v>0</v>
      </c>
      <c r="O35" s="700" t="b">
        <f>COUNTA('Bridging Rental Yield'!C12:I12,'Bridging Rental Yield'!D35,'Bridging Rental Yield'!F35:G35)=0</f>
        <v>1</v>
      </c>
      <c r="P35" s="700" t="b">
        <f>IF(O35,TRUE,COUNTA('Bridging Rental Yield'!F12:I12)=4)</f>
        <v>1</v>
      </c>
    </row>
    <row r="36" spans="1:16" x14ac:dyDescent="0.2">
      <c r="A36" s="855" t="s">
        <v>503</v>
      </c>
      <c r="B36" s="857">
        <f>B12+E12-V13+V12+SUM(B29:B30)+SUM(E29:E30)</f>
        <v>0</v>
      </c>
      <c r="O36" s="700" t="b">
        <f>COUNTA('Bridging Rental Yield'!C13:I13,'Bridging Rental Yield'!D36,'Bridging Rental Yield'!F36:G36)=0</f>
        <v>1</v>
      </c>
      <c r="P36" s="700" t="b">
        <f>IF(O36,TRUE,COUNTA('Bridging Rental Yield'!F13:I13)=4)</f>
        <v>1</v>
      </c>
    </row>
    <row r="37" spans="1:16" x14ac:dyDescent="0.2">
      <c r="A37" s="855" t="s">
        <v>504</v>
      </c>
      <c r="B37" s="858">
        <f>IF(B36&gt;0,ROUND(B35/B36,2),0)</f>
        <v>0</v>
      </c>
      <c r="O37" s="700" t="b">
        <f>COUNTA('Bridging Rental Yield'!C14:I14,'Bridging Rental Yield'!D37,'Bridging Rental Yield'!F37:G37)=0</f>
        <v>1</v>
      </c>
      <c r="P37" s="701" t="b">
        <f>IF(O37,TRUE,COUNTA('Bridging Rental Yield'!F14:I14)=4)</f>
        <v>1</v>
      </c>
    </row>
    <row r="38" spans="1:16" x14ac:dyDescent="0.2">
      <c r="O38" s="700" t="b">
        <f>COUNTA('Bridging Rental Yield'!C15:I15,'Bridging Rental Yield'!D38,'Bridging Rental Yield'!F38:G38)=0</f>
        <v>1</v>
      </c>
      <c r="P38" s="701" t="b">
        <f>IF(O38,TRUE,COUNTA('Bridging Rental Yield'!F15:I15)=4)</f>
        <v>1</v>
      </c>
    </row>
    <row r="39" spans="1:16" x14ac:dyDescent="0.2">
      <c r="A39" s="855" t="s">
        <v>507</v>
      </c>
      <c r="B39" s="856"/>
      <c r="O39" s="700" t="b">
        <f>COUNTA('Bridging Rental Yield'!C16:I16,'Bridging Rental Yield'!D39,'Bridging Rental Yield'!F39:G39)=0</f>
        <v>1</v>
      </c>
      <c r="P39" s="701" t="b">
        <f>IF(O39,TRUE,COUNTA('Bridging Rental Yield'!F16:I16)=4)</f>
        <v>1</v>
      </c>
    </row>
    <row r="40" spans="1:16" x14ac:dyDescent="0.2">
      <c r="A40" s="855" t="s">
        <v>502</v>
      </c>
      <c r="B40" s="857">
        <f t="array" ref="B40">SUM(IF((Bridging!E39:E45="No")*(Bridging!B39:B45&lt;&gt;"HECS"),S3:S9))+SUM(Bridging!E65:E70)</f>
        <v>0</v>
      </c>
      <c r="O40" s="700" t="b">
        <f>COUNTA('Bridging Rental Yield'!C17:I17,'Bridging Rental Yield'!D40,'Bridging Rental Yield'!F40:G40)=0</f>
        <v>1</v>
      </c>
      <c r="P40" s="701" t="b">
        <f>IF(O40,TRUE,COUNTA('Bridging Rental Yield'!F17:I17)=4)</f>
        <v>1</v>
      </c>
    </row>
    <row r="41" spans="1:16" x14ac:dyDescent="0.2">
      <c r="A41" s="855" t="s">
        <v>503</v>
      </c>
      <c r="B41" s="857">
        <f>I12+L12-W13+W12+SUM(I29:I30)+SUM(L29:L30)</f>
        <v>0</v>
      </c>
      <c r="O41" s="700" t="b">
        <f>COUNTA('Bridging Rental Yield'!C18:I18,'Bridging Rental Yield'!D41,'Bridging Rental Yield'!F41:G41)=0</f>
        <v>1</v>
      </c>
      <c r="P41" s="701" t="b">
        <f>IF(O41,TRUE,COUNTA('Bridging Rental Yield'!F18:I18)=4)</f>
        <v>1</v>
      </c>
    </row>
    <row r="42" spans="1:16" x14ac:dyDescent="0.2">
      <c r="A42" s="855" t="s">
        <v>504</v>
      </c>
      <c r="B42" s="858">
        <f>IF(B41&gt;0,ROUND(B40/B41,2),0)</f>
        <v>0</v>
      </c>
      <c r="O42" s="700" t="b">
        <f>COUNTA('Bridging Rental Yield'!C19:I19,'Bridging Rental Yield'!D42,'Bridging Rental Yield'!F42:G42)=0</f>
        <v>1</v>
      </c>
      <c r="P42" s="701" t="b">
        <f>IF(O42,TRUE,COUNTA('Bridging Rental Yield'!F19:I19)=4)</f>
        <v>1</v>
      </c>
    </row>
    <row r="43" spans="1:16" x14ac:dyDescent="0.2">
      <c r="O43" s="700" t="b">
        <f>COUNTA('Bridging Rental Yield'!C20:I20,'Bridging Rental Yield'!D43,'Bridging Rental Yield'!F43:G43)=0</f>
        <v>1</v>
      </c>
      <c r="P43" s="701" t="b">
        <f>IF(O43,TRUE,COUNTA('Bridging Rental Yield'!F20:I20)=4)</f>
        <v>1</v>
      </c>
    </row>
    <row r="44" spans="1:16" x14ac:dyDescent="0.2">
      <c r="O44" s="700" t="b">
        <f>COUNTA('Bridging Rental Yield'!C21:I21,'Bridging Rental Yield'!D44,'Bridging Rental Yield'!F44:G44)=0</f>
        <v>1</v>
      </c>
      <c r="P44" s="701" t="b">
        <f>IF(O44,TRUE,COUNTA('Bridging Rental Yield'!F21:I21)=4)</f>
        <v>1</v>
      </c>
    </row>
    <row r="45" spans="1:16" x14ac:dyDescent="0.2">
      <c r="O45" s="700" t="b">
        <f>COUNTA('Bridging Rental Yield'!C22:I22,'Bridging Rental Yield'!D45,'Bridging Rental Yield'!F45:G45)=0</f>
        <v>1</v>
      </c>
      <c r="P45" s="701" t="b">
        <f>IF(O45,TRUE,COUNTA('Bridging Rental Yield'!F22:I22)=4)</f>
        <v>1</v>
      </c>
    </row>
    <row r="46" spans="1:16" x14ac:dyDescent="0.2">
      <c r="O46" s="700" t="b">
        <f>COUNTA('Bridging Rental Yield'!C23:I23,'Bridging Rental Yield'!D46,'Bridging Rental Yield'!F46:G46)=0</f>
        <v>1</v>
      </c>
      <c r="P46" s="701" t="b">
        <f>IF(O46,TRUE,COUNTA('Bridging Rental Yield'!F23:I23)=4)</f>
        <v>1</v>
      </c>
    </row>
    <row r="47" spans="1:16" x14ac:dyDescent="0.2">
      <c r="O47" s="700" t="b">
        <f>COUNTA('Bridging Rental Yield'!C24:I24,'Bridging Rental Yield'!D47,'Bridging Rental Yield'!F47:G47)=0</f>
        <v>1</v>
      </c>
      <c r="P47" s="701" t="b">
        <f>IF(O47,TRUE,COUNTA('Bridging Rental Yield'!F24:I24)=4)</f>
        <v>1</v>
      </c>
    </row>
    <row r="48" spans="1:16" x14ac:dyDescent="0.2">
      <c r="O48" s="700" t="b">
        <f>COUNTA('Bridging Rental Yield'!C25:I25,'Bridging Rental Yield'!D48,'Bridging Rental Yield'!F48:G48)=0</f>
        <v>1</v>
      </c>
      <c r="P48" s="701" t="b">
        <f>IF(O48,TRUE,COUNTA('Bridging Rental Yield'!F25:I25)=4)</f>
        <v>1</v>
      </c>
    </row>
    <row r="49" spans="15:24" x14ac:dyDescent="0.2">
      <c r="O49" s="702" t="b">
        <f>COUNTA('Bridging Rental Yield'!C26:I26,'Bridging Rental Yield'!D49,'Bridging Rental Yield'!F49:G49)=0</f>
        <v>1</v>
      </c>
      <c r="P49" s="703" t="b">
        <f>IF(O49,TRUE,COUNTA('Bridging Rental Yield'!F26:I26)=4)</f>
        <v>1</v>
      </c>
    </row>
    <row r="50" spans="15:24" x14ac:dyDescent="0.2">
      <c r="O50" s="698" t="b">
        <f>AND(O30:O49)</f>
        <v>1</v>
      </c>
      <c r="P50" s="698" t="b">
        <f>AND(P30:P49)</f>
        <v>1</v>
      </c>
    </row>
    <row r="52" spans="15:24" x14ac:dyDescent="0.2">
      <c r="X52" s="568"/>
    </row>
  </sheetData>
  <sheetProtection algorithmName="SHA-512" hashValue="PRZlUc5kMm8yAGDzjsbpXI0hieC/wfJSITPtTjEeoZSrtcZ/Z74DdA1vL9OlNY5zZwl8Q9wXmP/roQc4yFfINw==" saltValue="7PqCB11E7IMERA5QJZjJ9g==" spinCount="100000" sheet="1" objects="1" scenarios="1"/>
  <mergeCells count="2">
    <mergeCell ref="A1:F1"/>
    <mergeCell ref="H1:M1"/>
  </mergeCells>
  <pageMargins left="0.7" right="0.7" top="0.75" bottom="0.75" header="0.3" footer="0.3"/>
  <pageSetup paperSize="9" orientation="portrait" r:id="rId1"/>
  <headerFooter>
    <oddFooter>&amp;L&amp;1#&amp;"Arial"&amp;9&amp;K000000</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G38"/>
  <sheetViews>
    <sheetView showGridLines="0" showRowColHeaders="0" topLeftCell="A29" zoomScaleNormal="100" workbookViewId="0">
      <selection activeCell="E22" sqref="E22"/>
    </sheetView>
  </sheetViews>
  <sheetFormatPr defaultRowHeight="12.75" x14ac:dyDescent="0.2"/>
  <cols>
    <col min="1" max="1" width="1.7109375" customWidth="1"/>
    <col min="2" max="2" width="24.42578125" customWidth="1"/>
    <col min="3" max="6" width="14.7109375" customWidth="1"/>
    <col min="7" max="7" width="1.7109375" customWidth="1"/>
  </cols>
  <sheetData>
    <row r="1" spans="1:7" ht="13.5" thickBot="1" x14ac:dyDescent="0.25">
      <c r="A1" s="705"/>
      <c r="B1" s="706"/>
      <c r="C1" s="706"/>
      <c r="D1" s="706"/>
      <c r="E1" s="706"/>
      <c r="F1" s="706"/>
      <c r="G1" s="707"/>
    </row>
    <row r="2" spans="1:7" ht="24.75" customHeight="1" thickBot="1" x14ac:dyDescent="0.25">
      <c r="A2" s="258"/>
      <c r="B2" s="811" t="s">
        <v>437</v>
      </c>
      <c r="C2" s="24"/>
      <c r="D2" s="812"/>
      <c r="E2" s="772"/>
      <c r="F2" s="263"/>
      <c r="G2" s="264"/>
    </row>
    <row r="3" spans="1:7" x14ac:dyDescent="0.2">
      <c r="A3" s="265"/>
      <c r="B3" s="266"/>
      <c r="C3" s="266"/>
      <c r="D3" s="266"/>
      <c r="E3" s="266"/>
      <c r="F3" s="266"/>
      <c r="G3" s="267"/>
    </row>
    <row r="4" spans="1:7" x14ac:dyDescent="0.2">
      <c r="A4" s="265"/>
      <c r="B4" s="266"/>
      <c r="C4" s="266"/>
      <c r="D4" s="266"/>
      <c r="E4" s="266"/>
      <c r="F4" s="266"/>
      <c r="G4" s="267"/>
    </row>
    <row r="5" spans="1:7" ht="13.5" thickBot="1" x14ac:dyDescent="0.25">
      <c r="A5" s="265"/>
      <c r="B5" s="266"/>
      <c r="C5" s="266"/>
      <c r="D5" s="266"/>
      <c r="E5" s="266"/>
      <c r="F5" s="266"/>
      <c r="G5" s="267"/>
    </row>
    <row r="6" spans="1:7" ht="24.75" customHeight="1" thickBot="1" x14ac:dyDescent="0.25">
      <c r="A6" s="265"/>
      <c r="B6" s="24"/>
      <c r="C6" s="24" t="s">
        <v>85</v>
      </c>
      <c r="D6" s="24" t="s">
        <v>86</v>
      </c>
      <c r="E6" s="24" t="s">
        <v>87</v>
      </c>
      <c r="F6" s="24" t="s">
        <v>88</v>
      </c>
      <c r="G6" s="267"/>
    </row>
    <row r="7" spans="1:7" x14ac:dyDescent="0.2">
      <c r="A7" s="265"/>
      <c r="B7" s="266"/>
      <c r="C7" s="266"/>
      <c r="D7" s="266"/>
      <c r="E7" s="266"/>
      <c r="F7" s="266"/>
      <c r="G7" s="267"/>
    </row>
    <row r="8" spans="1:7" x14ac:dyDescent="0.2">
      <c r="A8" s="265"/>
      <c r="B8" s="673" t="s">
        <v>438</v>
      </c>
      <c r="C8" s="785"/>
      <c r="D8" s="785"/>
      <c r="E8" s="785"/>
      <c r="F8" s="785"/>
      <c r="G8" s="267"/>
    </row>
    <row r="9" spans="1:7" x14ac:dyDescent="0.2">
      <c r="A9" s="265"/>
      <c r="B9" s="673" t="s">
        <v>439</v>
      </c>
      <c r="C9" s="785"/>
      <c r="D9" s="774"/>
      <c r="E9" s="774"/>
      <c r="F9" s="774"/>
      <c r="G9" s="267"/>
    </row>
    <row r="10" spans="1:7" x14ac:dyDescent="0.2">
      <c r="A10" s="265"/>
      <c r="B10" s="673" t="s">
        <v>440</v>
      </c>
      <c r="C10" s="774"/>
      <c r="D10" s="773"/>
      <c r="E10" s="774"/>
      <c r="F10" s="773"/>
      <c r="G10" s="267"/>
    </row>
    <row r="11" spans="1:7" hidden="1" x14ac:dyDescent="0.2">
      <c r="A11" s="265"/>
      <c r="B11" s="673" t="s">
        <v>441</v>
      </c>
      <c r="C11" s="786"/>
      <c r="D11" s="786"/>
      <c r="E11" s="774"/>
      <c r="F11" s="774"/>
      <c r="G11" s="267"/>
    </row>
    <row r="12" spans="1:7" hidden="1" x14ac:dyDescent="0.2">
      <c r="A12" s="265"/>
      <c r="B12" s="673" t="s">
        <v>442</v>
      </c>
      <c r="C12" s="786"/>
      <c r="D12" s="793"/>
      <c r="E12" s="774"/>
      <c r="F12" s="775"/>
      <c r="G12" s="267"/>
    </row>
    <row r="13" spans="1:7" x14ac:dyDescent="0.2">
      <c r="A13" s="265"/>
      <c r="B13" s="269"/>
      <c r="C13" s="266"/>
      <c r="D13" s="776"/>
      <c r="E13" s="266"/>
      <c r="F13" s="776"/>
      <c r="G13" s="267"/>
    </row>
    <row r="14" spans="1:7" x14ac:dyDescent="0.2">
      <c r="A14" s="265"/>
      <c r="B14" s="269" t="s">
        <v>443</v>
      </c>
      <c r="C14" s="266"/>
      <c r="D14" s="777"/>
      <c r="E14" s="266"/>
      <c r="F14" s="777"/>
      <c r="G14" s="267"/>
    </row>
    <row r="15" spans="1:7" x14ac:dyDescent="0.2">
      <c r="A15" s="265"/>
      <c r="B15" s="673" t="s">
        <v>444</v>
      </c>
      <c r="C15" s="660"/>
      <c r="D15" s="660"/>
      <c r="E15" s="660"/>
      <c r="F15" s="660"/>
      <c r="G15" s="267"/>
    </row>
    <row r="16" spans="1:7" x14ac:dyDescent="0.2">
      <c r="A16" s="265"/>
      <c r="B16" s="269"/>
      <c r="C16" s="266"/>
      <c r="D16" s="778"/>
      <c r="E16" s="266"/>
      <c r="F16" s="778"/>
      <c r="G16" s="267"/>
    </row>
    <row r="17" spans="1:7" x14ac:dyDescent="0.2">
      <c r="A17" s="265"/>
      <c r="B17" s="391" t="s">
        <v>445</v>
      </c>
      <c r="C17" s="266"/>
      <c r="D17" s="266"/>
      <c r="E17" s="266"/>
      <c r="F17" s="266"/>
      <c r="G17" s="267"/>
    </row>
    <row r="18" spans="1:7" x14ac:dyDescent="0.2">
      <c r="A18" s="265"/>
      <c r="B18" s="390" t="s">
        <v>446</v>
      </c>
      <c r="C18" s="660"/>
      <c r="D18" s="660"/>
      <c r="E18" s="660"/>
      <c r="F18" s="660"/>
      <c r="G18" s="267"/>
    </row>
    <row r="19" spans="1:7" x14ac:dyDescent="0.2">
      <c r="A19" s="265"/>
      <c r="B19" s="390" t="s">
        <v>447</v>
      </c>
      <c r="C19" s="660"/>
      <c r="D19" s="660"/>
      <c r="E19" s="660"/>
      <c r="F19" s="660"/>
      <c r="G19" s="267"/>
    </row>
    <row r="20" spans="1:7" x14ac:dyDescent="0.2">
      <c r="A20" s="265"/>
      <c r="B20" s="390" t="s">
        <v>448</v>
      </c>
      <c r="C20" s="660"/>
      <c r="D20" s="660"/>
      <c r="E20" s="660"/>
      <c r="F20" s="660"/>
      <c r="G20" s="267"/>
    </row>
    <row r="21" spans="1:7" x14ac:dyDescent="0.2">
      <c r="A21" s="265"/>
      <c r="B21" s="390" t="s">
        <v>449</v>
      </c>
      <c r="C21" s="660"/>
      <c r="D21" s="660"/>
      <c r="E21" s="660"/>
      <c r="F21" s="660"/>
      <c r="G21" s="267"/>
    </row>
    <row r="22" spans="1:7" x14ac:dyDescent="0.2">
      <c r="A22" s="265"/>
      <c r="B22" s="390" t="s">
        <v>450</v>
      </c>
      <c r="C22" s="660"/>
      <c r="D22" s="787"/>
      <c r="E22" s="660"/>
      <c r="F22" s="660"/>
      <c r="G22" s="267"/>
    </row>
    <row r="23" spans="1:7" x14ac:dyDescent="0.2">
      <c r="A23" s="265"/>
      <c r="B23" s="266"/>
      <c r="C23" s="794" t="b">
        <v>1</v>
      </c>
      <c r="D23" s="794" t="b">
        <f>T47=FALSE</f>
        <v>1</v>
      </c>
      <c r="E23" s="794" t="b">
        <f>U47=FALSE</f>
        <v>1</v>
      </c>
      <c r="F23" s="794" t="b">
        <f>V47=FALSE</f>
        <v>1</v>
      </c>
      <c r="G23" s="267"/>
    </row>
    <row r="24" spans="1:7" x14ac:dyDescent="0.2">
      <c r="A24" s="265"/>
      <c r="B24" s="779" t="s">
        <v>451</v>
      </c>
      <c r="C24" s="792">
        <f>SUM(C15,C18:C22)</f>
        <v>0</v>
      </c>
      <c r="D24" s="792">
        <f t="shared" ref="D24:F24" si="0">SUM(D15,D18:D22)</f>
        <v>0</v>
      </c>
      <c r="E24" s="792">
        <f t="shared" si="0"/>
        <v>0</v>
      </c>
      <c r="F24" s="792">
        <f t="shared" si="0"/>
        <v>0</v>
      </c>
      <c r="G24" s="267"/>
    </row>
    <row r="25" spans="1:7" x14ac:dyDescent="0.2">
      <c r="A25" s="265"/>
      <c r="B25" s="673" t="s">
        <v>452</v>
      </c>
      <c r="C25" s="792">
        <f>IF(Calculations!S49=FALSE,0,C24*VLOOKUP(C10,Data!$M$30:$N$35,2,0))</f>
        <v>0</v>
      </c>
      <c r="D25" s="792">
        <f>IF(Calculations!T49=FALSE,0,D24*VLOOKUP(D10,Data!$M$30:$N$35,2,0))</f>
        <v>0</v>
      </c>
      <c r="E25" s="792">
        <f>IF(Calculations!U49=FALSE,0,E24*VLOOKUP(E10,Data!$M$30:$N$35,2,0))</f>
        <v>0</v>
      </c>
      <c r="F25" s="792">
        <f>IF(Calculations!V49=FALSE,0,F24*VLOOKUP(F10,Data!$M$30:$N$35,2,0))</f>
        <v>0</v>
      </c>
      <c r="G25" s="267"/>
    </row>
    <row r="26" spans="1:7" x14ac:dyDescent="0.2">
      <c r="A26" s="265"/>
      <c r="B26" s="673" t="s">
        <v>453</v>
      </c>
      <c r="C26" s="780">
        <f>IF(C25&lt;=Data!$J$40,C25,IF(C25&lt;=Data!$J$41,(C25-Data!$I$40*Data!$K$40)/(1-Data!$K$40),IF(C25&lt;=Data!$J$42,(C25-Data!$I$40*Data!$K$41-Data!$I$41*Data!$M$41)/(1-Data!$K$41-Data!$M$41),IF(C25&lt;=Data!$J$43,(C25-Data!$I$40*Data!$K$42+Data!$L$42)/(1-Data!$K$42-Data!$M$42),IF(C25&lt;=Data!$J$44,(C25-Data!$I$43*Data!$K$43+Data!$L$43)/(1-Data!$K$43-Data!$M$43),IF(C25&lt;=Data!$J$45,(C25-Data!$I$44*Data!$K$44+Data!$L$44)/(1-Data!$K$44-Data!$M$44),(C25-Data!$I$45*Data!$K$45+Data!$L$45)/(1-Data!$K$45-Data!$M$45)))))))</f>
        <v>0</v>
      </c>
      <c r="D26" s="780">
        <f>IF(D25&lt;=Data!$J$40,D25,IF(D25&lt;=Data!$J$41,(D25-Data!$I$40*Data!$K$40)/(1-Data!$K$40),IF(D25&lt;=Data!$J$42,(D25-Data!$I$40*Data!$K$41-Data!$I$41*Data!$M$41)/(1-Data!$K$41-Data!$M$41),IF(D25&lt;=Data!$J$43,(D25-Data!$I$40*Data!$K$42+Data!$L$42)/(1-Data!$K$42-Data!$M$42),IF(D25&lt;=Data!$J$44,(D25-Data!$I$43*Data!$K$43+Data!$L$43)/(1-Data!$K$43-Data!$M$43),IF(D25&lt;=Data!$J$45,(D25-Data!$I$44*Data!$K$44+Data!$L$44)/(1-Data!$K$44-Data!$M$44),(D25-Data!$I$45*Data!$K$45+Data!$L$45)/(1-Data!$K$45-Data!$M$45)))))))</f>
        <v>0</v>
      </c>
      <c r="E26" s="780">
        <f>IF(E25&lt;=Data!$J$40,E25,IF(E25&lt;=Data!$J$41,(E25-Data!$I$40*Data!$K$40)/(1-Data!$K$40),IF(E25&lt;=Data!$J$42,(E25-Data!$I$40*Data!$K$41-Data!$I$41*Data!$M$41)/(1-Data!$K$41-Data!$M$41),IF(E25&lt;=Data!$J$43,(E25-Data!$I$40*Data!$K$42+Data!$L$42)/(1-Data!$K$42-Data!$M$42),IF(E25&lt;=Data!$J$44,(E25-Data!$I$43*Data!$K$43+Data!$L$43)/(1-Data!$K$43-Data!$M$43),IF(E25&lt;=Data!$J$45,(E25-Data!$I$44*Data!$K$44+Data!$L$44)/(1-Data!$K$44-Data!$M$44),(E25-Data!$I$45*Data!$K$45+Data!$L$45)/(1-Data!$K$45-Data!$M$45)))))))</f>
        <v>0</v>
      </c>
      <c r="F26" s="780">
        <f>IF(F25&lt;=Data!$J$40,F25,IF(F25&lt;=Data!$J$41,(F25-Data!$I$40*Data!$K$40)/(1-Data!$K$40),IF(F25&lt;=Data!$J$42,(F25-Data!$I$40*Data!$K$41-Data!$I$41*Data!$M$41)/(1-Data!$K$41-Data!$M$41),IF(F25&lt;=Data!$J$43,(F25-Data!$I$40*Data!$K$42+Data!$L$42)/(1-Data!$K$42-Data!$M$42),IF(F25&lt;=Data!$J$44,(F25-Data!$I$43*Data!$K$43+Data!$L$43)/(1-Data!$K$43-Data!$M$43),IF(F25&lt;=Data!$J$45,(F25-Data!$I$44*Data!$K$44+Data!$L$44)/(1-Data!$K$44-Data!$M$44),(F25-Data!$I$45*Data!$K$45+Data!$L$45)/(1-Data!$K$45-Data!$M$45)))))))</f>
        <v>0</v>
      </c>
      <c r="G26" s="267"/>
    </row>
    <row r="27" spans="1:7" x14ac:dyDescent="0.2">
      <c r="A27" s="265"/>
      <c r="B27" s="266"/>
      <c r="C27" s="781"/>
      <c r="D27" s="781"/>
      <c r="E27" s="781"/>
      <c r="F27" s="781"/>
      <c r="G27" s="267"/>
    </row>
    <row r="28" spans="1:7" x14ac:dyDescent="0.2">
      <c r="A28" s="265"/>
      <c r="B28" s="266"/>
      <c r="C28" s="300"/>
      <c r="D28" s="300"/>
      <c r="E28" s="300"/>
      <c r="F28" s="300"/>
      <c r="G28" s="267"/>
    </row>
    <row r="29" spans="1:7" x14ac:dyDescent="0.2">
      <c r="A29" s="265"/>
      <c r="B29" s="269" t="s">
        <v>454</v>
      </c>
      <c r="C29" s="300"/>
      <c r="D29" s="300"/>
      <c r="E29" s="300"/>
      <c r="F29" s="300"/>
      <c r="G29" s="267"/>
    </row>
    <row r="30" spans="1:7" ht="100.5" customHeight="1" x14ac:dyDescent="0.2">
      <c r="A30" s="265"/>
      <c r="B30" s="1053"/>
      <c r="C30" s="1054"/>
      <c r="D30" s="1054"/>
      <c r="E30" s="1054"/>
      <c r="F30" s="1055"/>
      <c r="G30" s="267"/>
    </row>
    <row r="31" spans="1:7" x14ac:dyDescent="0.2">
      <c r="A31" s="265"/>
      <c r="B31" s="782"/>
      <c r="C31" s="783"/>
      <c r="D31" s="783"/>
      <c r="E31" s="783"/>
      <c r="F31" s="783"/>
      <c r="G31" s="267"/>
    </row>
    <row r="32" spans="1:7" x14ac:dyDescent="0.2">
      <c r="A32" s="265"/>
      <c r="B32" s="782" t="s">
        <v>455</v>
      </c>
      <c r="C32" s="783"/>
      <c r="D32" s="783"/>
      <c r="E32" s="783"/>
      <c r="F32" s="783"/>
      <c r="G32" s="267"/>
    </row>
    <row r="33" spans="1:7" ht="141.94999999999999" customHeight="1" x14ac:dyDescent="0.2">
      <c r="A33" s="265"/>
      <c r="B33" s="1056" t="s">
        <v>562</v>
      </c>
      <c r="C33" s="1056"/>
      <c r="D33" s="1056"/>
      <c r="E33" s="1056"/>
      <c r="F33" s="1056"/>
      <c r="G33" s="267"/>
    </row>
    <row r="34" spans="1:7" ht="12.75" customHeight="1" x14ac:dyDescent="0.2">
      <c r="A34" s="265"/>
      <c r="B34" s="782"/>
      <c r="C34" s="783"/>
      <c r="D34" s="783"/>
      <c r="E34" s="783"/>
      <c r="F34" s="783"/>
      <c r="G34" s="267"/>
    </row>
    <row r="35" spans="1:7" x14ac:dyDescent="0.2">
      <c r="A35" s="265"/>
      <c r="B35" s="266"/>
      <c r="C35" s="300"/>
      <c r="D35" s="300"/>
      <c r="E35" s="300"/>
      <c r="F35" s="300"/>
      <c r="G35" s="267"/>
    </row>
    <row r="36" spans="1:7" x14ac:dyDescent="0.2">
      <c r="A36" s="265"/>
      <c r="B36" s="266"/>
      <c r="C36" s="300"/>
      <c r="D36" s="300"/>
      <c r="E36" s="300"/>
      <c r="F36" s="300"/>
      <c r="G36" s="267"/>
    </row>
    <row r="37" spans="1:7" x14ac:dyDescent="0.2">
      <c r="A37" s="265"/>
      <c r="B37" s="1057" t="s">
        <v>106</v>
      </c>
      <c r="C37" s="1058"/>
      <c r="D37" s="1058"/>
      <c r="E37" s="1058"/>
      <c r="F37" s="1058"/>
      <c r="G37" s="267"/>
    </row>
    <row r="38" spans="1:7" x14ac:dyDescent="0.2">
      <c r="A38" s="274"/>
      <c r="B38" s="275"/>
      <c r="C38" s="275"/>
      <c r="D38" s="275"/>
      <c r="E38" s="275"/>
      <c r="F38" s="275"/>
      <c r="G38" s="276"/>
    </row>
  </sheetData>
  <sheetProtection algorithmName="SHA-512" hashValue="f7QWIC29gJ15ojrMew1jGMOfM/7LzOXge3womhW9/PDOiFE2Zq4S0C8B3KUnqH9VWUvyk69sujXNI7C/wjpVNw==" saltValue="Mc7DmSr9tIetO2ULrmpmIA==" spinCount="100000" sheet="1" objects="1" scenarios="1"/>
  <mergeCells count="3">
    <mergeCell ref="B30:F30"/>
    <mergeCell ref="B33:F33"/>
    <mergeCell ref="B37:F37"/>
  </mergeCells>
  <conditionalFormatting sqref="C15:F15">
    <cfRule type="expression" dxfId="3" priority="4">
      <formula>AND(C15="",C23)</formula>
    </cfRule>
  </conditionalFormatting>
  <conditionalFormatting sqref="C10:F10">
    <cfRule type="expression" dxfId="2" priority="3">
      <formula>AND(C10="",C$23)</formula>
    </cfRule>
  </conditionalFormatting>
  <conditionalFormatting sqref="C11:F11">
    <cfRule type="expression" dxfId="1" priority="2">
      <formula>AND(C11="",C$23)</formula>
    </cfRule>
  </conditionalFormatting>
  <conditionalFormatting sqref="C12:F12">
    <cfRule type="expression" dxfId="0" priority="1">
      <formula>AND(C12="",C$23)</formula>
    </cfRule>
  </conditionalFormatting>
  <dataValidations count="8">
    <dataValidation allowBlank="1" showInputMessage="1" showErrorMessage="1" prompt="Enter the Name of Customer" sqref="C8:F8"/>
    <dataValidation allowBlank="1" showInputMessage="1" showErrorMessage="1" prompt="Enter the Bank Account Credited" sqref="C9:F9"/>
    <dataValidation type="decimal" operator="greaterThanOrEqual" allowBlank="1" showInputMessage="1" showErrorMessage="1" prompt="Enter the Income from Statement" sqref="C15:F15">
      <formula1>0</formula1>
    </dataValidation>
    <dataValidation type="date" allowBlank="1" showInputMessage="1" showErrorMessage="1" prompt="Enter the Period Start Date" sqref="C11:F11">
      <formula1>C11</formula1>
      <formula2>C12</formula2>
    </dataValidation>
    <dataValidation type="date" allowBlank="1" showInputMessage="1" showErrorMessage="1" prompt="Enter the Period End_x000a_ Date" sqref="C12:F12">
      <formula1>C12</formula1>
      <formula2>C13</formula2>
    </dataValidation>
    <dataValidation allowBlank="1" showInputMessage="1" showErrorMessage="1" prompt="To insert a new line, type Alt + Enter." sqref="B30:B34 C30:F32 C34:F34"/>
    <dataValidation type="whole" allowBlank="1" showInputMessage="1" showErrorMessage="1" error="You must enter a whole number between 0 and 10,000,000" prompt="Enter any monthly fees" sqref="D14 F14">
      <formula1>0</formula1>
      <formula2>10000000</formula2>
    </dataValidation>
    <dataValidation type="list" allowBlank="1" showInputMessage="1" showErrorMessage="1" prompt="Enter the interest only period" sqref="F13 D13">
      <formula1>"0,1,2,3,4,5,6,7,8,9,10"</formula1>
    </dataValidation>
  </dataValidations>
  <pageMargins left="0.7" right="0.7" top="0.75" bottom="0.75" header="0.3" footer="0.3"/>
  <pageSetup orientation="portrait" r:id="rId1"/>
  <headerFooter>
    <oddFooter>&amp;L&amp;1#&amp;"Arial"&amp;9&amp;K000000</oddFooter>
  </headerFooter>
  <drawing r:id="rId2"/>
  <legacyDrawing r:id="rId3"/>
  <oleObjects>
    <mc:AlternateContent xmlns:mc="http://schemas.openxmlformats.org/markup-compatibility/2006">
      <mc:Choice Requires="x14">
        <oleObject progId="MSPhotoEd.3" shapeId="32771" r:id="rId4">
          <objectPr defaultSize="0" autoPict="0" r:id="rId5">
            <anchor moveWithCells="1">
              <from>
                <xdr:col>4</xdr:col>
                <xdr:colOff>76200</xdr:colOff>
                <xdr:row>1</xdr:row>
                <xdr:rowOff>9525</xdr:rowOff>
              </from>
              <to>
                <xdr:col>5</xdr:col>
                <xdr:colOff>971550</xdr:colOff>
                <xdr:row>2</xdr:row>
                <xdr:rowOff>66675</xdr:rowOff>
              </to>
            </anchor>
          </objectPr>
        </oleObject>
      </mc:Choice>
      <mc:Fallback>
        <oleObject progId="MSPhotoEd.3" shapeId="32771" r:id="rId4"/>
      </mc:Fallback>
    </mc:AlternateContent>
  </oleObjects>
  <mc:AlternateContent xmlns:mc="http://schemas.openxmlformats.org/markup-compatibility/2006">
    <mc:Choice Requires="x14">
      <controls>
        <mc:AlternateContent xmlns:mc="http://schemas.openxmlformats.org/markup-compatibility/2006">
          <mc:Choice Requires="x14">
            <control shapeId="32769" r:id="rId6" name="Button 1">
              <controlPr defaultSize="0" print="0" autoFill="0" autoPict="0" macro="[0]!cmdMenu">
                <anchor moveWithCells="1" sizeWithCells="1">
                  <from>
                    <xdr:col>1</xdr:col>
                    <xdr:colOff>1123950</xdr:colOff>
                    <xdr:row>34</xdr:row>
                    <xdr:rowOff>9525</xdr:rowOff>
                  </from>
                  <to>
                    <xdr:col>2</xdr:col>
                    <xdr:colOff>600075</xdr:colOff>
                    <xdr:row>35</xdr:row>
                    <xdr:rowOff>104775</xdr:rowOff>
                  </to>
                </anchor>
              </controlPr>
            </control>
          </mc:Choice>
        </mc:AlternateContent>
        <mc:AlternateContent xmlns:mc="http://schemas.openxmlformats.org/markup-compatibility/2006">
          <mc:Choice Requires="x14">
            <control shapeId="32770" r:id="rId7" name="Button 2">
              <controlPr defaultSize="0" print="0" autoFill="0" autoPict="0" macro="[0]!cmdClearNettoGross">
                <anchor moveWithCells="1" sizeWithCells="1">
                  <from>
                    <xdr:col>1</xdr:col>
                    <xdr:colOff>123825</xdr:colOff>
                    <xdr:row>34</xdr:row>
                    <xdr:rowOff>9525</xdr:rowOff>
                  </from>
                  <to>
                    <xdr:col>1</xdr:col>
                    <xdr:colOff>1000125</xdr:colOff>
                    <xdr:row>35</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Select the Income Period">
          <x14:formula1>
            <xm:f>Data!$M$30:$M$35</xm:f>
          </x14:formula1>
          <xm:sqref>C10:F10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17</vt:i4>
      </vt:variant>
    </vt:vector>
  </HeadingPairs>
  <TitlesOfParts>
    <vt:vector size="33" baseType="lpstr">
      <vt:lpstr>Menu</vt:lpstr>
      <vt:lpstr>User Guide</vt:lpstr>
      <vt:lpstr>Model</vt:lpstr>
      <vt:lpstr>Self Employed</vt:lpstr>
      <vt:lpstr>Neg Gearing</vt:lpstr>
      <vt:lpstr>Rental Yield</vt:lpstr>
      <vt:lpstr>Bridging</vt:lpstr>
      <vt:lpstr>Bridging Self Employed</vt:lpstr>
      <vt:lpstr>Bridging Neg Gearing</vt:lpstr>
      <vt:lpstr>Bridging Rental Yield</vt:lpstr>
      <vt:lpstr>Basic Loan</vt:lpstr>
      <vt:lpstr>YTD Income</vt:lpstr>
      <vt:lpstr>Data</vt:lpstr>
      <vt:lpstr>Calculations</vt:lpstr>
      <vt:lpstr>Bridging Calculations</vt:lpstr>
      <vt:lpstr>Net To Gross</vt:lpstr>
      <vt:lpstr>Base_products</vt:lpstr>
      <vt:lpstr>Boolean</vt:lpstr>
      <vt:lpstr>Frequencies</vt:lpstr>
      <vt:lpstr>Limits</vt:lpstr>
      <vt:lpstr>Loan_type</vt:lpstr>
      <vt:lpstr>'Basic Loan'!Print_Area</vt:lpstr>
      <vt:lpstr>Bridging!Print_Area</vt:lpstr>
      <vt:lpstr>'Bridging Neg Gearing'!Print_Area</vt:lpstr>
      <vt:lpstr>'Bridging Self Employed'!Print_Area</vt:lpstr>
      <vt:lpstr>Model!Print_Area</vt:lpstr>
      <vt:lpstr>'Neg Gearing'!Print_Area</vt:lpstr>
      <vt:lpstr>'Self Employed'!Print_Area</vt:lpstr>
      <vt:lpstr>'User Guide'!Print_Area</vt:lpstr>
      <vt:lpstr>Products</vt:lpstr>
      <vt:lpstr>Proposed</vt:lpstr>
      <vt:lpstr>Residual</vt:lpstr>
      <vt:lpstr>Table</vt:lpstr>
    </vt:vector>
  </TitlesOfParts>
  <Company>EDS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Bensley</dc:creator>
  <cp:lastModifiedBy>Manavalan, Priya</cp:lastModifiedBy>
  <cp:lastPrinted>2020-07-14T06:48:36Z</cp:lastPrinted>
  <dcterms:created xsi:type="dcterms:W3CDTF">2003-08-26T01:36:55Z</dcterms:created>
  <dcterms:modified xsi:type="dcterms:W3CDTF">2021-02-09T14:56:25Z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a41e45d-23b2-4b9b-8824-4250be488857_Enabled">
    <vt:lpwstr>True</vt:lpwstr>
  </property>
  <property fmtid="{D5CDD505-2E9C-101B-9397-08002B2CF9AE}" pid="3" name="MSIP_Label_7a41e45d-23b2-4b9b-8824-4250be488857_SiteId">
    <vt:lpwstr>dddffba0-6c17-4f34-9748-3fa5e08cc366</vt:lpwstr>
  </property>
  <property fmtid="{D5CDD505-2E9C-101B-9397-08002B2CF9AE}" pid="4" name="MSIP_Label_7a41e45d-23b2-4b9b-8824-4250be488857_Owner">
    <vt:lpwstr>maria.pisu@cba.com.au</vt:lpwstr>
  </property>
  <property fmtid="{D5CDD505-2E9C-101B-9397-08002B2CF9AE}" pid="5" name="MSIP_Label_7a41e45d-23b2-4b9b-8824-4250be488857_SetDate">
    <vt:lpwstr>2019-10-03T02:15:15.2876792Z</vt:lpwstr>
  </property>
  <property fmtid="{D5CDD505-2E9C-101B-9397-08002B2CF9AE}" pid="6" name="MSIP_Label_7a41e45d-23b2-4b9b-8824-4250be488857_Name">
    <vt:lpwstr>Confidential</vt:lpwstr>
  </property>
  <property fmtid="{D5CDD505-2E9C-101B-9397-08002B2CF9AE}" pid="7" name="MSIP_Label_7a41e45d-23b2-4b9b-8824-4250be488857_Application">
    <vt:lpwstr>Microsoft Azure Information Protection</vt:lpwstr>
  </property>
  <property fmtid="{D5CDD505-2E9C-101B-9397-08002B2CF9AE}" pid="8" name="MSIP_Label_7a41e45d-23b2-4b9b-8824-4250be488857_ActionId">
    <vt:lpwstr>cf8aa672-364c-43b4-b178-dcd8653ae442</vt:lpwstr>
  </property>
  <property fmtid="{D5CDD505-2E9C-101B-9397-08002B2CF9AE}" pid="9" name="MSIP_Label_7a41e45d-23b2-4b9b-8824-4250be488857_Extended_MSFT_Method">
    <vt:lpwstr>Manual</vt:lpwstr>
  </property>
  <property fmtid="{D5CDD505-2E9C-101B-9397-08002B2CF9AE}" pid="10" name="Sensitivity">
    <vt:lpwstr>Confidential</vt:lpwstr>
  </property>
</Properties>
</file>
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embeddings/oleObject6.bin" ContentType="application/vnd.openxmlformats-officedocument.oleObject"/>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xml" ContentType="application/vnd.openxmlformats-officedocument.drawing+xml"/>
  <Override PartName="/xl/embeddings/oleObject7.bin" ContentType="application/vnd.openxmlformats-officedocument.oleObject"/>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embeddings/oleObject8.bin" ContentType="application/vnd.openxmlformats-officedocument.oleObject"/>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7.xml" ContentType="application/vnd.openxmlformats-officedocument.drawing+xml"/>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drawings/drawing8.xml" ContentType="application/vnd.openxmlformats-officedocument.drawing+xml"/>
  <Override PartName="/xl/embeddings/oleObject14.bin" ContentType="application/vnd.openxmlformats-officedocument.oleObject"/>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9.xml" ContentType="application/vnd.openxmlformats-officedocument.drawing+xml"/>
  <Override PartName="/xl/embeddings/oleObject15.bin" ContentType="application/vnd.openxmlformats-officedocument.oleObject"/>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0.xml" ContentType="application/vnd.openxmlformats-officedocument.drawing+xml"/>
  <Override PartName="/xl/embeddings/oleObject16.bin" ContentType="application/vnd.openxmlformats-officedocument.oleObject"/>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1.xml" ContentType="application/vnd.openxmlformats-officedocument.drawing+xml"/>
  <Override PartName="/xl/embeddings/oleObject17.bin" ContentType="application/vnd.openxmlformats-officedocument.oleObject"/>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12.xml" ContentType="application/vnd.openxmlformats-officedocument.drawing+xml"/>
  <Override PartName="/xl/embeddings/oleObject18.bin" ContentType="application/vnd.openxmlformats-officedocument.oleObject"/>
  <Override PartName="/xl/ctrlProps/ctrlProp47.xml" ContentType="application/vnd.ms-excel.controlproperties+xml"/>
  <Override PartName="/xl/ctrlProps/ctrlProp48.xml" ContentType="application/vnd.ms-excel.controlproperties+xml"/>
  <Override PartName="/xl/drawings/drawing13.xml" ContentType="application/vnd.openxmlformats-officedocument.drawing+xml"/>
  <Override PartName="/xl/ctrlProps/ctrlProp4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14.xml" ContentType="application/vnd.openxmlformats-officedocument.drawing+xml"/>
  <Override PartName="/xl/embeddings/oleObject19.bin" ContentType="application/vnd.openxmlformats-officedocument.oleObject"/>
  <Override PartName="/xl/ctrlProps/ctrlProp50.xml" ContentType="application/vnd.ms-excel.controlproperties+xml"/>
  <Override PartName="/xl/ctrlProps/ctrlProp5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212" codeName="{6BE1CDB9-6C1C-A5B6-3FC1-E231EC3C600E}"/>
  <workbookPr codeName="ThisWorkbook"/>
  <mc:AlternateContent xmlns:mc="http://schemas.openxmlformats.org/markup-compatibility/2006">
    <mc:Choice Requires="x15">
      <x15ac:absPath xmlns:x15ac="http://schemas.microsoft.com/office/spreadsheetml/2010/11/ac" url="/Users/anguskeatinge/Desktop/"/>
    </mc:Choice>
  </mc:AlternateContent>
  <xr:revisionPtr revIDLastSave="0" documentId="8_{BB140921-575B-3441-8E67-8F974FA521B9}" xr6:coauthVersionLast="46" xr6:coauthVersionMax="46" xr10:uidLastSave="{00000000-0000-0000-0000-000000000000}"/>
  <workbookProtection workbookAlgorithmName="SHA-512" workbookHashValue="dRsJtggepytOF24/iJVSTTHa16Em2PfhuY3jXjuAT0gtO4vMshvuEhjOzRHF7jLxnzfKL9yJNMLX9UQRXzw9og==" workbookSaltValue="MjFmS0RU9U/o8lpDHoBeDA==" workbookSpinCount="100000" lockStructure="1"/>
  <bookViews>
    <workbookView showSheetTabs="0" xWindow="0" yWindow="500" windowWidth="28800" windowHeight="17500" tabRatio="830" activeTab="2" xr2:uid="{00000000-000D-0000-FFFF-FFFF00000000}"/>
  </bookViews>
  <sheets>
    <sheet name="Menu" sheetId="1" r:id="rId1"/>
    <sheet name="User Guide" sheetId="2" r:id="rId2"/>
    <sheet name="Model" sheetId="3" r:id="rId3"/>
    <sheet name="Self Employed" sheetId="4" r:id="rId4"/>
    <sheet name="Neg Gearing" sheetId="5" r:id="rId5"/>
    <sheet name="Rental Yield" sheetId="13" r:id="rId6"/>
    <sheet name="Bridging" sheetId="9" r:id="rId7"/>
    <sheet name="Bridging Self Employed" sheetId="10" r:id="rId8"/>
    <sheet name="Bridging Neg Gearing" sheetId="11" r:id="rId9"/>
    <sheet name="Bridging Rental Yield" sheetId="14" r:id="rId10"/>
    <sheet name="Basic Loan" sheetId="6" r:id="rId11"/>
    <sheet name="YTD Income" sheetId="15" r:id="rId12"/>
    <sheet name="Data" sheetId="7" state="hidden" r:id="rId13"/>
    <sheet name="Calculations" sheetId="8" state="hidden" r:id="rId14"/>
    <sheet name="Bridging Calculations" sheetId="12" state="hidden" r:id="rId15"/>
    <sheet name="Net To Gross" sheetId="16" r:id="rId16"/>
  </sheets>
  <functionGroups builtInGroupCount="19"/>
  <definedNames>
    <definedName name="Base_products">Data!$M$11:$M$13</definedName>
    <definedName name="Boolean">Data!$A$27:$A$28</definedName>
    <definedName name="Frequencies">Data!$M$30:$M$35</definedName>
    <definedName name="Limits">Data!$M$11:$O$21</definedName>
    <definedName name="Loan_type">Data!$I$28:$I$29</definedName>
    <definedName name="_xlnm.Print_Area" localSheetId="10">'Basic Loan'!$A$1:$L$49</definedName>
    <definedName name="_xlnm.Print_Area" localSheetId="6">Bridging!$A$1:$W$80</definedName>
    <definedName name="_xlnm.Print_Area" localSheetId="8">'Bridging Neg Gearing'!$A$1:$G$48</definedName>
    <definedName name="_xlnm.Print_Area" localSheetId="7">'Bridging Self Employed'!$A$1:$H$43</definedName>
    <definedName name="_xlnm.Print_Area" localSheetId="2">Model!$A$1:$M$72</definedName>
    <definedName name="_xlnm.Print_Area" localSheetId="4">'Neg Gearing'!$A$1:$I$36</definedName>
    <definedName name="_xlnm.Print_Area" localSheetId="3">'Self Employed'!$A$1:$M$86</definedName>
    <definedName name="_xlnm.Print_Area" localSheetId="1">'User Guide'!$A$1:$O$145</definedName>
    <definedName name="Products">Data!$I$11:$I$24</definedName>
    <definedName name="Proposed">Data!$M$11:$M$14</definedName>
    <definedName name="Residual">Data!$I$11:$I$16</definedName>
    <definedName name="Table">Data!$I$11:$K$24</definedName>
    <definedName name="Z_47743E36_E3F1_4AC8_AB28_1C3AD83F86F4_.wvu.Cols" localSheetId="4" hidden="1">'Neg Gearing'!#REF!</definedName>
    <definedName name="Z_47743E36_E3F1_4AC8_AB28_1C3AD83F86F4_.wvu.Cols" localSheetId="3" hidden="1">'Self Employed'!$O:$P</definedName>
    <definedName name="Z_47743E36_E3F1_4AC8_AB28_1C3AD83F86F4_.wvu.PrintArea" localSheetId="10" hidden="1">'Basic Loan'!$A$1:$L$49</definedName>
    <definedName name="Z_47743E36_E3F1_4AC8_AB28_1C3AD83F86F4_.wvu.PrintArea" localSheetId="2" hidden="1">Model!$A$1:$M$72</definedName>
    <definedName name="Z_47743E36_E3F1_4AC8_AB28_1C3AD83F86F4_.wvu.PrintArea" localSheetId="4" hidden="1">'Neg Gearing'!$A$1:$I$36</definedName>
    <definedName name="Z_47743E36_E3F1_4AC8_AB28_1C3AD83F86F4_.wvu.PrintArea" localSheetId="3" hidden="1">'Self Employed'!$A$1:$M$86</definedName>
    <definedName name="Z_47743E36_E3F1_4AC8_AB28_1C3AD83F86F4_.wvu.PrintArea" localSheetId="1" hidden="1">'User Guide'!$A$1:$O$145</definedName>
    <definedName name="Z_878686E5_D823_11D7_9EB6_0000F6FFAA54_.wvu.Cols" localSheetId="2" hidden="1">Model!#REF!</definedName>
    <definedName name="Z_878686E5_D823_11D7_9EB6_0000F6FFAA54_.wvu.Cols" localSheetId="4" hidden="1">'Neg Gearing'!#REF!</definedName>
    <definedName name="Z_878686E5_D823_11D7_9EB6_0000F6FFAA54_.wvu.Cols" localSheetId="3" hidden="1">'Self Employed'!$O:$P</definedName>
    <definedName name="Z_878686E5_D823_11D7_9EB6_0000F6FFAA54_.wvu.PrintArea" localSheetId="10" hidden="1">'Basic Loan'!$A$1:$L$49</definedName>
    <definedName name="Z_878686E5_D823_11D7_9EB6_0000F6FFAA54_.wvu.PrintArea" localSheetId="2" hidden="1">Model!$A$1:$M$72</definedName>
    <definedName name="Z_878686E5_D823_11D7_9EB6_0000F6FFAA54_.wvu.PrintArea" localSheetId="4" hidden="1">'Neg Gearing'!$A$1:$I$36</definedName>
    <definedName name="Z_878686E5_D823_11D7_9EB6_0000F6FFAA54_.wvu.PrintArea" localSheetId="3" hidden="1">'Self Employed'!$A$1:$M$86</definedName>
    <definedName name="Z_878686E5_D823_11D7_9EB6_0000F6FFAA54_.wvu.PrintArea" localSheetId="1" hidden="1">'User Guide'!$A$1:$O$145</definedName>
    <definedName name="Z_878686E5_D823_11D7_9EB6_0000F6FFAA54_.wvu.Rows" localSheetId="13" hidden="1">Calculations!$52:$65545,Calculations!$1:$49</definedName>
    <definedName name="Z_878686E5_D823_11D7_9EB6_0000F6FFAA54_.wvu.Rows" localSheetId="12" hidden="1">Data!$29:$65540,Data!$1:$22</definedName>
  </definedNames>
  <calcPr calcId="191029"/>
  <customWorkbookViews>
    <customWorkbookView name="Philip Bensley - Personal View" guid="{878686E5-D823-11D7-9EB6-0000F6FFAA54}" mergeInterval="0" personalView="1" maximized="1" showSheetTabs="0" windowWidth="796" windowHeight="464" activeSheetId="3"/>
    <customWorkbookView name="bensleph - Personal View" guid="{47743E36-E3F1-4AC8-AB28-1C3AD83F86F4}" mergeInterval="0" personalView="1" maximized="1" showSheetTabs="0" windowWidth="796" windowHeight="461"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43" i="7" l="1"/>
  <c r="G17" i="9" l="1"/>
  <c r="I17" i="9"/>
  <c r="I30" i="9" l="1"/>
  <c r="Q37" i="7" l="1"/>
  <c r="Q36" i="7"/>
  <c r="Q35" i="7"/>
  <c r="Q34" i="7"/>
  <c r="Q33" i="7"/>
  <c r="Q32" i="7"/>
  <c r="Q31" i="7"/>
  <c r="Q30" i="7"/>
  <c r="Q29" i="7"/>
  <c r="Q28" i="7"/>
  <c r="Q27" i="7"/>
  <c r="Q26" i="7"/>
  <c r="Q25" i="7"/>
  <c r="Q24" i="7"/>
  <c r="G30" i="9" l="1"/>
  <c r="P2" i="9"/>
  <c r="P1" i="9"/>
  <c r="P2" i="3"/>
  <c r="P1" i="3"/>
  <c r="O19" i="12" l="1"/>
  <c r="O18" i="12"/>
  <c r="O17" i="12"/>
  <c r="O16" i="12"/>
  <c r="O15" i="12"/>
  <c r="P16" i="12" l="1"/>
  <c r="L67" i="9" s="1"/>
  <c r="P17" i="12"/>
  <c r="L68" i="9" s="1"/>
  <c r="P18" i="12"/>
  <c r="L69" i="9" s="1"/>
  <c r="P15" i="12"/>
  <c r="L66" i="9" s="1"/>
  <c r="P19" i="12"/>
  <c r="L70" i="9" s="1"/>
  <c r="K51" i="9"/>
  <c r="Z15" i="8" l="1"/>
  <c r="Z14" i="8" s="1"/>
  <c r="Z2" i="8"/>
  <c r="Z1" i="8" s="1"/>
  <c r="O9" i="12" l="1"/>
  <c r="O8" i="12"/>
  <c r="O7" i="12"/>
  <c r="O6" i="12"/>
  <c r="O5" i="12"/>
  <c r="O4" i="12"/>
  <c r="O3" i="12"/>
  <c r="P7" i="12" l="1"/>
  <c r="L43" i="9" s="1"/>
  <c r="P6" i="12"/>
  <c r="L42" i="9" s="1"/>
  <c r="P4" i="12"/>
  <c r="L40" i="9" s="1"/>
  <c r="P8" i="12"/>
  <c r="L44" i="9" s="1"/>
  <c r="P3" i="12"/>
  <c r="L39" i="9" s="1"/>
  <c r="P5" i="12"/>
  <c r="L41" i="9" s="1"/>
  <c r="P9" i="12"/>
  <c r="L45" i="9" s="1"/>
  <c r="S9" i="12"/>
  <c r="S8" i="12"/>
  <c r="S7" i="12"/>
  <c r="S6" i="12"/>
  <c r="S5" i="12"/>
  <c r="S4" i="12"/>
  <c r="S3" i="12"/>
  <c r="E66" i="3"/>
  <c r="B35" i="12" l="1" a="1"/>
  <c r="B35" i="12" s="1"/>
  <c r="K53" i="9"/>
  <c r="K54" i="9" a="1"/>
  <c r="K54" i="9" s="1"/>
  <c r="L30" i="3"/>
  <c r="L23" i="3"/>
  <c r="Q50" i="9" l="1" a="1"/>
  <c r="Q50" i="9" s="1"/>
  <c r="Q51" i="9" a="1"/>
  <c r="Q51" i="9" s="1"/>
  <c r="K30" i="9"/>
  <c r="K23" i="9"/>
  <c r="G16" i="9"/>
  <c r="L30" i="9" l="1"/>
  <c r="K9" i="3" l="1"/>
  <c r="J9" i="3" l="1"/>
  <c r="I9" i="3"/>
  <c r="J8" i="9" l="1"/>
  <c r="K8" i="9"/>
  <c r="L8" i="9"/>
  <c r="I16" i="9"/>
  <c r="L16" i="3" l="1"/>
  <c r="K7" i="3" s="1"/>
  <c r="V3" i="8" l="1"/>
  <c r="Y5" i="12"/>
  <c r="X5" i="12"/>
  <c r="L29" i="12"/>
  <c r="M29" i="12" s="1"/>
  <c r="I29" i="12"/>
  <c r="J29" i="12" s="1"/>
  <c r="E29" i="12"/>
  <c r="F29" i="12" s="1"/>
  <c r="B29" i="12"/>
  <c r="C29" i="12" s="1"/>
  <c r="N31" i="8"/>
  <c r="O31" i="8" s="1"/>
  <c r="J31" i="8"/>
  <c r="K31" i="8" s="1"/>
  <c r="F31" i="8"/>
  <c r="G31" i="8" s="1"/>
  <c r="B31" i="8"/>
  <c r="C31" i="8" s="1"/>
  <c r="K16" i="9" l="1"/>
  <c r="J6" i="9" s="1"/>
  <c r="AE5" i="12"/>
  <c r="AF5" i="12"/>
  <c r="F23" i="16" l="1"/>
  <c r="E23" i="16"/>
  <c r="D23" i="16"/>
  <c r="T49" i="8" l="1"/>
  <c r="U49" i="8"/>
  <c r="V49" i="8"/>
  <c r="S49" i="8"/>
  <c r="T48" i="8" l="1"/>
  <c r="U48" i="8"/>
  <c r="V48" i="8"/>
  <c r="S48" i="8"/>
  <c r="M45" i="7" l="1"/>
  <c r="K45" i="7"/>
  <c r="I45" i="7"/>
  <c r="J45" i="7" s="1"/>
  <c r="M44" i="7"/>
  <c r="K44" i="7"/>
  <c r="I44" i="7"/>
  <c r="J44" i="7" s="1"/>
  <c r="M43" i="7"/>
  <c r="K43" i="7"/>
  <c r="I43" i="7"/>
  <c r="J43" i="7" s="1"/>
  <c r="M42" i="7"/>
  <c r="K42" i="7"/>
  <c r="I42" i="7"/>
  <c r="J42" i="7" s="1"/>
  <c r="M41" i="7"/>
  <c r="K41" i="7"/>
  <c r="I41" i="7"/>
  <c r="J41" i="7" s="1"/>
  <c r="K40" i="7"/>
  <c r="I40" i="7"/>
  <c r="J40" i="7" s="1"/>
  <c r="F24" i="16" l="1"/>
  <c r="F25" i="16" s="1"/>
  <c r="F26" i="16" s="1"/>
  <c r="E24" i="16"/>
  <c r="E25" i="16" s="1"/>
  <c r="E26" i="16" s="1"/>
  <c r="D24" i="16"/>
  <c r="D25" i="16" s="1"/>
  <c r="D26" i="16" s="1"/>
  <c r="C24" i="16"/>
  <c r="C25" i="16" s="1"/>
  <c r="C26" i="16" s="1"/>
  <c r="J13" i="6" l="1"/>
  <c r="H13" i="6"/>
  <c r="F13" i="6"/>
  <c r="E5" i="15" l="1"/>
  <c r="C9" i="15" s="1"/>
  <c r="C10" i="15" l="1"/>
  <c r="O45" i="9"/>
  <c r="T14" i="8"/>
  <c r="T13" i="8"/>
  <c r="T12" i="8"/>
  <c r="T11" i="8"/>
  <c r="T10" i="8"/>
  <c r="T9" i="8"/>
  <c r="T8" i="8"/>
  <c r="U14" i="8" l="1"/>
  <c r="X14" i="8" s="1"/>
  <c r="U13" i="8"/>
  <c r="S13" i="8" s="1"/>
  <c r="U10" i="8"/>
  <c r="S10" i="8" s="1"/>
  <c r="U11" i="8"/>
  <c r="X11" i="8" s="1"/>
  <c r="U9" i="8"/>
  <c r="S9" i="8" s="1"/>
  <c r="U12" i="8"/>
  <c r="S12" i="8" s="1"/>
  <c r="U8" i="8"/>
  <c r="X8" i="8" s="1"/>
  <c r="T15" i="8"/>
  <c r="O40" i="3"/>
  <c r="O44" i="3"/>
  <c r="O45" i="3"/>
  <c r="O42" i="3"/>
  <c r="O43" i="3"/>
  <c r="O41" i="3" l="1"/>
  <c r="X13" i="8"/>
  <c r="S11" i="8"/>
  <c r="X10" i="8"/>
  <c r="X9" i="8"/>
  <c r="O39" i="3"/>
  <c r="X12" i="8"/>
  <c r="S14" i="8"/>
  <c r="S8" i="8"/>
  <c r="O49" i="12"/>
  <c r="O48" i="12"/>
  <c r="O47" i="12"/>
  <c r="O46" i="12"/>
  <c r="O23" i="14" s="1"/>
  <c r="O45" i="12"/>
  <c r="O44" i="12"/>
  <c r="O43" i="12"/>
  <c r="O42" i="12"/>
  <c r="O19" i="14" s="1"/>
  <c r="O41" i="12"/>
  <c r="O40" i="12"/>
  <c r="O40" i="14"/>
  <c r="O41" i="14"/>
  <c r="O42" i="14"/>
  <c r="O43" i="14"/>
  <c r="O44" i="14"/>
  <c r="O45" i="14"/>
  <c r="O46" i="14"/>
  <c r="O47" i="14"/>
  <c r="O48" i="14"/>
  <c r="O49" i="14"/>
  <c r="O46" i="3" l="1"/>
  <c r="B51" i="8" a="1"/>
  <c r="B51" i="8" s="1"/>
  <c r="P47" i="12"/>
  <c r="K24" i="14" s="1"/>
  <c r="L24" i="14" s="1"/>
  <c r="C47" i="14" s="1"/>
  <c r="E47" i="14" s="1"/>
  <c r="O24" i="14"/>
  <c r="P40" i="12"/>
  <c r="J17" i="14" s="1"/>
  <c r="O17" i="14"/>
  <c r="P44" i="12"/>
  <c r="K21" i="14" s="1"/>
  <c r="L21" i="14" s="1"/>
  <c r="C44" i="14" s="1"/>
  <c r="E44" i="14" s="1"/>
  <c r="O21" i="14"/>
  <c r="P48" i="12"/>
  <c r="J25" i="14" s="1"/>
  <c r="O25" i="14"/>
  <c r="P43" i="12"/>
  <c r="K20" i="14" s="1"/>
  <c r="L20" i="14" s="1"/>
  <c r="C43" i="14" s="1"/>
  <c r="E43" i="14" s="1"/>
  <c r="O20" i="14"/>
  <c r="P41" i="12"/>
  <c r="K18" i="14" s="1"/>
  <c r="L18" i="14" s="1"/>
  <c r="C41" i="14" s="1"/>
  <c r="E41" i="14" s="1"/>
  <c r="O18" i="14"/>
  <c r="P45" i="12"/>
  <c r="J22" i="14" s="1"/>
  <c r="O22" i="14"/>
  <c r="P49" i="12"/>
  <c r="J26" i="14" s="1"/>
  <c r="O26" i="14"/>
  <c r="J24" i="14"/>
  <c r="P42" i="12"/>
  <c r="P46" i="12"/>
  <c r="K23" i="14" s="1"/>
  <c r="J21" i="14" l="1"/>
  <c r="J20" i="14"/>
  <c r="K26" i="14"/>
  <c r="L26" i="14" s="1"/>
  <c r="C49" i="14" s="1"/>
  <c r="E49" i="14" s="1"/>
  <c r="K22" i="14"/>
  <c r="L22" i="14" s="1"/>
  <c r="C45" i="14" s="1"/>
  <c r="E45" i="14" s="1"/>
  <c r="J18" i="14"/>
  <c r="K25" i="14"/>
  <c r="L25" i="14" s="1"/>
  <c r="C48" i="14" s="1"/>
  <c r="E48" i="14" s="1"/>
  <c r="K17" i="14"/>
  <c r="L17" i="14" s="1"/>
  <c r="C40" i="14" s="1"/>
  <c r="E40" i="14" s="1"/>
  <c r="L23" i="14"/>
  <c r="C46" i="14" s="1"/>
  <c r="E46" i="14" s="1"/>
  <c r="J23" i="14"/>
  <c r="J19" i="14"/>
  <c r="K19" i="14"/>
  <c r="L19" i="14" s="1"/>
  <c r="C42" i="14" s="1"/>
  <c r="E42" i="14" s="1"/>
  <c r="J63" i="8" l="1"/>
  <c r="J62" i="8"/>
  <c r="J61" i="8"/>
  <c r="J60" i="8"/>
  <c r="J59" i="8"/>
  <c r="J58" i="8"/>
  <c r="J57" i="8"/>
  <c r="J56" i="8"/>
  <c r="J55" i="8"/>
  <c r="J54" i="8"/>
  <c r="N40" i="13"/>
  <c r="N41" i="13"/>
  <c r="N42" i="13"/>
  <c r="N43" i="13"/>
  <c r="N44" i="13"/>
  <c r="N45" i="13"/>
  <c r="N46" i="13"/>
  <c r="N47" i="13"/>
  <c r="N48" i="13"/>
  <c r="N49" i="13"/>
  <c r="K63" i="8" l="1"/>
  <c r="J26" i="13" s="1"/>
  <c r="K26" i="13" s="1"/>
  <c r="C49" i="13" s="1"/>
  <c r="E49" i="13" s="1"/>
  <c r="K62" i="8"/>
  <c r="I25" i="13" s="1"/>
  <c r="K61" i="8"/>
  <c r="I24" i="13" s="1"/>
  <c r="N23" i="13"/>
  <c r="K59" i="8"/>
  <c r="I22" i="13" s="1"/>
  <c r="K58" i="8"/>
  <c r="J21" i="13" s="1"/>
  <c r="K21" i="13" s="1"/>
  <c r="C44" i="13" s="1"/>
  <c r="E44" i="13" s="1"/>
  <c r="K57" i="8"/>
  <c r="J20" i="13" s="1"/>
  <c r="K20" i="13" s="1"/>
  <c r="C43" i="13" s="1"/>
  <c r="E43" i="13" s="1"/>
  <c r="N19" i="13"/>
  <c r="K55" i="8"/>
  <c r="J18" i="13" s="1"/>
  <c r="K18" i="13" s="1"/>
  <c r="K54" i="8"/>
  <c r="I17" i="13" s="1"/>
  <c r="N26" i="13"/>
  <c r="N24" i="13"/>
  <c r="N22" i="13"/>
  <c r="N20" i="13"/>
  <c r="N18" i="13"/>
  <c r="N25" i="13"/>
  <c r="N21" i="13"/>
  <c r="N17" i="13"/>
  <c r="K56" i="8"/>
  <c r="K60" i="8"/>
  <c r="O39" i="12"/>
  <c r="O38" i="12"/>
  <c r="O37" i="12"/>
  <c r="O36" i="12"/>
  <c r="O35" i="12"/>
  <c r="O34" i="12"/>
  <c r="O33" i="12"/>
  <c r="O32" i="12"/>
  <c r="O31" i="12"/>
  <c r="O30" i="12"/>
  <c r="O39" i="14"/>
  <c r="O38" i="14"/>
  <c r="O37" i="14"/>
  <c r="O36" i="14"/>
  <c r="O35" i="14"/>
  <c r="O34" i="14"/>
  <c r="O33" i="14"/>
  <c r="O32" i="14"/>
  <c r="O31" i="14"/>
  <c r="O30" i="14"/>
  <c r="J45" i="8"/>
  <c r="N8" i="13" s="1"/>
  <c r="J46" i="8"/>
  <c r="K46" i="8" s="1"/>
  <c r="J47" i="8"/>
  <c r="K47" i="8" s="1"/>
  <c r="J48" i="8"/>
  <c r="J49" i="8"/>
  <c r="N12" i="13" s="1"/>
  <c r="J50" i="8"/>
  <c r="J51" i="8"/>
  <c r="K51" i="8" s="1"/>
  <c r="J52" i="8"/>
  <c r="J53" i="8"/>
  <c r="N16" i="13" s="1"/>
  <c r="J44" i="8"/>
  <c r="N39" i="13"/>
  <c r="N38" i="13"/>
  <c r="N37" i="13"/>
  <c r="N36" i="13"/>
  <c r="N35" i="13"/>
  <c r="N34" i="13"/>
  <c r="N33" i="13"/>
  <c r="N32" i="13"/>
  <c r="N31" i="13"/>
  <c r="N30" i="13"/>
  <c r="I26" i="13" l="1"/>
  <c r="J24" i="13"/>
  <c r="K24" i="13" s="1"/>
  <c r="C47" i="13" s="1"/>
  <c r="E47" i="13" s="1"/>
  <c r="I20" i="13"/>
  <c r="P36" i="12"/>
  <c r="O13" i="14"/>
  <c r="P33" i="12"/>
  <c r="J10" i="14" s="1"/>
  <c r="O10" i="14"/>
  <c r="P34" i="12"/>
  <c r="O11" i="14"/>
  <c r="P38" i="12"/>
  <c r="K15" i="14" s="1"/>
  <c r="O15" i="14"/>
  <c r="P37" i="12"/>
  <c r="J14" i="14" s="1"/>
  <c r="O14" i="14"/>
  <c r="P35" i="12"/>
  <c r="K12" i="14" s="1"/>
  <c r="O12" i="14"/>
  <c r="P39" i="12"/>
  <c r="J16" i="14" s="1"/>
  <c r="O16" i="14"/>
  <c r="P32" i="12"/>
  <c r="J9" i="14" s="1"/>
  <c r="O9" i="14"/>
  <c r="P31" i="12"/>
  <c r="K8" i="14" s="1"/>
  <c r="L8" i="14" s="1"/>
  <c r="C31" i="14" s="1"/>
  <c r="E31" i="14" s="1"/>
  <c r="O8" i="14"/>
  <c r="N7" i="13"/>
  <c r="J64" i="8"/>
  <c r="P30" i="12"/>
  <c r="O50" i="12"/>
  <c r="J25" i="13"/>
  <c r="K25" i="13" s="1"/>
  <c r="C48" i="13" s="1"/>
  <c r="E48" i="13" s="1"/>
  <c r="J22" i="13"/>
  <c r="K22" i="13" s="1"/>
  <c r="C45" i="13" s="1"/>
  <c r="E45" i="13" s="1"/>
  <c r="I18" i="13"/>
  <c r="C41" i="13"/>
  <c r="E41" i="13" s="1"/>
  <c r="J17" i="13"/>
  <c r="K17" i="13" s="1"/>
  <c r="C40" i="13" s="1"/>
  <c r="E40" i="13" s="1"/>
  <c r="J23" i="13"/>
  <c r="K23" i="13" s="1"/>
  <c r="C46" i="13" s="1"/>
  <c r="E46" i="13" s="1"/>
  <c r="I23" i="13"/>
  <c r="I21" i="13"/>
  <c r="I19" i="13"/>
  <c r="J19" i="13"/>
  <c r="K19" i="13" s="1"/>
  <c r="C42" i="13" s="1"/>
  <c r="E42" i="13" s="1"/>
  <c r="J9" i="13"/>
  <c r="K9" i="13" s="1"/>
  <c r="C32" i="13" s="1"/>
  <c r="E32" i="13" s="1"/>
  <c r="K48" i="8"/>
  <c r="J11" i="13" s="1"/>
  <c r="K50" i="8"/>
  <c r="N15" i="13"/>
  <c r="K52" i="8"/>
  <c r="I15" i="13" s="1"/>
  <c r="N11" i="13"/>
  <c r="I14" i="13"/>
  <c r="I10" i="13"/>
  <c r="K45" i="8"/>
  <c r="K49" i="8"/>
  <c r="K53" i="8"/>
  <c r="J10" i="13"/>
  <c r="K10" i="13" s="1"/>
  <c r="C33" i="13" s="1"/>
  <c r="E33" i="13" s="1"/>
  <c r="J14" i="13"/>
  <c r="K14" i="13" s="1"/>
  <c r="C37" i="13" s="1"/>
  <c r="E37" i="13" s="1"/>
  <c r="N14" i="13"/>
  <c r="N10" i="13"/>
  <c r="N13" i="13"/>
  <c r="N9" i="13"/>
  <c r="I9" i="13"/>
  <c r="O7" i="14"/>
  <c r="K44" i="8"/>
  <c r="J12" i="14" l="1"/>
  <c r="J15" i="14"/>
  <c r="K9" i="14"/>
  <c r="L9" i="14" s="1"/>
  <c r="C32" i="14" s="1"/>
  <c r="E32" i="14" s="1"/>
  <c r="L12" i="14"/>
  <c r="C35" i="14" s="1"/>
  <c r="E35" i="14" s="1"/>
  <c r="J8" i="14"/>
  <c r="K16" i="14"/>
  <c r="L16" i="14" s="1"/>
  <c r="C39" i="14" s="1"/>
  <c r="E39" i="14" s="1"/>
  <c r="K13" i="14"/>
  <c r="L13" i="14" s="1"/>
  <c r="C36" i="14" s="1"/>
  <c r="E36" i="14" s="1"/>
  <c r="K14" i="14"/>
  <c r="L14" i="14" s="1"/>
  <c r="C37" i="14" s="1"/>
  <c r="E37" i="14" s="1"/>
  <c r="J13" i="14"/>
  <c r="J11" i="14"/>
  <c r="K11" i="14"/>
  <c r="L11" i="14" s="1"/>
  <c r="C34" i="14" s="1"/>
  <c r="E34" i="14" s="1"/>
  <c r="L15" i="14"/>
  <c r="C38" i="14" s="1"/>
  <c r="E38" i="14" s="1"/>
  <c r="K10" i="14"/>
  <c r="L10" i="14" s="1"/>
  <c r="C33" i="14" s="1"/>
  <c r="E33" i="14" s="1"/>
  <c r="P50" i="12"/>
  <c r="J7" i="14"/>
  <c r="K7" i="14"/>
  <c r="L7" i="14" s="1"/>
  <c r="C30" i="14" s="1"/>
  <c r="K64" i="8"/>
  <c r="J12" i="13"/>
  <c r="K12" i="13" s="1"/>
  <c r="C35" i="13" s="1"/>
  <c r="E35" i="13" s="1"/>
  <c r="J15" i="13"/>
  <c r="K15" i="13" s="1"/>
  <c r="C38" i="13" s="1"/>
  <c r="E38" i="13" s="1"/>
  <c r="J13" i="13"/>
  <c r="K13" i="13" s="1"/>
  <c r="C36" i="13" s="1"/>
  <c r="E36" i="13" s="1"/>
  <c r="I8" i="13"/>
  <c r="J8" i="13"/>
  <c r="K8" i="13" s="1"/>
  <c r="C31" i="13" s="1"/>
  <c r="E31" i="13" s="1"/>
  <c r="K11" i="13"/>
  <c r="C34" i="13" s="1"/>
  <c r="E34" i="13" s="1"/>
  <c r="I13" i="13"/>
  <c r="I11" i="13"/>
  <c r="I16" i="13"/>
  <c r="J16" i="13"/>
  <c r="K16" i="13" s="1"/>
  <c r="C39" i="13" s="1"/>
  <c r="E39" i="13" s="1"/>
  <c r="I12" i="13"/>
  <c r="J7" i="13"/>
  <c r="K7" i="13" s="1"/>
  <c r="C30" i="13" s="1"/>
  <c r="I7" i="13"/>
  <c r="W12" i="12" l="1" a="1"/>
  <c r="W12" i="12" s="1"/>
  <c r="V12" i="12" a="1"/>
  <c r="V12" i="12" s="1"/>
  <c r="S2" i="8" a="1"/>
  <c r="S2" i="8" s="1"/>
  <c r="E30" i="14"/>
  <c r="E30" i="13"/>
  <c r="S3" i="8" s="1" a="1"/>
  <c r="S3" i="8" s="1"/>
  <c r="G55" i="14" l="1" a="1"/>
  <c r="G55" i="14" s="1"/>
  <c r="H21" i="9" s="1"/>
  <c r="G60" i="14" a="1"/>
  <c r="G60" i="14" s="1"/>
  <c r="I20" i="9" s="1"/>
  <c r="G54" i="14" a="1"/>
  <c r="G54" i="14" s="1"/>
  <c r="H20" i="9" s="1"/>
  <c r="G61" i="14" a="1"/>
  <c r="G61" i="14" s="1"/>
  <c r="I21" i="9" s="1"/>
  <c r="W13" i="12" a="1"/>
  <c r="W13" i="12" s="1"/>
  <c r="F61" i="14" a="1"/>
  <c r="F61" i="14" s="1"/>
  <c r="G21" i="9" s="1"/>
  <c r="F60" i="14" a="1"/>
  <c r="F60" i="14" s="1"/>
  <c r="G20" i="9" s="1"/>
  <c r="V13" i="12" a="1"/>
  <c r="V13" i="12" s="1"/>
  <c r="F54" i="14" a="1"/>
  <c r="F54" i="14" s="1"/>
  <c r="F20" i="9" s="1"/>
  <c r="F55" i="14" a="1"/>
  <c r="F55" i="14" s="1"/>
  <c r="F21" i="9" s="1"/>
  <c r="G55" i="13" a="1"/>
  <c r="G55" i="13" s="1"/>
  <c r="H21" i="3" s="1"/>
  <c r="I55" i="13" a="1"/>
  <c r="I55" i="13" s="1"/>
  <c r="J21" i="3" s="1"/>
  <c r="H55" i="13" a="1"/>
  <c r="H55" i="13" s="1"/>
  <c r="I21" i="3" s="1"/>
  <c r="H54" i="13" a="1"/>
  <c r="H54" i="13" s="1"/>
  <c r="I20" i="3" s="1"/>
  <c r="G54" i="13" a="1"/>
  <c r="G54" i="13" s="1"/>
  <c r="H20" i="3" s="1"/>
  <c r="I54" i="13" a="1"/>
  <c r="I54" i="13" s="1"/>
  <c r="J20" i="3" s="1"/>
  <c r="F55" i="13" a="1"/>
  <c r="F55" i="13" s="1"/>
  <c r="G21" i="3" s="1"/>
  <c r="F54" i="13" a="1"/>
  <c r="F54" i="13" s="1"/>
  <c r="G20" i="3" s="1"/>
  <c r="Q19" i="7"/>
  <c r="Q18" i="7"/>
  <c r="Q17" i="7"/>
  <c r="Q16" i="7"/>
  <c r="Q15" i="7"/>
  <c r="Q14" i="7"/>
  <c r="Q13" i="7"/>
  <c r="Q12" i="7"/>
  <c r="Q11" i="7"/>
  <c r="Q10" i="7"/>
  <c r="Q9" i="7"/>
  <c r="Q8" i="7"/>
  <c r="Q7" i="7"/>
  <c r="Q6" i="7"/>
  <c r="Q5" i="7"/>
  <c r="Q4" i="7"/>
  <c r="K20" i="9" l="1"/>
  <c r="K21" i="9"/>
  <c r="L20" i="9"/>
  <c r="L21" i="9"/>
  <c r="L21" i="3"/>
  <c r="L20" i="3"/>
  <c r="AD7" i="12" l="1"/>
  <c r="AE7" i="12"/>
  <c r="AF7" i="12"/>
  <c r="AC7" i="12"/>
  <c r="AD4" i="12"/>
  <c r="AE4" i="12"/>
  <c r="AF4" i="12"/>
  <c r="AC4" i="12"/>
  <c r="AD3" i="12"/>
  <c r="AE3" i="12"/>
  <c r="AE6" i="12" s="1"/>
  <c r="AF3" i="12"/>
  <c r="AC3" i="12"/>
  <c r="K22" i="9"/>
  <c r="K19" i="9"/>
  <c r="K18" i="9"/>
  <c r="E4" i="12"/>
  <c r="F4" i="12" s="1"/>
  <c r="B4" i="12"/>
  <c r="C4" i="12" s="1"/>
  <c r="I18" i="9"/>
  <c r="L4" i="12" s="1"/>
  <c r="G18" i="9"/>
  <c r="I4" i="12" s="1"/>
  <c r="J4" i="12" s="1"/>
  <c r="N4" i="8"/>
  <c r="O4" i="8" s="1"/>
  <c r="J4" i="8"/>
  <c r="K4" i="8" s="1"/>
  <c r="F4" i="8"/>
  <c r="G4" i="8" s="1"/>
  <c r="B4" i="8"/>
  <c r="C4" i="8" s="1"/>
  <c r="L22" i="3"/>
  <c r="L19" i="3"/>
  <c r="L18" i="3"/>
  <c r="V4" i="12"/>
  <c r="W4" i="12"/>
  <c r="V3" i="12"/>
  <c r="C36" i="8"/>
  <c r="D36" i="8"/>
  <c r="E36" i="8"/>
  <c r="B36" i="8"/>
  <c r="B35" i="8"/>
  <c r="C35" i="8"/>
  <c r="D35" i="8"/>
  <c r="E35" i="8"/>
  <c r="V7" i="12"/>
  <c r="K7" i="9"/>
  <c r="Z11" i="12" s="1"/>
  <c r="Y7" i="12"/>
  <c r="X7" i="12"/>
  <c r="W7" i="12"/>
  <c r="E39" i="8"/>
  <c r="D39" i="8"/>
  <c r="C39" i="8"/>
  <c r="B39" i="8"/>
  <c r="Z14" i="12"/>
  <c r="Q9" i="12"/>
  <c r="B14" i="11" s="1"/>
  <c r="Q8" i="12"/>
  <c r="Q7" i="12"/>
  <c r="B12" i="11" s="1"/>
  <c r="Q6" i="12"/>
  <c r="Q5" i="12"/>
  <c r="B10" i="11" s="1"/>
  <c r="Q4" i="12"/>
  <c r="Q3" i="12"/>
  <c r="B8" i="11" s="1"/>
  <c r="Q19" i="12"/>
  <c r="Q18" i="12"/>
  <c r="Q17" i="12"/>
  <c r="Q16" i="12"/>
  <c r="Q15" i="12"/>
  <c r="Q14" i="12"/>
  <c r="B20" i="11" s="1" a="1"/>
  <c r="B20" i="11" s="1"/>
  <c r="Y4" i="12"/>
  <c r="X4" i="12"/>
  <c r="X3" i="12"/>
  <c r="W3" i="12"/>
  <c r="Y3" i="12"/>
  <c r="L7" i="12"/>
  <c r="M7" i="12" s="1"/>
  <c r="L6" i="12"/>
  <c r="M6" i="12" s="1"/>
  <c r="I7" i="12"/>
  <c r="J7" i="12" s="1"/>
  <c r="I6" i="12"/>
  <c r="J6" i="12" s="1"/>
  <c r="E3" i="12"/>
  <c r="F3" i="12" s="1"/>
  <c r="E10" i="12"/>
  <c r="F10" i="12" s="1"/>
  <c r="E9" i="12"/>
  <c r="F9" i="12" s="1"/>
  <c r="E8" i="12"/>
  <c r="F8" i="12" s="1"/>
  <c r="E7" i="12"/>
  <c r="F7" i="12" s="1"/>
  <c r="E6" i="12"/>
  <c r="F6" i="12" s="1"/>
  <c r="E5" i="12"/>
  <c r="F5" i="12" s="1"/>
  <c r="B10" i="12"/>
  <c r="C10" i="12" s="1"/>
  <c r="B9" i="12"/>
  <c r="C9" i="12" s="1"/>
  <c r="B8" i="12"/>
  <c r="C8" i="12" s="1"/>
  <c r="B7" i="12"/>
  <c r="C7" i="12" s="1"/>
  <c r="B6" i="12"/>
  <c r="C6" i="12" s="1"/>
  <c r="B5" i="12"/>
  <c r="C5" i="12" s="1"/>
  <c r="B3" i="12"/>
  <c r="C3" i="12" s="1"/>
  <c r="Q52" i="9" a="1"/>
  <c r="Q52" i="9" s="1"/>
  <c r="K56" i="9"/>
  <c r="K24" i="9"/>
  <c r="I24" i="9"/>
  <c r="L10" i="12" s="1"/>
  <c r="M10" i="12" s="1"/>
  <c r="G24" i="9"/>
  <c r="I10" i="12" s="1"/>
  <c r="J10" i="12" s="1"/>
  <c r="I23" i="9"/>
  <c r="G23" i="9"/>
  <c r="I22" i="9"/>
  <c r="L8" i="12" s="1"/>
  <c r="M8" i="12" s="1"/>
  <c r="G22" i="9"/>
  <c r="I8" i="12" s="1"/>
  <c r="J8" i="12" s="1"/>
  <c r="I19" i="9"/>
  <c r="L5" i="12" s="1"/>
  <c r="M5" i="12" s="1"/>
  <c r="G19" i="9"/>
  <c r="K17" i="9"/>
  <c r="L3" i="12"/>
  <c r="M3" i="12" s="1"/>
  <c r="I3" i="12"/>
  <c r="E37" i="10"/>
  <c r="C37" i="10"/>
  <c r="E30" i="10"/>
  <c r="C30" i="10"/>
  <c r="E29" i="10"/>
  <c r="C29" i="10"/>
  <c r="C40" i="10" s="1"/>
  <c r="C39" i="10" s="1"/>
  <c r="G27" i="10"/>
  <c r="E18" i="10"/>
  <c r="C18" i="10"/>
  <c r="E11" i="10"/>
  <c r="C11" i="10"/>
  <c r="E10" i="10"/>
  <c r="E21" i="10" s="1"/>
  <c r="E20" i="10" s="1"/>
  <c r="C10" i="10"/>
  <c r="G8" i="10"/>
  <c r="C47" i="8"/>
  <c r="C46" i="8"/>
  <c r="C45" i="8"/>
  <c r="C44" i="8"/>
  <c r="V22" i="8"/>
  <c r="V21" i="8"/>
  <c r="W21" i="8" s="1"/>
  <c r="V20" i="8"/>
  <c r="W20" i="8" s="1"/>
  <c r="V19" i="8"/>
  <c r="V18" i="8"/>
  <c r="V17" i="8"/>
  <c r="W17" i="8" s="1"/>
  <c r="V9" i="8"/>
  <c r="V10" i="8"/>
  <c r="V11" i="8"/>
  <c r="B11" i="5" s="1"/>
  <c r="V12" i="8"/>
  <c r="V13" i="8"/>
  <c r="B13" i="5" s="1"/>
  <c r="V14" i="8"/>
  <c r="V8" i="8"/>
  <c r="B8" i="5" s="1"/>
  <c r="D8" i="5" s="1"/>
  <c r="Z18" i="8"/>
  <c r="N5" i="8"/>
  <c r="J5" i="8"/>
  <c r="K5" i="8" s="1"/>
  <c r="F5" i="8"/>
  <c r="G5" i="8" s="1"/>
  <c r="B5" i="8"/>
  <c r="C5" i="8" s="1"/>
  <c r="M5" i="7"/>
  <c r="M4" i="7"/>
  <c r="O8" i="4"/>
  <c r="P8" i="4"/>
  <c r="H23" i="4" s="1"/>
  <c r="F19" i="4"/>
  <c r="T18" i="8"/>
  <c r="T17" i="8"/>
  <c r="T19" i="8"/>
  <c r="T20" i="8"/>
  <c r="T21" i="8"/>
  <c r="T22" i="8"/>
  <c r="L17" i="3"/>
  <c r="K8" i="3" s="1"/>
  <c r="O28" i="4"/>
  <c r="F42" i="4" s="1"/>
  <c r="P28" i="4"/>
  <c r="H42" i="4" s="1"/>
  <c r="O48" i="4"/>
  <c r="F61" i="4" s="1"/>
  <c r="P48" i="4"/>
  <c r="H61" i="4" s="1"/>
  <c r="O68" i="4"/>
  <c r="F83" i="4" s="1"/>
  <c r="P68" i="4"/>
  <c r="H81" i="4" s="1"/>
  <c r="L24" i="3"/>
  <c r="F3" i="8"/>
  <c r="G3" i="8" s="1"/>
  <c r="F8" i="8"/>
  <c r="G8" i="8" s="1"/>
  <c r="F6" i="8"/>
  <c r="G6" i="8" s="1"/>
  <c r="F7" i="8"/>
  <c r="G7" i="8" s="1"/>
  <c r="F9" i="8"/>
  <c r="G9" i="8" s="1"/>
  <c r="F10" i="8"/>
  <c r="G10" i="8" s="1"/>
  <c r="B3" i="8"/>
  <c r="C3" i="8" s="1"/>
  <c r="B8" i="8"/>
  <c r="C8" i="8" s="1"/>
  <c r="B7" i="8"/>
  <c r="C7" i="8" s="1"/>
  <c r="B6" i="8"/>
  <c r="C6" i="8" s="1"/>
  <c r="B9" i="8"/>
  <c r="C9" i="8" s="1"/>
  <c r="B10" i="8"/>
  <c r="C10" i="8" s="1"/>
  <c r="J8" i="8"/>
  <c r="K8" i="8" s="1"/>
  <c r="J3" i="8"/>
  <c r="K3" i="8" s="1"/>
  <c r="J6" i="8"/>
  <c r="K6" i="8" s="1"/>
  <c r="J7" i="8"/>
  <c r="K7" i="8" s="1"/>
  <c r="J9" i="8"/>
  <c r="K9" i="8" s="1"/>
  <c r="J10" i="8"/>
  <c r="K10" i="8" s="1"/>
  <c r="N3" i="8"/>
  <c r="O3" i="8" s="1"/>
  <c r="N6" i="8"/>
  <c r="O6" i="8" s="1"/>
  <c r="N7" i="8"/>
  <c r="O7" i="8" s="1"/>
  <c r="N8" i="8"/>
  <c r="O8" i="8" s="1"/>
  <c r="N9" i="8"/>
  <c r="O9" i="8" s="1"/>
  <c r="N10" i="8"/>
  <c r="O10" i="8" s="1"/>
  <c r="F39" i="4"/>
  <c r="F59" i="4"/>
  <c r="F79" i="4"/>
  <c r="Z3" i="8"/>
  <c r="Z4" i="8"/>
  <c r="F66" i="3"/>
  <c r="I66" i="3"/>
  <c r="K66" i="3"/>
  <c r="J66" i="3"/>
  <c r="H66" i="3"/>
  <c r="I5" i="7"/>
  <c r="I4" i="7"/>
  <c r="Z16" i="8"/>
  <c r="Z17" i="8"/>
  <c r="A43" i="8"/>
  <c r="C43" i="8"/>
  <c r="B43" i="8"/>
  <c r="B44" i="8"/>
  <c r="A44" i="8"/>
  <c r="A45" i="8"/>
  <c r="D45" i="8" s="1"/>
  <c r="B45" i="8"/>
  <c r="A46" i="8"/>
  <c r="B46" i="8"/>
  <c r="A47" i="8"/>
  <c r="B47" i="8"/>
  <c r="A48" i="8"/>
  <c r="C48" i="8" s="1"/>
  <c r="B48" i="8"/>
  <c r="I6" i="7"/>
  <c r="I7" i="7"/>
  <c r="D23" i="6"/>
  <c r="E23" i="6"/>
  <c r="F23" i="6"/>
  <c r="G23" i="6"/>
  <c r="H23" i="6"/>
  <c r="I23" i="6"/>
  <c r="J23" i="6"/>
  <c r="D24" i="6"/>
  <c r="E24" i="6"/>
  <c r="F24" i="6"/>
  <c r="G24" i="6"/>
  <c r="H24" i="6"/>
  <c r="I24" i="6"/>
  <c r="J24" i="6"/>
  <c r="D25" i="6"/>
  <c r="E25" i="6"/>
  <c r="F25" i="6"/>
  <c r="G25" i="6"/>
  <c r="H25" i="6"/>
  <c r="I25" i="6"/>
  <c r="J25" i="6"/>
  <c r="D26" i="6"/>
  <c r="E26" i="6"/>
  <c r="F26" i="6"/>
  <c r="G26" i="6"/>
  <c r="H26" i="6"/>
  <c r="I26" i="6"/>
  <c r="J26" i="6"/>
  <c r="D27" i="6"/>
  <c r="E27" i="6"/>
  <c r="F27" i="6"/>
  <c r="G27" i="6"/>
  <c r="H27" i="6"/>
  <c r="I27" i="6"/>
  <c r="J27" i="6"/>
  <c r="D28" i="6"/>
  <c r="E28" i="6"/>
  <c r="F28" i="6"/>
  <c r="G28" i="6"/>
  <c r="H28" i="6"/>
  <c r="I28" i="6"/>
  <c r="J28" i="6"/>
  <c r="D29" i="6"/>
  <c r="E29" i="6"/>
  <c r="F29" i="6"/>
  <c r="G29" i="6"/>
  <c r="H29" i="6"/>
  <c r="I29" i="6"/>
  <c r="J29" i="6"/>
  <c r="D30" i="6"/>
  <c r="E30" i="6"/>
  <c r="F30" i="6"/>
  <c r="G30" i="6"/>
  <c r="H30" i="6"/>
  <c r="I30" i="6"/>
  <c r="J30" i="6"/>
  <c r="D31" i="6"/>
  <c r="E31" i="6"/>
  <c r="F31" i="6"/>
  <c r="G31" i="6"/>
  <c r="H31" i="6"/>
  <c r="I31" i="6"/>
  <c r="J31" i="6"/>
  <c r="D32" i="6"/>
  <c r="E32" i="6"/>
  <c r="F32" i="6"/>
  <c r="G32" i="6"/>
  <c r="H32" i="6"/>
  <c r="I32" i="6"/>
  <c r="J32" i="6"/>
  <c r="D33" i="6"/>
  <c r="E33" i="6"/>
  <c r="F33" i="6"/>
  <c r="G33" i="6"/>
  <c r="H33" i="6"/>
  <c r="I33" i="6"/>
  <c r="J33" i="6"/>
  <c r="D34" i="6"/>
  <c r="E34" i="6"/>
  <c r="F34" i="6"/>
  <c r="G34" i="6"/>
  <c r="H34" i="6"/>
  <c r="I34" i="6"/>
  <c r="J34" i="6"/>
  <c r="D35" i="6"/>
  <c r="E35" i="6"/>
  <c r="F35" i="6"/>
  <c r="G35" i="6"/>
  <c r="H35" i="6"/>
  <c r="I35" i="6"/>
  <c r="J35" i="6"/>
  <c r="D36" i="6"/>
  <c r="E36" i="6"/>
  <c r="F36" i="6"/>
  <c r="G36" i="6"/>
  <c r="H36" i="6"/>
  <c r="I36" i="6"/>
  <c r="J36" i="6"/>
  <c r="D37" i="6"/>
  <c r="E37" i="6"/>
  <c r="F37" i="6"/>
  <c r="G37" i="6"/>
  <c r="H37" i="6"/>
  <c r="I37" i="6"/>
  <c r="J37" i="6"/>
  <c r="D38" i="6"/>
  <c r="E38" i="6"/>
  <c r="F38" i="6"/>
  <c r="G38" i="6"/>
  <c r="H38" i="6"/>
  <c r="I38" i="6"/>
  <c r="J38" i="6"/>
  <c r="D39" i="6"/>
  <c r="E39" i="6"/>
  <c r="F39" i="6"/>
  <c r="G39" i="6"/>
  <c r="H39" i="6"/>
  <c r="I39" i="6"/>
  <c r="J39" i="6"/>
  <c r="D40" i="6"/>
  <c r="E40" i="6"/>
  <c r="F40" i="6"/>
  <c r="G40" i="6"/>
  <c r="H40" i="6"/>
  <c r="I40" i="6"/>
  <c r="J40" i="6"/>
  <c r="D41" i="6"/>
  <c r="E41" i="6"/>
  <c r="F41" i="6"/>
  <c r="G41" i="6"/>
  <c r="H41" i="6"/>
  <c r="I41" i="6"/>
  <c r="J41" i="6"/>
  <c r="D42" i="6"/>
  <c r="E42" i="6"/>
  <c r="F42" i="6"/>
  <c r="G42" i="6"/>
  <c r="H42" i="6"/>
  <c r="I42" i="6"/>
  <c r="J42" i="6"/>
  <c r="J9" i="4"/>
  <c r="H19" i="4"/>
  <c r="J29" i="4"/>
  <c r="H39" i="4"/>
  <c r="J49" i="4"/>
  <c r="H59" i="4"/>
  <c r="J69" i="4"/>
  <c r="H79" i="4"/>
  <c r="B66" i="3"/>
  <c r="J3" i="1"/>
  <c r="R14" i="12" l="1"/>
  <c r="D20" i="11"/>
  <c r="R18" i="12"/>
  <c r="B24" i="11" a="1"/>
  <c r="B24" i="11" s="1"/>
  <c r="D24" i="11" s="1"/>
  <c r="R15" i="12"/>
  <c r="B21" i="11" a="1"/>
  <c r="B21" i="11" s="1"/>
  <c r="D21" i="11" s="1"/>
  <c r="R19" i="12"/>
  <c r="B25" i="11" a="1"/>
  <c r="B25" i="11" s="1"/>
  <c r="D25" i="11" s="1"/>
  <c r="R16" i="12"/>
  <c r="B22" i="11" a="1"/>
  <c r="B22" i="11" s="1"/>
  <c r="D22" i="11" s="1"/>
  <c r="B35" i="11"/>
  <c r="D35" i="11" s="1"/>
  <c r="B23" i="11" a="1"/>
  <c r="B23" i="11" s="1"/>
  <c r="D23" i="11" s="1"/>
  <c r="Y6" i="12"/>
  <c r="Y8" i="12" s="1"/>
  <c r="AF6" i="12"/>
  <c r="AF8" i="12" s="1"/>
  <c r="O14" i="12"/>
  <c r="P14" i="12" s="1"/>
  <c r="B40" i="12" a="1"/>
  <c r="B40" i="12" s="1"/>
  <c r="D44" i="8"/>
  <c r="R8" i="12"/>
  <c r="B13" i="11"/>
  <c r="R6" i="12"/>
  <c r="B11" i="11"/>
  <c r="R4" i="12"/>
  <c r="B9" i="11"/>
  <c r="D9" i="11" s="1"/>
  <c r="W14" i="8"/>
  <c r="B14" i="5"/>
  <c r="D14" i="5" s="1"/>
  <c r="W10" i="8"/>
  <c r="B10" i="5"/>
  <c r="D10" i="5" s="1"/>
  <c r="W9" i="8"/>
  <c r="B9" i="5"/>
  <c r="D9" i="5" s="1"/>
  <c r="W12" i="8"/>
  <c r="B12" i="5"/>
  <c r="D12" i="5" s="1"/>
  <c r="W11" i="8"/>
  <c r="D11" i="5"/>
  <c r="U20" i="8"/>
  <c r="S20" i="8" s="1"/>
  <c r="U19" i="8"/>
  <c r="U22" i="8"/>
  <c r="S22" i="8" s="1"/>
  <c r="U18" i="8"/>
  <c r="S18" i="8" s="1"/>
  <c r="U17" i="8"/>
  <c r="L9" i="12"/>
  <c r="M9" i="12" s="1"/>
  <c r="L23" i="9"/>
  <c r="X6" i="12"/>
  <c r="X8" i="12" s="1"/>
  <c r="AE8" i="12"/>
  <c r="F39" i="8"/>
  <c r="O42" i="9"/>
  <c r="B21" i="5"/>
  <c r="D21" i="5" s="1"/>
  <c r="W18" i="8"/>
  <c r="B25" i="5"/>
  <c r="D25" i="5" s="1"/>
  <c r="W22" i="8"/>
  <c r="B22" i="5"/>
  <c r="D22" i="5" s="1"/>
  <c r="W19" i="8"/>
  <c r="D13" i="5"/>
  <c r="W13" i="8"/>
  <c r="O40" i="9"/>
  <c r="W8" i="8"/>
  <c r="L45" i="3"/>
  <c r="L44" i="3"/>
  <c r="L40" i="3"/>
  <c r="H21" i="4"/>
  <c r="H22" i="4"/>
  <c r="J17" i="4"/>
  <c r="J50" i="4"/>
  <c r="F62" i="4"/>
  <c r="J83" i="4"/>
  <c r="R3" i="12"/>
  <c r="D8" i="11"/>
  <c r="D47" i="8"/>
  <c r="D48" i="8"/>
  <c r="D46" i="8"/>
  <c r="D43" i="8"/>
  <c r="J33" i="4"/>
  <c r="J75" i="4"/>
  <c r="B34" i="11"/>
  <c r="D34" i="11" s="1"/>
  <c r="G12" i="10"/>
  <c r="F82" i="4"/>
  <c r="J73" i="4"/>
  <c r="H83" i="4"/>
  <c r="J78" i="4"/>
  <c r="F81" i="4"/>
  <c r="J82" i="4"/>
  <c r="F43" i="4"/>
  <c r="J19" i="4"/>
  <c r="AG4" i="12"/>
  <c r="D12" i="11"/>
  <c r="D14" i="11"/>
  <c r="L18" i="9"/>
  <c r="R9" i="12"/>
  <c r="B32" i="11"/>
  <c r="D32" i="11" s="1"/>
  <c r="G37" i="10"/>
  <c r="G32" i="10"/>
  <c r="G28" i="10"/>
  <c r="Z7" i="12"/>
  <c r="R5" i="12"/>
  <c r="L19" i="9"/>
  <c r="L17" i="9"/>
  <c r="B33" i="11"/>
  <c r="D33" i="11" s="1"/>
  <c r="Z4" i="12"/>
  <c r="G36" i="10"/>
  <c r="G33" i="10"/>
  <c r="G35" i="10"/>
  <c r="E40" i="10"/>
  <c r="E39" i="10" s="1"/>
  <c r="G34" i="10"/>
  <c r="G40" i="10"/>
  <c r="G39" i="10" s="1"/>
  <c r="G31" i="10"/>
  <c r="B37" i="11"/>
  <c r="D37" i="11" s="1"/>
  <c r="F63" i="4"/>
  <c r="J70" i="4"/>
  <c r="H82" i="4"/>
  <c r="J14" i="4"/>
  <c r="B23" i="5"/>
  <c r="D23" i="5" s="1"/>
  <c r="J34" i="4"/>
  <c r="J54" i="4"/>
  <c r="C21" i="10"/>
  <c r="C20" i="10" s="1"/>
  <c r="J30" i="4"/>
  <c r="J61" i="4"/>
  <c r="J63" i="4"/>
  <c r="R7" i="12"/>
  <c r="J35" i="4"/>
  <c r="J59" i="4"/>
  <c r="J53" i="4"/>
  <c r="G9" i="10"/>
  <c r="J76" i="4"/>
  <c r="D10" i="11"/>
  <c r="F35" i="8"/>
  <c r="F41" i="4"/>
  <c r="J57" i="4"/>
  <c r="J58" i="4"/>
  <c r="J43" i="4"/>
  <c r="L22" i="9"/>
  <c r="J15" i="4"/>
  <c r="H62" i="4"/>
  <c r="H63" i="4"/>
  <c r="J36" i="4"/>
  <c r="B20" i="5"/>
  <c r="D20" i="5" s="1"/>
  <c r="G15" i="10"/>
  <c r="AG3" i="12"/>
  <c r="G21" i="10"/>
  <c r="G20" i="10" s="1"/>
  <c r="G16" i="10"/>
  <c r="G14" i="10"/>
  <c r="G17" i="10"/>
  <c r="G13" i="10"/>
  <c r="G18" i="10"/>
  <c r="M4" i="12"/>
  <c r="Q20" i="12"/>
  <c r="L24" i="9"/>
  <c r="AG7" i="12"/>
  <c r="R17" i="12"/>
  <c r="I5" i="12"/>
  <c r="J5" i="12" s="1"/>
  <c r="B36" i="11"/>
  <c r="D36" i="11" s="1"/>
  <c r="Q10" i="12"/>
  <c r="I9" i="12"/>
  <c r="J9" i="12" s="1"/>
  <c r="Z3" i="12"/>
  <c r="J3" i="12"/>
  <c r="J79" i="4"/>
  <c r="J16" i="4"/>
  <c r="J38" i="4"/>
  <c r="J41" i="4"/>
  <c r="J37" i="4"/>
  <c r="J74" i="4"/>
  <c r="J77" i="4"/>
  <c r="J39" i="4"/>
  <c r="H31" i="3" s="1"/>
  <c r="J81" i="4"/>
  <c r="H41" i="4"/>
  <c r="H43" i="4"/>
  <c r="J55" i="4"/>
  <c r="J10" i="4"/>
  <c r="J42" i="4"/>
  <c r="J13" i="4"/>
  <c r="J62" i="4"/>
  <c r="J56" i="4"/>
  <c r="J18" i="4"/>
  <c r="F21" i="4"/>
  <c r="F22" i="4" s="1"/>
  <c r="U21" i="8"/>
  <c r="S21" i="8" s="1"/>
  <c r="B24" i="5"/>
  <c r="D24" i="5" s="1"/>
  <c r="O5" i="8"/>
  <c r="Z5" i="8"/>
  <c r="F36" i="8"/>
  <c r="V23" i="8"/>
  <c r="T23" i="8"/>
  <c r="V15" i="8"/>
  <c r="F31" i="9" l="1"/>
  <c r="G31" i="9" s="1"/>
  <c r="H31" i="9"/>
  <c r="I31" i="9" s="1"/>
  <c r="J31" i="3"/>
  <c r="N32" i="8" s="1"/>
  <c r="O32" i="8" s="1"/>
  <c r="I31" i="3"/>
  <c r="J32" i="8" s="1"/>
  <c r="K32" i="8" s="1"/>
  <c r="G31" i="3"/>
  <c r="J21" i="4"/>
  <c r="J22" i="4"/>
  <c r="F23" i="4"/>
  <c r="J23" i="4" s="1"/>
  <c r="R20" i="12"/>
  <c r="B71" i="9" s="1"/>
  <c r="O20" i="12"/>
  <c r="L65" i="9"/>
  <c r="Q53" i="9" s="1" a="1"/>
  <c r="Q53" i="9" s="1"/>
  <c r="P20" i="12"/>
  <c r="O39" i="9"/>
  <c r="S19" i="8"/>
  <c r="L54" i="3" s="1"/>
  <c r="S17" i="8"/>
  <c r="L52" i="3" s="1"/>
  <c r="L53" i="3"/>
  <c r="O43" i="9"/>
  <c r="L56" i="3"/>
  <c r="L57" i="3"/>
  <c r="L55" i="3"/>
  <c r="O44" i="9"/>
  <c r="O41" i="9"/>
  <c r="P10" i="12"/>
  <c r="L42" i="3"/>
  <c r="L41" i="3"/>
  <c r="I25" i="3"/>
  <c r="J11" i="8" s="1"/>
  <c r="F30" i="5" a="1"/>
  <c r="F30" i="5" s="1"/>
  <c r="U23" i="8"/>
  <c r="H25" i="9"/>
  <c r="I25" i="9" s="1"/>
  <c r="L11" i="12" s="1"/>
  <c r="F42" i="11" a="1"/>
  <c r="F42" i="11" s="1"/>
  <c r="F43" i="11" a="1"/>
  <c r="F43" i="11" s="1"/>
  <c r="D13" i="11"/>
  <c r="R10" i="12"/>
  <c r="B46" i="9" s="1"/>
  <c r="F28" i="5" a="1"/>
  <c r="F28" i="5" s="1"/>
  <c r="W15" i="8"/>
  <c r="B46" i="3" s="1"/>
  <c r="J25" i="3"/>
  <c r="J26" i="3" s="1"/>
  <c r="G25" i="3"/>
  <c r="H25" i="3"/>
  <c r="F11" i="8" s="1"/>
  <c r="F31" i="5" a="1"/>
  <c r="F31" i="5" s="1"/>
  <c r="W23" i="8"/>
  <c r="B58" i="3" s="1"/>
  <c r="E30" i="5" a="1"/>
  <c r="E30" i="5" s="1"/>
  <c r="AD2" i="8" s="1"/>
  <c r="U15" i="8"/>
  <c r="B47" i="3" s="1"/>
  <c r="F25" i="9"/>
  <c r="D11" i="11"/>
  <c r="F29" i="5" a="1"/>
  <c r="F29" i="5" s="1"/>
  <c r="F32" i="8"/>
  <c r="G32" i="8" s="1"/>
  <c r="L39" i="3"/>
  <c r="L31" i="3" l="1"/>
  <c r="B32" i="8"/>
  <c r="C32" i="8" s="1"/>
  <c r="C42" i="11" a="1"/>
  <c r="C42" i="11" s="1"/>
  <c r="S23" i="8"/>
  <c r="L44" i="7"/>
  <c r="I30" i="12"/>
  <c r="J30" i="12" s="1"/>
  <c r="B30" i="12"/>
  <c r="C30" i="12" s="1"/>
  <c r="L30" i="12"/>
  <c r="M30" i="12" s="1"/>
  <c r="E30" i="12"/>
  <c r="F30" i="12" s="1"/>
  <c r="L71" i="9"/>
  <c r="O46" i="9"/>
  <c r="B47" i="9" s="1"/>
  <c r="L46" i="9"/>
  <c r="I26" i="3"/>
  <c r="E42" i="11" a="1"/>
  <c r="E42" i="11" s="1"/>
  <c r="E43" i="11" a="1"/>
  <c r="E43" i="11" s="1"/>
  <c r="M19" i="12" s="1"/>
  <c r="S15" i="8"/>
  <c r="L43" i="3"/>
  <c r="L46" i="3" s="1"/>
  <c r="V2" i="8"/>
  <c r="N11" i="8"/>
  <c r="O11" i="8" s="1"/>
  <c r="O12" i="8" s="1"/>
  <c r="H26" i="9"/>
  <c r="H26" i="3"/>
  <c r="K25" i="9"/>
  <c r="K26" i="9" s="1"/>
  <c r="E11" i="12"/>
  <c r="F11" i="12" s="1"/>
  <c r="F12" i="12" s="1"/>
  <c r="G26" i="3"/>
  <c r="F44" i="11"/>
  <c r="I26" i="9"/>
  <c r="Z13" i="12"/>
  <c r="K31" i="9"/>
  <c r="B11" i="12"/>
  <c r="C11" i="12" s="1"/>
  <c r="F26" i="9"/>
  <c r="M11" i="12"/>
  <c r="M12" i="12" s="1"/>
  <c r="L12" i="12"/>
  <c r="B11" i="8"/>
  <c r="C11" i="8" s="1"/>
  <c r="C12" i="8" s="1"/>
  <c r="L25" i="3"/>
  <c r="L26" i="3" s="1"/>
  <c r="E29" i="5" a="1"/>
  <c r="E29" i="5" s="1"/>
  <c r="AC15" i="8" s="1"/>
  <c r="V4" i="8"/>
  <c r="F32" i="5"/>
  <c r="E28" i="5" a="1"/>
  <c r="E28" i="5" s="1"/>
  <c r="AB2" i="8" s="1"/>
  <c r="G30" i="5"/>
  <c r="K19" i="8" s="1"/>
  <c r="AD15" i="8"/>
  <c r="E31" i="5" a="1"/>
  <c r="E31" i="5" s="1"/>
  <c r="G31" i="5" s="1"/>
  <c r="O19" i="8" s="1"/>
  <c r="L19" i="8"/>
  <c r="G25" i="9"/>
  <c r="I11" i="12" s="1"/>
  <c r="S1" i="8"/>
  <c r="S4" i="8" s="1"/>
  <c r="S27" i="8" s="1"/>
  <c r="J12" i="8"/>
  <c r="K11" i="8"/>
  <c r="K12" i="8" s="1"/>
  <c r="G11" i="8"/>
  <c r="G12" i="8" s="1"/>
  <c r="F12" i="8"/>
  <c r="M13" i="12"/>
  <c r="J13" i="8"/>
  <c r="F13" i="12"/>
  <c r="G14" i="8"/>
  <c r="O13" i="8"/>
  <c r="L14" i="12"/>
  <c r="G13" i="8"/>
  <c r="K13" i="8"/>
  <c r="M14" i="12"/>
  <c r="O14" i="8"/>
  <c r="F14" i="12"/>
  <c r="F13" i="8"/>
  <c r="L13" i="12"/>
  <c r="F14" i="8"/>
  <c r="K14" i="8"/>
  <c r="J14" i="8"/>
  <c r="C14" i="8"/>
  <c r="C13" i="8"/>
  <c r="G28" i="3" l="1"/>
  <c r="I28" i="9"/>
  <c r="H28" i="9"/>
  <c r="J28" i="3"/>
  <c r="I28" i="3"/>
  <c r="H28" i="3"/>
  <c r="L28" i="3"/>
  <c r="K57" i="9" a="1"/>
  <c r="K57" i="9" s="1"/>
  <c r="C37" i="8"/>
  <c r="D37" i="8"/>
  <c r="E37" i="8"/>
  <c r="E38" i="8" s="1"/>
  <c r="E40" i="8" s="1"/>
  <c r="W5" i="12"/>
  <c r="W6" i="12" s="1"/>
  <c r="W8" i="12" s="1"/>
  <c r="AD5" i="12"/>
  <c r="AD6" i="12" s="1"/>
  <c r="AD8" i="12" s="1"/>
  <c r="S24" i="8"/>
  <c r="B37" i="8"/>
  <c r="B38" i="8" s="1"/>
  <c r="D38" i="8"/>
  <c r="D40" i="8" s="1"/>
  <c r="C38" i="8"/>
  <c r="C40" i="8" s="1"/>
  <c r="L45" i="7"/>
  <c r="L31" i="9"/>
  <c r="Z9" i="8"/>
  <c r="B5" i="5" s="1"/>
  <c r="V5" i="8"/>
  <c r="E12" i="12"/>
  <c r="N12" i="8"/>
  <c r="E5" i="11"/>
  <c r="B12" i="8"/>
  <c r="E44" i="11"/>
  <c r="M20" i="12"/>
  <c r="B12" i="12"/>
  <c r="H19" i="8"/>
  <c r="S42" i="8"/>
  <c r="G26" i="9"/>
  <c r="Z12" i="12" s="1"/>
  <c r="Z15" i="12" s="1"/>
  <c r="L25" i="9"/>
  <c r="L26" i="9" s="1"/>
  <c r="J19" i="12"/>
  <c r="AC2" i="8"/>
  <c r="G29" i="5"/>
  <c r="G19" i="8" s="1"/>
  <c r="G20" i="8" s="1"/>
  <c r="G28" i="5"/>
  <c r="C19" i="8" s="1"/>
  <c r="C20" i="8" s="1"/>
  <c r="AB15" i="8"/>
  <c r="K20" i="8"/>
  <c r="D19" i="8"/>
  <c r="E32" i="5"/>
  <c r="G32" i="5" s="1"/>
  <c r="AE15" i="8"/>
  <c r="P19" i="8"/>
  <c r="AE2" i="8"/>
  <c r="C19" i="12"/>
  <c r="V11" i="12"/>
  <c r="V14" i="12" s="1"/>
  <c r="C12" i="12"/>
  <c r="J11" i="12"/>
  <c r="I12" i="12"/>
  <c r="B41" i="12" s="1"/>
  <c r="B42" i="12" s="1"/>
  <c r="AG15" i="8"/>
  <c r="AG2" i="8"/>
  <c r="H12" i="8"/>
  <c r="P12" i="8"/>
  <c r="AI15" i="8"/>
  <c r="AI2" i="8"/>
  <c r="O20" i="8"/>
  <c r="AH15" i="8"/>
  <c r="AH2" i="8"/>
  <c r="L12" i="8"/>
  <c r="AF15" i="8"/>
  <c r="D12" i="8"/>
  <c r="AF2" i="8"/>
  <c r="S6" i="8"/>
  <c r="E14" i="12"/>
  <c r="I14" i="12"/>
  <c r="AL2" i="8"/>
  <c r="N13" i="8"/>
  <c r="G15" i="8"/>
  <c r="AM15" i="8"/>
  <c r="N14" i="8"/>
  <c r="E13" i="12"/>
  <c r="B13" i="12"/>
  <c r="P14" i="8"/>
  <c r="H14" i="8"/>
  <c r="H13" i="8"/>
  <c r="K15" i="8"/>
  <c r="J15" i="8"/>
  <c r="M15" i="12"/>
  <c r="C14" i="12"/>
  <c r="J16" i="8"/>
  <c r="P13" i="8"/>
  <c r="K16" i="8"/>
  <c r="G16" i="8"/>
  <c r="F16" i="12"/>
  <c r="B14" i="12"/>
  <c r="L14" i="8"/>
  <c r="AL15" i="8"/>
  <c r="M22" i="12"/>
  <c r="F15" i="12"/>
  <c r="C13" i="12"/>
  <c r="F16" i="8"/>
  <c r="AK2" i="8"/>
  <c r="O15" i="8"/>
  <c r="L13" i="8"/>
  <c r="M21" i="12"/>
  <c r="F15" i="8"/>
  <c r="L16" i="12"/>
  <c r="M16" i="12"/>
  <c r="AK15" i="8"/>
  <c r="AM2" i="8"/>
  <c r="L15" i="12"/>
  <c r="O16" i="8"/>
  <c r="I13" i="12"/>
  <c r="O22" i="8"/>
  <c r="K21" i="8"/>
  <c r="G22" i="8"/>
  <c r="G21" i="8"/>
  <c r="K22" i="8"/>
  <c r="O21" i="8"/>
  <c r="AJ15" i="8"/>
  <c r="D13" i="8"/>
  <c r="C21" i="8"/>
  <c r="D14" i="8"/>
  <c r="B13" i="8"/>
  <c r="B14" i="8"/>
  <c r="C22" i="8"/>
  <c r="C15" i="8"/>
  <c r="AJ2" i="8"/>
  <c r="C16" i="8"/>
  <c r="G27" i="3" l="1"/>
  <c r="F28" i="9"/>
  <c r="H27" i="9"/>
  <c r="I27" i="9"/>
  <c r="J27" i="3"/>
  <c r="I27" i="3"/>
  <c r="H27" i="3"/>
  <c r="L17" i="12"/>
  <c r="M17" i="12"/>
  <c r="G17" i="8"/>
  <c r="F17" i="8"/>
  <c r="F17" i="12"/>
  <c r="K17" i="8"/>
  <c r="C17" i="8"/>
  <c r="O17" i="8"/>
  <c r="J17" i="8"/>
  <c r="B36" i="12"/>
  <c r="B37" i="12" s="1"/>
  <c r="B52" i="8"/>
  <c r="B53" i="8" s="1"/>
  <c r="F61" i="3" s="1"/>
  <c r="D62" i="3" s="1"/>
  <c r="G75" i="9"/>
  <c r="D76" i="9" s="1"/>
  <c r="V5" i="12"/>
  <c r="V6" i="12" s="1"/>
  <c r="L58" i="3"/>
  <c r="F37" i="8"/>
  <c r="F38" i="8"/>
  <c r="B40" i="8"/>
  <c r="F40" i="8" s="1"/>
  <c r="T30" i="8"/>
  <c r="T31" i="8" s="1"/>
  <c r="H20" i="8"/>
  <c r="K27" i="8"/>
  <c r="K26" i="8"/>
  <c r="G26" i="8"/>
  <c r="C20" i="12"/>
  <c r="P20" i="8"/>
  <c r="J12" i="12"/>
  <c r="W11" i="12"/>
  <c r="W14" i="12" s="1"/>
  <c r="V17" i="12"/>
  <c r="V26" i="12"/>
  <c r="V16" i="12"/>
  <c r="L59" i="9" s="1"/>
  <c r="V28" i="12"/>
  <c r="K28" i="9"/>
  <c r="C26" i="8"/>
  <c r="L20" i="8"/>
  <c r="O27" i="8"/>
  <c r="D20" i="8"/>
  <c r="M24" i="12"/>
  <c r="B15" i="12"/>
  <c r="L22" i="8"/>
  <c r="H22" i="8"/>
  <c r="H21" i="8"/>
  <c r="J13" i="12"/>
  <c r="N15" i="8"/>
  <c r="M23" i="12"/>
  <c r="I15" i="12"/>
  <c r="H15" i="8"/>
  <c r="C16" i="12"/>
  <c r="I16" i="12"/>
  <c r="J14" i="12"/>
  <c r="N16" i="8"/>
  <c r="B16" i="12"/>
  <c r="P16" i="8"/>
  <c r="L15" i="8"/>
  <c r="P22" i="8"/>
  <c r="E16" i="12"/>
  <c r="P21" i="8"/>
  <c r="C15" i="12"/>
  <c r="L16" i="8"/>
  <c r="H16" i="8"/>
  <c r="P15" i="8"/>
  <c r="C22" i="12"/>
  <c r="L21" i="8"/>
  <c r="E15" i="12"/>
  <c r="C21" i="12"/>
  <c r="K24" i="8"/>
  <c r="G24" i="8"/>
  <c r="K23" i="8"/>
  <c r="O23" i="8"/>
  <c r="O24" i="8"/>
  <c r="G23" i="8"/>
  <c r="B16" i="8"/>
  <c r="D15" i="8"/>
  <c r="D21" i="8"/>
  <c r="D16" i="8"/>
  <c r="C23" i="8"/>
  <c r="B15" i="8"/>
  <c r="C24" i="8"/>
  <c r="D22" i="8"/>
  <c r="G28" i="9" l="1"/>
  <c r="F27" i="9"/>
  <c r="O28" i="8"/>
  <c r="L27" i="3"/>
  <c r="K28" i="8"/>
  <c r="G28" i="8"/>
  <c r="C28" i="8"/>
  <c r="C25" i="8"/>
  <c r="C29" i="8" s="1"/>
  <c r="B17" i="8"/>
  <c r="M25" i="12"/>
  <c r="M27" i="12" s="1"/>
  <c r="I29" i="9" s="1"/>
  <c r="E17" i="12"/>
  <c r="K25" i="8"/>
  <c r="K29" i="8" s="1"/>
  <c r="I29" i="3" s="1"/>
  <c r="P17" i="8"/>
  <c r="N17" i="8"/>
  <c r="I17" i="12"/>
  <c r="B17" i="12"/>
  <c r="C17" i="12"/>
  <c r="D17" i="8"/>
  <c r="O25" i="8"/>
  <c r="O29" i="8" s="1"/>
  <c r="G25" i="8"/>
  <c r="G29" i="8" s="1"/>
  <c r="H17" i="8"/>
  <c r="L17" i="8"/>
  <c r="AB16" i="8"/>
  <c r="AF16" i="8" s="1"/>
  <c r="AC16" i="8"/>
  <c r="AG16" i="8" s="1"/>
  <c r="AD16" i="8"/>
  <c r="AH16" i="8" s="1"/>
  <c r="AE16" i="8"/>
  <c r="AI16" i="8" s="1"/>
  <c r="H27" i="8"/>
  <c r="P27" i="8"/>
  <c r="Z5" i="12"/>
  <c r="AC5" i="12"/>
  <c r="AG5" i="12" s="1"/>
  <c r="V8" i="12"/>
  <c r="Z8" i="12" s="1"/>
  <c r="Z6" i="12"/>
  <c r="C27" i="8"/>
  <c r="G27" i="8"/>
  <c r="W16" i="12"/>
  <c r="L73" i="9" s="1"/>
  <c r="W17" i="12"/>
  <c r="W26" i="12"/>
  <c r="V23" i="12"/>
  <c r="V29" i="12"/>
  <c r="L28" i="9"/>
  <c r="J20" i="12"/>
  <c r="L27" i="8"/>
  <c r="L26" i="8"/>
  <c r="D27" i="8"/>
  <c r="D26" i="8"/>
  <c r="O26" i="8"/>
  <c r="J16" i="12"/>
  <c r="L24" i="8"/>
  <c r="C23" i="12"/>
  <c r="H23" i="8"/>
  <c r="J21" i="12"/>
  <c r="P23" i="8"/>
  <c r="P24" i="8"/>
  <c r="C24" i="12"/>
  <c r="H24" i="8"/>
  <c r="J22" i="12"/>
  <c r="L23" i="8"/>
  <c r="J15" i="12"/>
  <c r="D23" i="8"/>
  <c r="D24" i="8"/>
  <c r="AL16" i="8"/>
  <c r="AJ16" i="8"/>
  <c r="AM16" i="8"/>
  <c r="AK16" i="8"/>
  <c r="G27" i="9" l="1"/>
  <c r="L27" i="9" s="1"/>
  <c r="L29" i="3"/>
  <c r="K27" i="9"/>
  <c r="P28" i="8"/>
  <c r="L28" i="8"/>
  <c r="H28" i="8"/>
  <c r="D28" i="8"/>
  <c r="L25" i="8"/>
  <c r="L29" i="8" s="1"/>
  <c r="H29" i="3"/>
  <c r="P25" i="8"/>
  <c r="P29" i="8" s="1"/>
  <c r="J29" i="3"/>
  <c r="J17" i="12"/>
  <c r="C25" i="12"/>
  <c r="C27" i="12" s="1"/>
  <c r="F29" i="9" s="1"/>
  <c r="D25" i="8"/>
  <c r="D29" i="8" s="1"/>
  <c r="H25" i="8"/>
  <c r="H29" i="8" s="1"/>
  <c r="G29" i="3"/>
  <c r="AC6" i="12"/>
  <c r="AC8" i="12" s="1"/>
  <c r="AG8" i="12" s="1"/>
  <c r="H26" i="8"/>
  <c r="P26" i="8"/>
  <c r="W23" i="12"/>
  <c r="J23" i="12"/>
  <c r="J24" i="12"/>
  <c r="L32" i="3" l="1"/>
  <c r="L33" i="3" s="1"/>
  <c r="S40" i="8" s="1"/>
  <c r="S30" i="8"/>
  <c r="S31" i="8" s="1"/>
  <c r="S26" i="8"/>
  <c r="AN15" i="8"/>
  <c r="AO15" i="8" s="1"/>
  <c r="AN2" i="8"/>
  <c r="AO2" i="8" s="1"/>
  <c r="AN16" i="8"/>
  <c r="AO16" i="8" s="1"/>
  <c r="AE17" i="8" s="1"/>
  <c r="AI17" i="8" s="1"/>
  <c r="J25" i="12"/>
  <c r="L29" i="9" s="1"/>
  <c r="L32" i="9" s="1"/>
  <c r="AG6" i="12"/>
  <c r="AB17" i="8"/>
  <c r="AF17" i="8" s="1"/>
  <c r="AD17" i="8"/>
  <c r="AH17" i="8" s="1"/>
  <c r="AC17" i="8"/>
  <c r="AG17" i="8" s="1"/>
  <c r="AL17" i="8"/>
  <c r="AM17" i="8"/>
  <c r="AJ17" i="8"/>
  <c r="AK17" i="8"/>
  <c r="T40" i="8" l="1"/>
  <c r="T41" i="8" s="1"/>
  <c r="S34" i="8" s="1"/>
  <c r="J60" i="3"/>
  <c r="G43" i="8"/>
  <c r="AE3" i="8"/>
  <c r="AI3" i="8" s="1"/>
  <c r="AC3" i="8"/>
  <c r="AG3" i="8" s="1"/>
  <c r="AB3" i="8"/>
  <c r="AF3" i="8" s="1"/>
  <c r="AD3" i="8"/>
  <c r="AH3" i="8" s="1"/>
  <c r="L33" i="9"/>
  <c r="W19" i="12" s="1"/>
  <c r="W20" i="12" s="1"/>
  <c r="W24" i="12" s="1"/>
  <c r="G73" i="9" s="1"/>
  <c r="AN17" i="8"/>
  <c r="AO17" i="8" s="1"/>
  <c r="AD18" i="8" s="1"/>
  <c r="AH18" i="8" s="1"/>
  <c r="S41" i="8"/>
  <c r="S33" i="8" s="1"/>
  <c r="T33" i="8"/>
  <c r="W21" i="12"/>
  <c r="G74" i="9" s="1"/>
  <c r="J27" i="12"/>
  <c r="G29" i="9" s="1"/>
  <c r="AK3" i="8"/>
  <c r="AL3" i="8"/>
  <c r="AM3" i="8"/>
  <c r="AL18" i="8"/>
  <c r="AJ3" i="8"/>
  <c r="AN3" i="8" l="1"/>
  <c r="AO3" i="8" s="1"/>
  <c r="AB18" i="8"/>
  <c r="AF18" i="8" s="1"/>
  <c r="AE18" i="8"/>
  <c r="AI18" i="8" s="1"/>
  <c r="AC18" i="8"/>
  <c r="AG18" i="8" s="1"/>
  <c r="J61" i="3"/>
  <c r="G44" i="8"/>
  <c r="F60" i="3" s="1"/>
  <c r="AJ18" i="8"/>
  <c r="AK18" i="8"/>
  <c r="AM18" i="8"/>
  <c r="AC4" i="8" l="1"/>
  <c r="AG4" i="8" s="1"/>
  <c r="AB4" i="8"/>
  <c r="AF4" i="8" s="1"/>
  <c r="AD4" i="8"/>
  <c r="AH4" i="8" s="1"/>
  <c r="AE4" i="8"/>
  <c r="AI4" i="8" s="1"/>
  <c r="AN18" i="8"/>
  <c r="AO18" i="8" s="1"/>
  <c r="AC19" i="8" s="1"/>
  <c r="AG19" i="8" s="1"/>
  <c r="AK4" i="8"/>
  <c r="AK19" i="8"/>
  <c r="AL4" i="8"/>
  <c r="AJ4" i="8"/>
  <c r="AM4" i="8"/>
  <c r="AN4" i="8" l="1"/>
  <c r="AO4" i="8" s="1"/>
  <c r="AD19" i="8"/>
  <c r="AH19" i="8" s="1"/>
  <c r="AE19" i="8"/>
  <c r="AI19" i="8" s="1"/>
  <c r="AB19" i="8"/>
  <c r="AF19" i="8" s="1"/>
  <c r="AL19" i="8"/>
  <c r="AJ19" i="8"/>
  <c r="AM19" i="8"/>
  <c r="AE5" i="8" l="1"/>
  <c r="AI5" i="8" s="1"/>
  <c r="AB5" i="8"/>
  <c r="AF5" i="8" s="1"/>
  <c r="AD5" i="8"/>
  <c r="AH5" i="8" s="1"/>
  <c r="AC5" i="8"/>
  <c r="AG5" i="8" s="1"/>
  <c r="AN19" i="8"/>
  <c r="AO19" i="8" s="1"/>
  <c r="AE20" i="8" s="1"/>
  <c r="AI20" i="8" s="1"/>
  <c r="AL5" i="8"/>
  <c r="AJ5" i="8"/>
  <c r="AM20" i="8"/>
  <c r="AM5" i="8"/>
  <c r="AK5" i="8"/>
  <c r="AN5" i="8" l="1"/>
  <c r="AO5" i="8" s="1"/>
  <c r="AD20" i="8"/>
  <c r="AH20" i="8" s="1"/>
  <c r="AC20" i="8"/>
  <c r="AG20" i="8" s="1"/>
  <c r="AB20" i="8"/>
  <c r="AF20" i="8" s="1"/>
  <c r="AL20" i="8"/>
  <c r="AJ20" i="8"/>
  <c r="AK20" i="8"/>
  <c r="AC6" i="8" l="1"/>
  <c r="AG6" i="8" s="1"/>
  <c r="AB6" i="8"/>
  <c r="AF6" i="8" s="1"/>
  <c r="AD6" i="8"/>
  <c r="AH6" i="8" s="1"/>
  <c r="AE6" i="8"/>
  <c r="AI6" i="8" s="1"/>
  <c r="AN20" i="8"/>
  <c r="AO20" i="8" s="1"/>
  <c r="AB21" i="8"/>
  <c r="AF21" i="8" s="1"/>
  <c r="AE21" i="8"/>
  <c r="AI21" i="8" s="1"/>
  <c r="AD21" i="8"/>
  <c r="AH21" i="8" s="1"/>
  <c r="AC21" i="8"/>
  <c r="AG21" i="8" s="1"/>
  <c r="AJ21" i="8"/>
  <c r="AL6" i="8"/>
  <c r="AM21" i="8"/>
  <c r="AL21" i="8"/>
  <c r="AK21" i="8"/>
  <c r="AJ6" i="8"/>
  <c r="AK6" i="8"/>
  <c r="AM6" i="8"/>
  <c r="AN6" i="8" l="1"/>
  <c r="AO6" i="8" s="1"/>
  <c r="AN21" i="8"/>
  <c r="AO21" i="8" s="1"/>
  <c r="AD7" i="8" l="1"/>
  <c r="AH7" i="8" s="1"/>
  <c r="AC7" i="8"/>
  <c r="AG7" i="8" s="1"/>
  <c r="AB7" i="8"/>
  <c r="AF7" i="8" s="1"/>
  <c r="AE7" i="8"/>
  <c r="AI7" i="8" s="1"/>
  <c r="AD22" i="8"/>
  <c r="AH22" i="8" s="1"/>
  <c r="AC22" i="8"/>
  <c r="AG22" i="8" s="1"/>
  <c r="AE22" i="8"/>
  <c r="AI22" i="8" s="1"/>
  <c r="AB22" i="8"/>
  <c r="AF22" i="8" s="1"/>
  <c r="AL22" i="8"/>
  <c r="AK22" i="8"/>
  <c r="AL7" i="8"/>
  <c r="AJ7" i="8"/>
  <c r="AJ22" i="8"/>
  <c r="AM22" i="8"/>
  <c r="AM7" i="8"/>
  <c r="AK7" i="8"/>
  <c r="AN7" i="8" l="1"/>
  <c r="AO7" i="8" s="1"/>
  <c r="AN22" i="8"/>
  <c r="AO22" i="8" s="1"/>
  <c r="AE8" i="8" l="1"/>
  <c r="AI8" i="8" s="1"/>
  <c r="AD8" i="8"/>
  <c r="AH8" i="8" s="1"/>
  <c r="AC8" i="8"/>
  <c r="AG8" i="8" s="1"/>
  <c r="AB8" i="8"/>
  <c r="AF8" i="8" s="1"/>
  <c r="AB23" i="8"/>
  <c r="AF23" i="8" s="1"/>
  <c r="AE23" i="8"/>
  <c r="AI23" i="8" s="1"/>
  <c r="AC23" i="8"/>
  <c r="AG23" i="8" s="1"/>
  <c r="AD23" i="8"/>
  <c r="AH23" i="8" s="1"/>
  <c r="AJ23" i="8"/>
  <c r="AL23" i="8"/>
  <c r="AK8" i="8"/>
  <c r="AM23" i="8"/>
  <c r="AL8" i="8"/>
  <c r="AJ8" i="8"/>
  <c r="AM8" i="8"/>
  <c r="AK23" i="8"/>
  <c r="AN8" i="8" l="1"/>
  <c r="AO8" i="8" s="1"/>
  <c r="AN23" i="8"/>
  <c r="AO23" i="8" s="1"/>
  <c r="AD9" i="8" l="1"/>
  <c r="AH9" i="8" s="1"/>
  <c r="AE9" i="8"/>
  <c r="AI9" i="8" s="1"/>
  <c r="AB9" i="8"/>
  <c r="AF9" i="8" s="1"/>
  <c r="AC9" i="8"/>
  <c r="AG9" i="8" s="1"/>
  <c r="AD24" i="8"/>
  <c r="AH24" i="8" s="1"/>
  <c r="AB24" i="8"/>
  <c r="AF24" i="8" s="1"/>
  <c r="AE24" i="8"/>
  <c r="AI24" i="8" s="1"/>
  <c r="AC24" i="8"/>
  <c r="AG24" i="8" s="1"/>
  <c r="AL24" i="8"/>
  <c r="AK24" i="8"/>
  <c r="AJ9" i="8"/>
  <c r="AL9" i="8"/>
  <c r="AK9" i="8"/>
  <c r="AJ24" i="8"/>
  <c r="AM9" i="8"/>
  <c r="AM24" i="8"/>
  <c r="AN9" i="8" l="1"/>
  <c r="AO9" i="8" s="1"/>
  <c r="AN24" i="8"/>
  <c r="AO24" i="8" s="1"/>
  <c r="AB10" i="8" l="1"/>
  <c r="AF10" i="8" s="1"/>
  <c r="AC10" i="8"/>
  <c r="AG10" i="8" s="1"/>
  <c r="AE10" i="8"/>
  <c r="AI10" i="8" s="1"/>
  <c r="AD10" i="8"/>
  <c r="AH10" i="8" s="1"/>
  <c r="AC25" i="8"/>
  <c r="AG25" i="8" s="1"/>
  <c r="AE25" i="8"/>
  <c r="AI25" i="8" s="1"/>
  <c r="AD25" i="8"/>
  <c r="AH25" i="8" s="1"/>
  <c r="AB25" i="8"/>
  <c r="AF25" i="8" s="1"/>
  <c r="AK25" i="8"/>
  <c r="AL10" i="8"/>
  <c r="AM25" i="8"/>
  <c r="AJ10" i="8"/>
  <c r="AL25" i="8"/>
  <c r="AK10" i="8"/>
  <c r="AM10" i="8"/>
  <c r="AJ25" i="8"/>
  <c r="AN10" i="8" l="1"/>
  <c r="AO10" i="8" s="1"/>
  <c r="AN25" i="8"/>
  <c r="AO25" i="8" s="1"/>
  <c r="T37" i="8" s="1"/>
  <c r="AE11" i="8" l="1"/>
  <c r="AI11" i="8" s="1"/>
  <c r="AC11" i="8"/>
  <c r="AG11" i="8" s="1"/>
  <c r="AB11" i="8"/>
  <c r="AF11" i="8" s="1"/>
  <c r="AD11" i="8"/>
  <c r="AH11" i="8" s="1"/>
  <c r="G67" i="3"/>
  <c r="T36" i="8"/>
  <c r="L67" i="3" s="1"/>
  <c r="AK11" i="8"/>
  <c r="AJ11" i="8"/>
  <c r="AM11" i="8"/>
  <c r="AL11" i="8"/>
  <c r="AN11" i="8" l="1"/>
  <c r="AO11" i="8" s="1"/>
  <c r="AB12" i="8" l="1"/>
  <c r="AF12" i="8" s="1"/>
  <c r="AC12" i="8"/>
  <c r="AG12" i="8" s="1"/>
  <c r="AE12" i="8"/>
  <c r="AI12" i="8" s="1"/>
  <c r="AD12" i="8"/>
  <c r="AH12" i="8" s="1"/>
  <c r="AK12" i="8"/>
  <c r="AJ12" i="8"/>
  <c r="AL12" i="8"/>
  <c r="AM12" i="8"/>
  <c r="AN12" i="8" l="1"/>
  <c r="AO12" i="8" s="1"/>
  <c r="S37" i="8" s="1"/>
  <c r="S36" i="8" s="1"/>
  <c r="V19" i="12"/>
  <c r="V20" i="12" s="1"/>
  <c r="V24" i="12" s="1"/>
  <c r="G59" i="9" s="1"/>
  <c r="C43" i="11" a="1"/>
  <c r="C43" i="11" s="1"/>
  <c r="C44" i="11" s="1"/>
  <c r="V21" i="12" l="1"/>
  <c r="G60" i="9" s="1"/>
  <c r="L66" i="3"/>
  <c r="G66" i="3"/>
  <c r="F19" i="12"/>
  <c r="F20" i="12" s="1"/>
  <c r="F21" i="12"/>
  <c r="F24" i="12"/>
  <c r="F22" i="12"/>
  <c r="F23" i="12"/>
  <c r="F25" i="12" l="1"/>
  <c r="F27" i="12" l="1"/>
  <c r="H29" i="9" s="1"/>
  <c r="K29" i="9"/>
  <c r="K32" i="9" s="1"/>
  <c r="K33"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Ramanji</author>
    <author>Bensley, Philip</author>
    <author>Philip Bensley</author>
    <author>pisuma</author>
  </authors>
  <commentList>
    <comment ref="A1" authorId="0" shapeId="0" xr:uid="{00000000-0006-0000-0C00-000001000000}">
      <text>
        <r>
          <rPr>
            <b/>
            <sz val="8"/>
            <color indexed="81"/>
            <rFont val="Tahoma"/>
            <family val="2"/>
          </rPr>
          <t>Ramanji:</t>
        </r>
        <r>
          <rPr>
            <sz val="8"/>
            <color indexed="81"/>
            <rFont val="Tahoma"/>
            <family val="2"/>
          </rPr>
          <t xml:space="preserve">
rates as at 1 July 2019</t>
        </r>
      </text>
    </comment>
    <comment ref="Q1" authorId="1" shapeId="0" xr:uid="{00000000-0006-0000-0C00-000002000000}">
      <text>
        <r>
          <rPr>
            <b/>
            <sz val="9"/>
            <color indexed="81"/>
            <rFont val="Tahoma"/>
            <family val="2"/>
          </rPr>
          <t>Bensley, Philip:</t>
        </r>
        <r>
          <rPr>
            <sz val="9"/>
            <color indexed="81"/>
            <rFont val="Tahoma"/>
            <family val="2"/>
          </rPr>
          <t xml:space="preserve">
Old HEM table up to R48.1</t>
        </r>
      </text>
    </comment>
    <comment ref="O2" authorId="2" shapeId="0" xr:uid="{00000000-0006-0000-0C00-000003000000}">
      <text>
        <r>
          <rPr>
            <b/>
            <sz val="8"/>
            <color indexed="81"/>
            <rFont val="Tahoma"/>
            <family val="2"/>
          </rPr>
          <t>Philip Bensley:</t>
        </r>
        <r>
          <rPr>
            <sz val="8"/>
            <color indexed="81"/>
            <rFont val="Tahoma"/>
            <family val="2"/>
          </rPr>
          <t xml:space="preserve">
5% across the board from 21/11/2009</t>
        </r>
      </text>
    </comment>
    <comment ref="A10" authorId="0" shapeId="0" xr:uid="{00000000-0006-0000-0C00-000004000000}">
      <text>
        <r>
          <rPr>
            <b/>
            <sz val="8"/>
            <color indexed="81"/>
            <rFont val="Tahoma"/>
            <family val="2"/>
          </rPr>
          <t>Philip:</t>
        </r>
        <r>
          <rPr>
            <sz val="8"/>
            <color indexed="81"/>
            <rFont val="Tahoma"/>
            <family val="2"/>
          </rPr>
          <t xml:space="preserve">
rates as at 1 July 2019</t>
        </r>
      </text>
    </comment>
    <comment ref="G10" authorId="2" shapeId="0" xr:uid="{00000000-0006-0000-0C00-000005000000}">
      <text>
        <r>
          <rPr>
            <b/>
            <sz val="8"/>
            <color indexed="81"/>
            <rFont val="Tahoma"/>
            <family val="2"/>
          </rPr>
          <t>Philip Bensley:</t>
        </r>
        <r>
          <rPr>
            <sz val="8"/>
            <color indexed="81"/>
            <rFont val="Tahoma"/>
            <family val="2"/>
          </rPr>
          <t xml:space="preserve">
Replaced by table on far right</t>
        </r>
      </text>
    </comment>
    <comment ref="I10" authorId="1" shapeId="0" xr:uid="{00000000-0006-0000-0C00-000006000000}">
      <text>
        <r>
          <rPr>
            <b/>
            <sz val="9"/>
            <color indexed="81"/>
            <rFont val="Tahoma"/>
            <family val="2"/>
          </rPr>
          <t>Bensley, Philip:</t>
        </r>
        <r>
          <rPr>
            <sz val="9"/>
            <color indexed="81"/>
            <rFont val="Tahoma"/>
            <family val="2"/>
          </rPr>
          <t xml:space="preserve">
Table updated from 17 Nov 17</t>
        </r>
      </text>
    </comment>
    <comment ref="M10" authorId="1" shapeId="0" xr:uid="{00000000-0006-0000-0C00-000007000000}">
      <text>
        <r>
          <rPr>
            <b/>
            <sz val="9"/>
            <color indexed="81"/>
            <rFont val="Tahoma"/>
            <family val="2"/>
          </rPr>
          <t>Bensley, Philip:</t>
        </r>
        <r>
          <rPr>
            <sz val="9"/>
            <color indexed="81"/>
            <rFont val="Tahoma"/>
            <family val="2"/>
          </rPr>
          <t xml:space="preserve">
Table updated from 17 Nov 17</t>
        </r>
      </text>
    </comment>
    <comment ref="G16" authorId="1" shapeId="0" xr:uid="{00000000-0006-0000-0C00-000008000000}">
      <text>
        <r>
          <rPr>
            <b/>
            <sz val="9"/>
            <color indexed="81"/>
            <rFont val="Tahoma"/>
            <family val="2"/>
          </rPr>
          <t>Bensley, Philip:</t>
        </r>
        <r>
          <rPr>
            <sz val="9"/>
            <color indexed="81"/>
            <rFont val="Tahoma"/>
            <family val="2"/>
          </rPr>
          <t xml:space="preserve">
Changed from 2.5% to 3% from 20 Oct 2017
[MS] Changed from 3% to  3.82% from 4 Jun 2019</t>
        </r>
      </text>
    </comment>
    <comment ref="C20" authorId="2" shapeId="0" xr:uid="{00000000-0006-0000-0C00-000009000000}">
      <text>
        <r>
          <rPr>
            <b/>
            <sz val="8"/>
            <color indexed="81"/>
            <rFont val="Tahoma"/>
            <family val="2"/>
          </rPr>
          <t>Philip Bensley:</t>
        </r>
        <r>
          <rPr>
            <sz val="8"/>
            <color indexed="81"/>
            <rFont val="Tahoma"/>
            <family val="2"/>
          </rPr>
          <t xml:space="preserve">
Re-introduced from 21/11/2009
Changed to 80% from 26/06/15</t>
        </r>
      </text>
    </comment>
    <comment ref="Q21" authorId="3" shapeId="0" xr:uid="{00000000-0006-0000-0C00-00000A000000}">
      <text>
        <r>
          <rPr>
            <b/>
            <sz val="9"/>
            <color indexed="81"/>
            <rFont val="Tahoma"/>
            <family val="2"/>
          </rPr>
          <t xml:space="preserve">Bensley, Philip:
</t>
        </r>
        <r>
          <rPr>
            <sz val="9"/>
            <color indexed="81"/>
            <rFont val="Tahoma"/>
            <family val="2"/>
          </rPr>
          <t>HEM table from R48.1 onwards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Bensley</author>
  </authors>
  <commentList>
    <comment ref="G43" authorId="0" shapeId="0" xr:uid="{00000000-0006-0000-0D00-000001000000}">
      <text>
        <r>
          <rPr>
            <b/>
            <sz val="8"/>
            <color indexed="81"/>
            <rFont val="Tahoma"/>
            <family val="2"/>
          </rPr>
          <t>Philip Bensley:</t>
        </r>
        <r>
          <rPr>
            <sz val="8"/>
            <color indexed="81"/>
            <rFont val="Tahoma"/>
            <family val="2"/>
          </rPr>
          <t xml:space="preserve">
From 13/3/09 this is no longer used</t>
        </r>
      </text>
    </comment>
  </commentList>
</comments>
</file>

<file path=xl/sharedStrings.xml><?xml version="1.0" encoding="utf-8"?>
<sst xmlns="http://schemas.openxmlformats.org/spreadsheetml/2006/main" count="1147" uniqueCount="564">
  <si>
    <t>Home Loan, Investment Home Loan and Line of Credit Calculator</t>
  </si>
  <si>
    <t>Credit Calculator User Guide</t>
  </si>
  <si>
    <t>* Input fields are distinguishable by a blue border.</t>
  </si>
  <si>
    <t>* Boxes with a black border contain calculations and should not be changed.</t>
  </si>
  <si>
    <t>* Boxes with yellow shading are mandatory and must be completed before a result can be displayed.</t>
  </si>
  <si>
    <t xml:space="preserve">* You may move to the next input box by using the TAB key or the arrow keys. </t>
  </si>
  <si>
    <t>* Click on the grey pushbuttons to perform the action stated on them.</t>
  </si>
  <si>
    <t>* If you type in an invalid number into a cell, a validation error message will appear.</t>
  </si>
  <si>
    <t>* Fill in the boxes in top to bottom order.</t>
  </si>
  <si>
    <t>* The calculator may be printed by selecting "Print" from the "File" menu.</t>
  </si>
  <si>
    <t>* When the "Print" button is pushed data will be printed from all sheets with input entered.</t>
  </si>
  <si>
    <t>Annual Income Details</t>
  </si>
  <si>
    <t>* To input self employed income details click on the calculator icon.  The user will be taken to the "Self Employed" worksheet.</t>
  </si>
  <si>
    <t>* For self employed income, Personal Wages / Salary is not included as add backs, but is included as taxable income.</t>
  </si>
  <si>
    <t>* The "Product" field is a drop down list of all valid product types.</t>
  </si>
  <si>
    <t>* Some products don't require all fields to be filled in.</t>
  </si>
  <si>
    <t>* To include negative gearing click on the "Negative Gearing" pushbutton and fill in the desired percentages.  The default percentages are set to zero.</t>
  </si>
  <si>
    <t>* The first row is a copy of the first loan input in "Proposed Loan Details".</t>
  </si>
  <si>
    <t>* The second row may accommodate any variables the user wishes to use.  All calculations are based on details input above.</t>
  </si>
  <si>
    <t>* Maximum borrowing power is based term chosen for this application.</t>
  </si>
  <si>
    <t>Which cells are optional and which are mandatory?</t>
  </si>
  <si>
    <t>Field Name</t>
  </si>
  <si>
    <t>Type</t>
  </si>
  <si>
    <t>Description</t>
  </si>
  <si>
    <t>Applicant(s) name</t>
  </si>
  <si>
    <t>Optional</t>
  </si>
  <si>
    <t>The name(s) of the applicants</t>
  </si>
  <si>
    <t>Number of properties occupied by the applicants</t>
  </si>
  <si>
    <t>Mandatory</t>
  </si>
  <si>
    <t>Number of principal residences plus number of non-income producing properties owned by applicants</t>
  </si>
  <si>
    <t>Number of adults (18 or older) residing in each household</t>
  </si>
  <si>
    <t>Enter the number of adults for each household.</t>
  </si>
  <si>
    <t>Number of dependent children residing in each household</t>
  </si>
  <si>
    <t>Enter the number of dependent children for each household.</t>
  </si>
  <si>
    <t>Existing Rental Income</t>
  </si>
  <si>
    <t>Proposed Rental Income</t>
  </si>
  <si>
    <t xml:space="preserve">Investment Income </t>
  </si>
  <si>
    <t>Pensions</t>
  </si>
  <si>
    <t>Enter pension income</t>
  </si>
  <si>
    <t>Other Income</t>
  </si>
  <si>
    <t>Enter any other income</t>
  </si>
  <si>
    <t>Self Employed Income</t>
  </si>
  <si>
    <t>Derived</t>
  </si>
  <si>
    <t>Shows the self employed income entered on the Self Employed page.</t>
  </si>
  <si>
    <t>Gross Annual Income</t>
  </si>
  <si>
    <t>Adds up all taxable income</t>
  </si>
  <si>
    <t>Income Tax</t>
  </si>
  <si>
    <t>Calculates the income tax on taxable income</t>
  </si>
  <si>
    <t>Medicare Levy</t>
  </si>
  <si>
    <t>Calculates the Medicare Levy on taxable income</t>
  </si>
  <si>
    <t>Negative Gearing Tax Effect</t>
  </si>
  <si>
    <t>Shows the negative gearing tax benefit if applicable.</t>
  </si>
  <si>
    <t>Tax Free Income</t>
  </si>
  <si>
    <t>Enter any tax free income such as family allowance</t>
  </si>
  <si>
    <t>Self Employed Add Backs</t>
  </si>
  <si>
    <t>Shows the self employed add backs entered on the Self Employed page.</t>
  </si>
  <si>
    <t>Product</t>
  </si>
  <si>
    <t>Select a product from the drop down list.</t>
  </si>
  <si>
    <t>Is this tax deductable?</t>
  </si>
  <si>
    <t>Will this be repaid by proposed loan?</t>
  </si>
  <si>
    <t>Balance / limit</t>
  </si>
  <si>
    <t>Interest Rate</t>
  </si>
  <si>
    <t>Monthly Repayment</t>
  </si>
  <si>
    <t>Monthly Charges</t>
  </si>
  <si>
    <t>Enter in any monthly charges</t>
  </si>
  <si>
    <t>Total Repayments</t>
  </si>
  <si>
    <t>Calculates the monthly repayments on the product selected</t>
  </si>
  <si>
    <t>Assessment Rate</t>
  </si>
  <si>
    <t>Loan Term</t>
  </si>
  <si>
    <t>Enter the loan term</t>
  </si>
  <si>
    <t>Enter any interest only period or Line of Credit Affordability</t>
  </si>
  <si>
    <t>Repayments</t>
  </si>
  <si>
    <t>Proposed Loan Result</t>
  </si>
  <si>
    <t>Shows the applicant(s) whether the proposed loan was successful or not.</t>
  </si>
  <si>
    <t>Commitment Ratio</t>
  </si>
  <si>
    <t>Shows the commitment ratio</t>
  </si>
  <si>
    <t>Balance / Limit</t>
  </si>
  <si>
    <t>Enter the limit or balance on the product</t>
  </si>
  <si>
    <t>Home Loan, Investment Home Loan and Line of Credit Servicing Calculator</t>
  </si>
  <si>
    <t xml:space="preserve">Name of applicant 1: </t>
  </si>
  <si>
    <t xml:space="preserve">Name of applicant 2: </t>
  </si>
  <si>
    <t xml:space="preserve">Name of applicant 3: </t>
  </si>
  <si>
    <t xml:space="preserve">Name of applicant 4: </t>
  </si>
  <si>
    <t>Household 1</t>
  </si>
  <si>
    <t>Annual Income Details:</t>
  </si>
  <si>
    <t>Applicant 1</t>
  </si>
  <si>
    <t>Applicant 2</t>
  </si>
  <si>
    <t>Applicant 3</t>
  </si>
  <si>
    <t>Applicant 4</t>
  </si>
  <si>
    <t>Eligible Income</t>
  </si>
  <si>
    <t>Max Term</t>
  </si>
  <si>
    <t>annual</t>
  </si>
  <si>
    <t>Line of Credit</t>
  </si>
  <si>
    <t>Credit Card</t>
  </si>
  <si>
    <t>Personal Loan</t>
  </si>
  <si>
    <t>Lease</t>
  </si>
  <si>
    <t>Hire Purchase</t>
  </si>
  <si>
    <t>Tax Free Income (e.g. Family Allowance)</t>
  </si>
  <si>
    <t>Net Annual Income</t>
  </si>
  <si>
    <t>Net Monthly Income</t>
  </si>
  <si>
    <t>Ongoing Annual Rental Payments</t>
  </si>
  <si>
    <t>Applicant(s) - Total Continuing Commitments:</t>
  </si>
  <si>
    <t>Total Existing Commitments (monthly)</t>
  </si>
  <si>
    <t>Proposed Loan Details:</t>
  </si>
  <si>
    <t xml:space="preserve">Proposed loan result: </t>
  </si>
  <si>
    <t xml:space="preserve">Debt Servicing Ratio: </t>
  </si>
  <si>
    <t>Product of the Commonwealth Bank of Australia  ABN 48 123 123 124</t>
  </si>
  <si>
    <t>Self-Employed Applicant/s Income Details</t>
  </si>
  <si>
    <t>Self-Employed Applicant 1's Income Details:</t>
  </si>
  <si>
    <t>Year 1</t>
  </si>
  <si>
    <t>Year 2</t>
  </si>
  <si>
    <t xml:space="preserve">Year Ended  </t>
  </si>
  <si>
    <t xml:space="preserve">Number of Months  </t>
  </si>
  <si>
    <t>Comments</t>
  </si>
  <si>
    <t>Net Profit (Loss) Before Tax</t>
  </si>
  <si>
    <r>
      <t>Add Backs</t>
    </r>
    <r>
      <rPr>
        <sz val="10"/>
        <rFont val="Arial"/>
        <family val="2"/>
      </rPr>
      <t>:</t>
    </r>
  </si>
  <si>
    <t>Interest</t>
  </si>
  <si>
    <t>Depreciation/Amortisation</t>
  </si>
  <si>
    <t>Personal Wages/Salary (before tax)</t>
  </si>
  <si>
    <t>Non-Cash Personal Benefits</t>
  </si>
  <si>
    <t>Other Non-Cash/Non-Recurring Expenses</t>
  </si>
  <si>
    <t>Other</t>
  </si>
  <si>
    <t>Sub-Total of Add Backs</t>
  </si>
  <si>
    <t>Total Available</t>
  </si>
  <si>
    <t>Total Available - Monthly Average</t>
  </si>
  <si>
    <t>Total Available - Annual Average</t>
  </si>
  <si>
    <t>Self-Employed Applicant 2's Income Details:</t>
  </si>
  <si>
    <t>Self-Employed Applicant 3's Income Details:</t>
  </si>
  <si>
    <t>Self-Employed Applicant 4's Income Details:</t>
  </si>
  <si>
    <t>Product of the Commonwealth Bank of Australia   ABN 48 123 123 124</t>
  </si>
  <si>
    <t>Negatively Geared Investment Home Loans</t>
  </si>
  <si>
    <t>Existing Loans:</t>
  </si>
  <si>
    <t>Loan Balance</t>
  </si>
  <si>
    <t>Proposed Loans:</t>
  </si>
  <si>
    <t>Existing</t>
  </si>
  <si>
    <t>Proposed</t>
  </si>
  <si>
    <t>Total</t>
  </si>
  <si>
    <t>Sliding Scale Commitment Level</t>
  </si>
  <si>
    <t>Upper Limit</t>
  </si>
  <si>
    <t>Rate</t>
  </si>
  <si>
    <t>Carry</t>
  </si>
  <si>
    <t>Income</t>
  </si>
  <si>
    <t>C.L.</t>
  </si>
  <si>
    <t>Monthly Surplus buffer</t>
  </si>
  <si>
    <t>N/A</t>
  </si>
  <si>
    <t xml:space="preserve">Rental Income allowance </t>
  </si>
  <si>
    <t>Access Advantage Factor</t>
  </si>
  <si>
    <t>Rental Income Limit</t>
  </si>
  <si>
    <t>Commitment</t>
  </si>
  <si>
    <t>%</t>
  </si>
  <si>
    <t>Supp Rental Allowance</t>
  </si>
  <si>
    <t>Access Advantage</t>
  </si>
  <si>
    <t>Credit Card Minimum</t>
  </si>
  <si>
    <t>The blue represents the net model, the green represents the gross model and the yellow is shared.</t>
  </si>
  <si>
    <t>Income Complete</t>
  </si>
  <si>
    <t>Housing Complete</t>
  </si>
  <si>
    <t>Exising/Proposed Complete</t>
  </si>
  <si>
    <t>Everything Complete</t>
  </si>
  <si>
    <t>Blank</t>
  </si>
  <si>
    <t>Complete</t>
  </si>
  <si>
    <t>Neg Gear</t>
  </si>
  <si>
    <t>Exisiting 1</t>
  </si>
  <si>
    <t>Exisiting 2</t>
  </si>
  <si>
    <t>Exisiting 3</t>
  </si>
  <si>
    <t>Exisiting 4</t>
  </si>
  <si>
    <t>Exisiting 5</t>
  </si>
  <si>
    <t>Exisiting 6</t>
  </si>
  <si>
    <t>Total tax and levy (no n.g.)</t>
  </si>
  <si>
    <t>Exisiting 7</t>
  </si>
  <si>
    <t>Total Existing Commitments</t>
  </si>
  <si>
    <t>Negative Gearing</t>
  </si>
  <si>
    <t>Taxable Income (with n.g.)</t>
  </si>
  <si>
    <t>Loan 1</t>
  </si>
  <si>
    <t>Loan 2</t>
  </si>
  <si>
    <t>Loan 3</t>
  </si>
  <si>
    <t>Total tax and levy (n.g.)</t>
  </si>
  <si>
    <t>Loan 4</t>
  </si>
  <si>
    <t>Income Tax Adjustment</t>
  </si>
  <si>
    <t>Loan 5</t>
  </si>
  <si>
    <t>Medicare Levy Adjustment</t>
  </si>
  <si>
    <t>Loan 6</t>
  </si>
  <si>
    <t>Total Adjustments</t>
  </si>
  <si>
    <t>Total + Commitments</t>
  </si>
  <si>
    <t>Living Expense Calculation</t>
  </si>
  <si>
    <t>Household 2</t>
  </si>
  <si>
    <t>Household 3</t>
  </si>
  <si>
    <t>Household 4</t>
  </si>
  <si>
    <t>Adults</t>
  </si>
  <si>
    <t>Commitment Level</t>
  </si>
  <si>
    <t>Dependents (Children)</t>
  </si>
  <si>
    <t>Commitment Level Limit</t>
  </si>
  <si>
    <t>Residual</t>
  </si>
  <si>
    <t>Min Repayments</t>
  </si>
  <si>
    <t>Max Borrowable Amount</t>
  </si>
  <si>
    <t>Proposed Consumer Loans</t>
  </si>
  <si>
    <t>Requested P&amp;I Term</t>
  </si>
  <si>
    <t>Interest Only Period</t>
  </si>
  <si>
    <t xml:space="preserve">Servicing Term </t>
  </si>
  <si>
    <t>With buffer</t>
  </si>
  <si>
    <t>Without buffer</t>
  </si>
  <si>
    <t>Gross Model</t>
  </si>
  <si>
    <t>Net Monthly cash</t>
  </si>
  <si>
    <t>Net Model</t>
  </si>
  <si>
    <t>Net monthly cash (for residual)</t>
  </si>
  <si>
    <t>Existing Commitments Only</t>
  </si>
  <si>
    <t>Monthly surplus</t>
  </si>
  <si>
    <t>Basic Loan Repayment Calculator</t>
  </si>
  <si>
    <t>Scenario 1</t>
  </si>
  <si>
    <t>Scenario 3</t>
  </si>
  <si>
    <t>Loan Amount</t>
  </si>
  <si>
    <t>Term in Years</t>
  </si>
  <si>
    <t>Interest Rate (% pa)</t>
  </si>
  <si>
    <t>Minimum Monthly Repayment</t>
  </si>
  <si>
    <t>Monthly Repayment Table</t>
  </si>
  <si>
    <t xml:space="preserve">Interest Rate: </t>
  </si>
  <si>
    <t xml:space="preserve">Interest Only Period: </t>
  </si>
  <si>
    <t xml:space="preserve">Monthly Fees: </t>
  </si>
  <si>
    <t>Amount</t>
  </si>
  <si>
    <t>Custom</t>
  </si>
  <si>
    <t>Scenario 2</t>
  </si>
  <si>
    <t>Notes:</t>
  </si>
  <si>
    <t>Gross non-rental Income</t>
  </si>
  <si>
    <t>Gross rental Income</t>
  </si>
  <si>
    <t>Eligible rental Income</t>
  </si>
  <si>
    <t>Total Gross Income</t>
  </si>
  <si>
    <t>Last modified</t>
  </si>
  <si>
    <t>Maximum borrowing power based on income and existing commitments:</t>
  </si>
  <si>
    <t>CLT</t>
  </si>
  <si>
    <t>LSF</t>
  </si>
  <si>
    <t>Int Rate</t>
  </si>
  <si>
    <t>Asmt Rate</t>
  </si>
  <si>
    <t>Assessment Rate Buffer</t>
  </si>
  <si>
    <t>Deduction 1</t>
  </si>
  <si>
    <t>Deduction 2</t>
  </si>
  <si>
    <t>Deduction 3</t>
  </si>
  <si>
    <t>Deduction 4</t>
  </si>
  <si>
    <t>Taxable 1</t>
  </si>
  <si>
    <t>Taxable 2</t>
  </si>
  <si>
    <t>Taxable 3</t>
  </si>
  <si>
    <t>Taxable 4</t>
  </si>
  <si>
    <t>Tax &amp; ML 1</t>
  </si>
  <si>
    <t>Tax &amp; ML 2</t>
  </si>
  <si>
    <t>Tax &amp; ML 3</t>
  </si>
  <si>
    <t>Tax &amp; ML 4</t>
  </si>
  <si>
    <t>Monthly Pmt</t>
  </si>
  <si>
    <t>Max Amount</t>
  </si>
  <si>
    <t>Is this tax deductible?</t>
  </si>
  <si>
    <t>Applicants</t>
  </si>
  <si>
    <t xml:space="preserve">The purpose of this question is determine the number of households. If there are 4 applicants and they reside at 2 addresses, then the answer is 2.  If there are 2 applicants and they reside in the same address then the answer is 1.  If there are 3 applicants and they live in the same address but have 4 income earning investment properties and a holiday house, the answer is 1.  The answer relates to the number of properties the applicants reside in. </t>
  </si>
  <si>
    <t>The borrowing potential is automatically calculated based on data entered in the application section of the simulator for proposed loan 1.  However, a second line is available that will allow you to vary application conditions (eg term, assessment rate, product, etc) to compare variables.</t>
  </si>
  <si>
    <t>Version:</t>
  </si>
  <si>
    <t>Total monthly repayments including existing commitments</t>
  </si>
  <si>
    <t>Overdraft</t>
  </si>
  <si>
    <t>Important Information: This assessment is based solely on the information you have provided. It is not to be used or considered an approval for a loan.  The calculations are intended as a guide only and are an indication of only one element in the Bank's credit assessment criteria.  The figures and formulae, including interest rates, used within this calculation are subject to change.  Applications for finance are subject to the Bank's normal credit approval.  Full terms and conditions will be included in the Bank's Loan Offer.  Fees and charges are payable.</t>
  </si>
  <si>
    <t>Interest expenses applicable to:</t>
  </si>
  <si>
    <t xml:space="preserve">Applicant 1: </t>
  </si>
  <si>
    <t xml:space="preserve">Applicant 2: </t>
  </si>
  <si>
    <t xml:space="preserve">Applicant 3: </t>
  </si>
  <si>
    <t xml:space="preserve">Applicant 4: </t>
  </si>
  <si>
    <t xml:space="preserve">Total: </t>
  </si>
  <si>
    <t>Tax benefit % applicable to:</t>
  </si>
  <si>
    <t>Cash buffer</t>
  </si>
  <si>
    <t>Surplus * cash buffer</t>
  </si>
  <si>
    <t>Sliding Scale Cash Buffer</t>
  </si>
  <si>
    <t>C.B.</t>
  </si>
  <si>
    <t xml:space="preserve">Net Cash Position: </t>
  </si>
  <si>
    <t>Threshold</t>
  </si>
  <si>
    <t>Loan Type</t>
  </si>
  <si>
    <t>Owner Occupied</t>
  </si>
  <si>
    <t>Investment</t>
  </si>
  <si>
    <t>Gross Bonuses</t>
  </si>
  <si>
    <t>Interest Discount</t>
  </si>
  <si>
    <t>Interest Only</t>
  </si>
  <si>
    <t>Household Expenditure Measure</t>
  </si>
  <si>
    <t xml:space="preserve">Net Profit (Loss) Before Tax  </t>
  </si>
  <si>
    <t xml:space="preserve">    Interest</t>
  </si>
  <si>
    <t xml:space="preserve">    Depreciation/Amortisation</t>
  </si>
  <si>
    <t xml:space="preserve">    Personal Wages/Salary (before tax)</t>
  </si>
  <si>
    <t xml:space="preserve">    Non-Cash Personal Benefits</t>
  </si>
  <si>
    <t xml:space="preserve">    Other Non-Cash/Non-Recurring Expenses</t>
  </si>
  <si>
    <t xml:space="preserve">    Other</t>
  </si>
  <si>
    <t xml:space="preserve">    Sub-Total of Add Backs</t>
  </si>
  <si>
    <t>Negatively Geared Investment Loans</t>
  </si>
  <si>
    <t>Tax Benefit % applicable to:</t>
  </si>
  <si>
    <t>Interest Expenses</t>
  </si>
  <si>
    <t>Bridging</t>
  </si>
  <si>
    <t>Post Bridging</t>
  </si>
  <si>
    <t>Home Loan, Investment Home Loan and Line of Credit Bridging Calculator</t>
  </si>
  <si>
    <t>No of principal residences plus number of non-income producing properties owned by applicants</t>
  </si>
  <si>
    <t>Bridging Totals</t>
  </si>
  <si>
    <t>Other Regular Income</t>
  </si>
  <si>
    <t>Negative gearing tax effect</t>
  </si>
  <si>
    <t>Tax Free Income (eg. family allowance)</t>
  </si>
  <si>
    <t>Ongoing Annual Rent Expense</t>
  </si>
  <si>
    <t>Existing Consumer Commitments:</t>
  </si>
  <si>
    <t>Will this be repaid?</t>
  </si>
  <si>
    <t xml:space="preserve">Total existing consumer commitments (monthly) </t>
  </si>
  <si>
    <t xml:space="preserve">Valuation of the property to be sold </t>
  </si>
  <si>
    <t xml:space="preserve">Additional amount required to settle on new property </t>
  </si>
  <si>
    <t xml:space="preserve">Valuation of replacement property </t>
  </si>
  <si>
    <t xml:space="preserve">Projected Sale Proceeds </t>
  </si>
  <si>
    <t xml:space="preserve">Monthly Charges on bridging debt </t>
  </si>
  <si>
    <t xml:space="preserve">Sale proceeds to be used for CBA debt deduction </t>
  </si>
  <si>
    <t xml:space="preserve">Combined CBA bridging debt </t>
  </si>
  <si>
    <t xml:space="preserve">Interest Discount </t>
  </si>
  <si>
    <t xml:space="preserve">Bridging commitments </t>
  </si>
  <si>
    <t xml:space="preserve">Total Proposed Monthly Commitments during bridging period </t>
  </si>
  <si>
    <t xml:space="preserve">Proposed loan result (bridging): </t>
  </si>
  <si>
    <t xml:space="preserve">Debt Servicing Ratio (bridging): </t>
  </si>
  <si>
    <t>Interest only period</t>
  </si>
  <si>
    <t>Important Information: This assessment is based solely on the information you have provided.  It is not to be used or considered an approval for a loan.  The calculations are intended as a guide only and are an indication of only one element in the Bank's credit assessment criteria.  The figures and formulae, including interest rates, used within this calculation are subject to change.  Applications for finance are subject to the Bank's normal credit approval.  Full terms and conditions will be included in the Bank's Loan Offer.  Fees and charges are payable.</t>
  </si>
  <si>
    <t>Product of the Commonwealth Bank  ABN 48 123 123 124</t>
  </si>
  <si>
    <t>Bridging Period</t>
  </si>
  <si>
    <t>Post Bridging Period</t>
  </si>
  <si>
    <t>Existing Loans</t>
  </si>
  <si>
    <t>Neg Gearing</t>
  </si>
  <si>
    <t>Gross Annual Salary/Wages</t>
  </si>
  <si>
    <t>Investment Income</t>
  </si>
  <si>
    <t>General Info</t>
  </si>
  <si>
    <t>Loans</t>
  </si>
  <si>
    <t>Proposed Loans</t>
  </si>
  <si>
    <t>All</t>
  </si>
  <si>
    <t>Total tax &amp; levy (no n.g.)</t>
  </si>
  <si>
    <t>Negative Gearing Deduction</t>
  </si>
  <si>
    <t>Surplus * Cash Buffer</t>
  </si>
  <si>
    <t>Net monthly surplus (shortfall)</t>
  </si>
  <si>
    <t>Total tax &amp; levy (with n.g.)</t>
  </si>
  <si>
    <t>Gross</t>
  </si>
  <si>
    <t>Total Adjustment</t>
  </si>
  <si>
    <t>Net</t>
  </si>
  <si>
    <t>Cash Buffer</t>
  </si>
  <si>
    <t>Yes</t>
  </si>
  <si>
    <t>No</t>
  </si>
  <si>
    <t>Max IO</t>
  </si>
  <si>
    <t>Expected Sales Proceeds</t>
  </si>
  <si>
    <t>Valuation of the property to be sold</t>
  </si>
  <si>
    <t>Enter the assessment rate.  Do not include any discounts.</t>
  </si>
  <si>
    <t>Any non-standard discount must have the appropriate authorisation/approval imaged to the loan file</t>
  </si>
  <si>
    <t>Enter the valuation of the property to be sold</t>
  </si>
  <si>
    <t>Enter the valuation of the replacement property.</t>
  </si>
  <si>
    <t>Calculated as a percentage of the valuation of the property being sold.</t>
  </si>
  <si>
    <t>Enter the amount that is needed to settle on the new property.</t>
  </si>
  <si>
    <t>Any non-standard discount must have the appropriate authorisation/approval imaged to the loan file.</t>
  </si>
  <si>
    <t>Net Cash Position</t>
  </si>
  <si>
    <t>Shows the surplus funds remaining (or deficit) as a result of the proposed loan.</t>
  </si>
  <si>
    <t>Sum of all existing debts classified as "Add to Bridging" plus the additional amount required to settle on the new property.</t>
  </si>
  <si>
    <t>Sum of all existing debts classified as "Add to Bridging" or "After Bridging", plus the additional amount required to settle on the new property, less the value of sale proceeds.</t>
  </si>
  <si>
    <t>Total Continuing Commitments / Existing Consumer Commitments</t>
  </si>
  <si>
    <t>* Record the details of the bridging finance.</t>
  </si>
  <si>
    <t>Where a Home Loan, Investment Home Loan or Line of Credit product has been selected, select either Owner Occupied or Investment.</t>
  </si>
  <si>
    <t>Where a commitment needs to be recorded, the fields listed below are mandatory or optional as listed.</t>
  </si>
  <si>
    <t>Optional*</t>
  </si>
  <si>
    <t>Enter in any monthly charges.  Required for all products except Overdraft and Credit Card; or where the commitment will be payed out.</t>
  </si>
  <si>
    <t>Maximum borrowing power based on existing income (not applicable to Bridging calculator)</t>
  </si>
  <si>
    <t>Maximum borrowing power based on existing income and commitments (not applicable to Bridging calculator)</t>
  </si>
  <si>
    <t>Customer Declared Expenses</t>
  </si>
  <si>
    <t>HEM Calculated Expenses</t>
  </si>
  <si>
    <t>HEM calculated living expenses</t>
  </si>
  <si>
    <t>Customer declared living expenses</t>
  </si>
  <si>
    <t>Monthly customer declared living expenses of each household</t>
  </si>
  <si>
    <t xml:space="preserve">Enter the limit or balance on the product.  Where the customer has a Line of Credit limit of $100,000 and a balance of $25,000, you must enter $100,000.
</t>
  </si>
  <si>
    <t>* Monthly Living Expenses - is the amount of money needed to maintain a reasonable standard of living, including expenses such as food, transportation, clothing, utilities, education &amp; health care.</t>
  </si>
  <si>
    <t>Monthly Living Expenses</t>
  </si>
  <si>
    <t>Enter any ‘ongoing’ annual Rental payments</t>
  </si>
  <si>
    <t>MLE Warning Percentage</t>
  </si>
  <si>
    <t>Existing Commitments Buffer</t>
  </si>
  <si>
    <t>Overtime Allowance</t>
  </si>
  <si>
    <t>Bonus Allowance</t>
  </si>
  <si>
    <t>Investment Income Allowance</t>
  </si>
  <si>
    <t>Gross Overtime</t>
  </si>
  <si>
    <t>Gross Salary or Wages</t>
  </si>
  <si>
    <t>Gross Annual Salary or Wages</t>
  </si>
  <si>
    <t>Enter in the gross salary or wages.</t>
  </si>
  <si>
    <t>Lower</t>
  </si>
  <si>
    <t>Upper</t>
  </si>
  <si>
    <t>Unlimited</t>
  </si>
  <si>
    <t>Total Gross Annual Elig Inc</t>
  </si>
  <si>
    <t>Total Gross Annual Elig Inc Brid</t>
  </si>
  <si>
    <t>Total Gross Annual Elig Inc Post</t>
  </si>
  <si>
    <t>* If the loan result says 'Input Incomplete' make sure that you have entered all mandatory data correctly.</t>
  </si>
  <si>
    <t>Is the existing commitment to be paid by the proposed loan?</t>
  </si>
  <si>
    <t>Single, 0 dep</t>
  </si>
  <si>
    <t>Single, 1 dep</t>
  </si>
  <si>
    <t>Single, 2 dep</t>
  </si>
  <si>
    <t>Single, 3 dep</t>
  </si>
  <si>
    <t>Single, add dep</t>
  </si>
  <si>
    <t>Couple, 0 dep</t>
  </si>
  <si>
    <t>Couple, 1 dep</t>
  </si>
  <si>
    <t>Couple, 2 dep</t>
  </si>
  <si>
    <t>Couple, 3 dep</t>
  </si>
  <si>
    <t>Couple, add dep</t>
  </si>
  <si>
    <t>Couple, add adult</t>
  </si>
  <si>
    <t>Single Adult</t>
  </si>
  <si>
    <t>Additional Adult</t>
  </si>
  <si>
    <t>1 Dependent</t>
  </si>
  <si>
    <t>2 Dependents</t>
  </si>
  <si>
    <t>3 Dependents</t>
  </si>
  <si>
    <t>Additional Dependent</t>
  </si>
  <si>
    <t>Property Details:</t>
  </si>
  <si>
    <t>Address</t>
  </si>
  <si>
    <t>Suburb</t>
  </si>
  <si>
    <t>Postcode</t>
  </si>
  <si>
    <t>OEV</t>
  </si>
  <si>
    <t>Declared Weekly Rental Income</t>
  </si>
  <si>
    <t>Existing or Proposed</t>
  </si>
  <si>
    <t>Declared Rental Yield</t>
  </si>
  <si>
    <t>Monthly Rental Income capped to 6%</t>
  </si>
  <si>
    <t>Annual Rental Income capped to 6%</t>
  </si>
  <si>
    <t>Share of Rental Income:</t>
  </si>
  <si>
    <t>Summary:</t>
  </si>
  <si>
    <t xml:space="preserve">Total Eligible Existing Rental Income </t>
  </si>
  <si>
    <t xml:space="preserve">Total Eligible Proposed Rental Income </t>
  </si>
  <si>
    <t>Rental Yield</t>
  </si>
  <si>
    <t>Bridging Summary:</t>
  </si>
  <si>
    <t>Enter the gross overtime received per applicant. The simulator will automatically apply 80% of the full amount as per current policy.</t>
  </si>
  <si>
    <t>Enter the gross bonuses received per applicant. The simulator will automatically apply 80% of the full amount as per current policy.</t>
  </si>
  <si>
    <t>Enter the investment income received per applicant. The simulator will automatically apply 80% of the full amount as per current policy.</t>
  </si>
  <si>
    <t>Please refer to the Postcode Lookup Tool for geographic negative gearing eligibility.</t>
  </si>
  <si>
    <t>Please refer to the Postcode Lookup Tool for specific geographic credit policy rules. To enter rental income details click on the calculator icon next to the ‘Rental Income’ field. The icon will take you to the 'Rental Details' page where you can calculate the eligible amount. When completed, click on 'Return to Calculator' &amp; the eligible amount will be updated within the customer's 'Annual Income' details.</t>
  </si>
  <si>
    <t>Rental Details for Individuals</t>
  </si>
  <si>
    <t xml:space="preserve">Refer to the Postcode Lookup Tool for geographic negative gearing eligibility. 
Note: Negative Gearing calculates the interest and monthly charges to be paid on an investment home loan each year and uses this figure as a tax deduction.  Therefore the applicant(s) taxable income will be less, which means that the tax paid by the applicant(s) will be less.
Negative gearing is not applicable in the servicing of IHL applications with a Base LVR greater than 90% or for customers receiving the First Home Buyers' grant.
</t>
  </si>
  <si>
    <t>CBA Variable Rate Home Loan</t>
  </si>
  <si>
    <t>CBA Fixed Rate Home Loan</t>
  </si>
  <si>
    <t>CBA Line of Credit</t>
  </si>
  <si>
    <t>OFI Line of Credit (Other financial institution)</t>
  </si>
  <si>
    <t>OFI Home Loan (Other financial institution)</t>
  </si>
  <si>
    <t>Remaining Term</t>
  </si>
  <si>
    <t>Existing Rental Income / Proposed Rental Income</t>
  </si>
  <si>
    <t>Eligible Percentage</t>
  </si>
  <si>
    <t>Year To Date Income Calculator</t>
  </si>
  <si>
    <t>Gross YTD Income</t>
  </si>
  <si>
    <t>Payment Date From</t>
  </si>
  <si>
    <t>Payment Date To</t>
  </si>
  <si>
    <t>Monthly Gross Salary</t>
  </si>
  <si>
    <t>Annual Gross Salary</t>
  </si>
  <si>
    <t>The $ amount needed to maintain a reasonable standard of living, e.g Housing/Property Expenses, Food, Clothing, Personal Care, Medical, Health, Fitness, Insurance, Transport/Auto, Travel, Entertainment, Children, Pets, Education, Communication, and Other.
This will exclude any expenses included elsewhere in the application such as Ongoing Annual Rental Payments</t>
  </si>
  <si>
    <t>Enter the remaining term in years.  Required where the product is either 'CBA Variable Rate Home Loan' or 'CBA Fixed Rate Home Loan' or 'OFI Line of Credit (Other financial institution)' or 'Personal Loan'</t>
  </si>
  <si>
    <t>Net to Gross Calculator</t>
  </si>
  <si>
    <t>Name of Customer</t>
  </si>
  <si>
    <t>Bank Account Credited</t>
  </si>
  <si>
    <t>Income Period</t>
  </si>
  <si>
    <t>Period Start Date</t>
  </si>
  <si>
    <t>Period End Date</t>
  </si>
  <si>
    <t>Net Income</t>
  </si>
  <si>
    <t>Income From Statement</t>
  </si>
  <si>
    <t>Add Back Deduction from after tax salary</t>
  </si>
  <si>
    <t>Add back type 1</t>
  </si>
  <si>
    <t>Add back type 2</t>
  </si>
  <si>
    <t>Add back type 3</t>
  </si>
  <si>
    <t>Add back type 4</t>
  </si>
  <si>
    <t>Add back type 5</t>
  </si>
  <si>
    <t>Total Net Income</t>
  </si>
  <si>
    <t>Total Annual Net Income</t>
  </si>
  <si>
    <t>Total Annual Gross Income</t>
  </si>
  <si>
    <t>Workings</t>
  </si>
  <si>
    <t>Notes</t>
  </si>
  <si>
    <t>Net to Gross</t>
  </si>
  <si>
    <t>Multiplier</t>
  </si>
  <si>
    <t>Weekly</t>
  </si>
  <si>
    <t>Fortnightly</t>
  </si>
  <si>
    <t>Monthly</t>
  </si>
  <si>
    <t>Quarterly</t>
  </si>
  <si>
    <t>Half Yearly</t>
  </si>
  <si>
    <t>Yearly</t>
  </si>
  <si>
    <t>Tax Rate</t>
  </si>
  <si>
    <t>Tax Carry</t>
  </si>
  <si>
    <t>Medicare Rate</t>
  </si>
  <si>
    <t>Household Eligible Income</t>
  </si>
  <si>
    <t>Household</t>
  </si>
  <si>
    <t xml:space="preserve">Tax Free </t>
  </si>
  <si>
    <t>Business Overdraft</t>
  </si>
  <si>
    <t>CONFIDENTIAL: Except authorised or otherwise agreed the Commonwealth Bank RBS Net Servicing (‘Tool’) is for the express purpose of undertaking a Home Loan assessment.  The ‘Tool’ remains confidential and is not to be published, disclosed or to be used for any purpose other than as intended</t>
  </si>
  <si>
    <t>Housing and Property Expenses</t>
  </si>
  <si>
    <t>MLE Categories</t>
  </si>
  <si>
    <t>Guidance Text</t>
  </si>
  <si>
    <t>Water, Electricity, gas, council rates, strata fees, land tax, agent fees, ongoing maintenance, repairs,gardening, pool services, cleaning services, investment property expenses</t>
  </si>
  <si>
    <t>Communication</t>
  </si>
  <si>
    <t>Clothing and Personal Care</t>
  </si>
  <si>
    <t>Insurance</t>
  </si>
  <si>
    <t>Recreation, Travel and Entertainment</t>
  </si>
  <si>
    <t>Medical, Health &amp; Fitness</t>
  </si>
  <si>
    <t>Transport and Auto</t>
  </si>
  <si>
    <t>Education</t>
  </si>
  <si>
    <t>Children and Pets</t>
  </si>
  <si>
    <t>Other Expenses and Purchases</t>
  </si>
  <si>
    <t>Internet, Pay TV, Phone, Media streaming subscriptions</t>
  </si>
  <si>
    <t>Clothing, shoes, hair and beauty treatments, beauty and hygiene products</t>
  </si>
  <si>
    <t>Car, Home and Contents, Life, Income Protection, Landlord, Private Health</t>
  </si>
  <si>
    <t>Sport, boat, holidays, dining out, movies, electronic games, electronics, tobasso, alcohol, gambling</t>
  </si>
  <si>
    <t>Bus, train, ferry, car registration, pertol, tolls, repairs and maintenance</t>
  </si>
  <si>
    <t>School/uni fees, books, materials, courses, higher education</t>
  </si>
  <si>
    <t>Day care, childcare, sports, music, tuition, nanny, pet expenses</t>
  </si>
  <si>
    <t>Monthly Living Expenses (MLE)</t>
  </si>
  <si>
    <t>Expenses incurred for other adults within the household and expenses not covered elsewhere</t>
  </si>
  <si>
    <t>Doctor, dentist, physiotherapy, medicines, eye care, glasses, gym membership</t>
  </si>
  <si>
    <t>Limit</t>
  </si>
  <si>
    <t>Balance</t>
  </si>
  <si>
    <t>Balance/Limit</t>
  </si>
  <si>
    <t xml:space="preserve">Enter the balance on the product.
</t>
  </si>
  <si>
    <t>Enter the Limit on the product</t>
  </si>
  <si>
    <t xml:space="preserve">Debt to Income (DTI): </t>
  </si>
  <si>
    <t>Bal/Lim</t>
  </si>
  <si>
    <t>Combined Debt</t>
  </si>
  <si>
    <t>Combined Income</t>
  </si>
  <si>
    <t>Debt to Income Ratio</t>
  </si>
  <si>
    <t>Debt to Income Calcs</t>
  </si>
  <si>
    <t>Debt to Income Calcs - Bridging</t>
  </si>
  <si>
    <t>Debt to Income Calcs - Post Bridging</t>
  </si>
  <si>
    <t>Margin Loan</t>
  </si>
  <si>
    <t>HECS</t>
  </si>
  <si>
    <t>Commercial Bill</t>
  </si>
  <si>
    <t>Enter the current interest rate on the product.</t>
  </si>
  <si>
    <t>Bridging repayment</t>
  </si>
  <si>
    <t>IO</t>
  </si>
  <si>
    <t>Ongoing repayment 2</t>
  </si>
  <si>
    <t>Ongoing repayment 4</t>
  </si>
  <si>
    <t>Ongoing repayment 5</t>
  </si>
  <si>
    <t>PI</t>
  </si>
  <si>
    <t>Ongoing repyament 3</t>
  </si>
  <si>
    <t>Ongoing repyament 6</t>
  </si>
  <si>
    <t xml:space="preserve">Ongoing IO  </t>
  </si>
  <si>
    <t xml:space="preserve">Ongoing PI  </t>
  </si>
  <si>
    <t xml:space="preserve">Bridging IO     </t>
  </si>
  <si>
    <t xml:space="preserve">Bridging PI     </t>
  </si>
  <si>
    <t>Ongoing</t>
  </si>
  <si>
    <t>Ongoing Totals</t>
  </si>
  <si>
    <t>Bridging Period:</t>
  </si>
  <si>
    <t xml:space="preserve">Bridging Assessment Rate </t>
  </si>
  <si>
    <t xml:space="preserve">Projected Ongoing Debt </t>
  </si>
  <si>
    <t>Ongoing Period:</t>
  </si>
  <si>
    <t xml:space="preserve">Total Proposed Monthly Commitments Ongoing </t>
  </si>
  <si>
    <t xml:space="preserve">Debt Servicing Ratio (Ongoing): </t>
  </si>
  <si>
    <t xml:space="preserve">Proposed loan result (Ongoing): </t>
  </si>
  <si>
    <t xml:space="preserve">Refer to the Postcode Lookup Tool for geographic negative gearing eligibility. 
Note: Negative Gearing calculates the interest and monthly charges to be paid on an investment home loan each year and uses this figure as a tax deduction.  Therefore the applicant(s) taxable income will be less, which means that the tax paid by the applicant(s) will be less.
Negative gearing is not applicable in the servicing of IHL applications with a Base LVR greater than 90% or for customers receiving the First Home Buyers' grant. Please add in the Ongoing Loan splits (if applicable for Negative Gearing) under 'Bridging Period' tab, to accomodate for the Negative Gearing eligibility during the Bridging Period
</t>
  </si>
  <si>
    <t>Bridging or Ongoing</t>
  </si>
  <si>
    <t>Ongoing Summary:</t>
  </si>
  <si>
    <t>Bridging Period (only applicable to Bridging calculator)</t>
  </si>
  <si>
    <t>* To include negative gearing for the Ongoing loan during Bridging period, click on the "Negative Gearing" pushbutton and fill in the desired percentages. The default percentages are set to zero.</t>
  </si>
  <si>
    <t>Proposed Loan Details / Ongoing Period</t>
  </si>
  <si>
    <t>Monthly repayments will be automatically calculated except for Lease, Hire purchase,Other and HECS products. It is not required where the commitment will be payed out.</t>
  </si>
  <si>
    <t>Enter the assessment rate for the Bridging loan.  Do not include any discounts.</t>
  </si>
  <si>
    <t>Enter the amount of the sales proceeds being used to payoff the Bridging loan and any commitments thereof.</t>
  </si>
  <si>
    <t>Bridging Period (Applicable to Bridging calculator only)</t>
  </si>
  <si>
    <r>
      <t xml:space="preserve">Enter the repayment for the Bridging loan. It could be a value between IO (Interest Only) and PI (Principal &amp; Interest). The value selected here would influence the repayment amount under </t>
    </r>
    <r>
      <rPr>
        <b/>
        <sz val="10"/>
        <rFont val="Arial"/>
        <family val="2"/>
      </rPr>
      <t>Bridging Commitments.</t>
    </r>
  </si>
  <si>
    <t>Ongoing repayment 1</t>
  </si>
  <si>
    <r>
      <t xml:space="preserve">Enter the repayment for the 1st Ongoing loan split. It could be a value between IO (Interest Only) and PI (Principal &amp; Interest). The value selected here would influence the repayment amount under </t>
    </r>
    <r>
      <rPr>
        <b/>
        <sz val="10"/>
        <rFont val="Arial"/>
        <family val="2"/>
      </rPr>
      <t>Bridging Commitments.</t>
    </r>
  </si>
  <si>
    <t>Conditional Mandatory</t>
  </si>
  <si>
    <r>
      <t xml:space="preserve">Enter the repayment for the 2nd Ongoing loan split (if there is one). It could be a value between IO (Interest Only) and PI (Principal &amp; Interest). The value selected here would influence the repayment amount under </t>
    </r>
    <r>
      <rPr>
        <b/>
        <sz val="10"/>
        <rFont val="Arial"/>
        <family val="2"/>
      </rPr>
      <t>Bridging Commitments.</t>
    </r>
  </si>
  <si>
    <t>Ongoing repayment 3</t>
  </si>
  <si>
    <r>
      <t xml:space="preserve">Enter the repayment for the 3rd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</si>
  <si>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Enter the repayment for the 4th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</si>
  <si>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Enter the repayment for the 5th Ongoing loan split (if there is one). It could be a value between IO (Interest Only) and PI (Principal &amp; Interest). The value selected here would influence the repayment amount under </t>
    </r>
    <r>
      <rPr>
        <b/>
        <sz val="10"/>
        <rFont val="Arial"/>
        <family val="2"/>
      </rPr>
      <t>Bridging Commitments.</t>
    </r>
  </si>
  <si>
    <t>Ongoing repayment 6</t>
  </si>
  <si>
    <r>
      <t xml:space="preserve">Enter the repayment for the 6th Ongoing loan split (if there is one). It could be a value between IO (Interest Only) and PI (Principal &amp; Interest). The value selected here would influence the repayment amount under </t>
    </r>
    <r>
      <rPr>
        <b/>
        <sz val="10"/>
        <rFont val="Arial"/>
        <family val="2"/>
      </rPr>
      <t>Bridging Commitments.</t>
    </r>
  </si>
  <si>
    <r>
      <t xml:space="preserve">Important information:
</t>
    </r>
    <r>
      <rPr>
        <sz val="10"/>
        <rFont val="Calibri"/>
        <family val="2"/>
      </rPr>
      <t>●</t>
    </r>
    <r>
      <rPr>
        <sz val="10"/>
        <rFont val="Arial"/>
        <family val="2"/>
      </rPr>
      <t xml:space="preserve"> Where the YTD period on the payslip is &lt; 3 months, you must also obtain a PAYG payment summary/Income Statement or tax return. Use the lower of the annualised YTD amount and PAYG payment summary/Income Statement or tax return.
● Where the YTD amount on the payslip contains bonus/commission payments and these are detailed on the payslip, deduct those amounts from the Gross YTD amount prior to inputting into the calculator.
● </t>
    </r>
    <r>
      <rPr>
        <b/>
        <sz val="10"/>
        <rFont val="Arial"/>
        <family val="2"/>
      </rPr>
      <t>This Calculator is to be used in conjunction with the requirements outlined in CommBroker. Noting the above may vary for different income types.</t>
    </r>
  </si>
  <si>
    <t>LITO</t>
  </si>
  <si>
    <t>Taxable_income</t>
  </si>
  <si>
    <t>Offset_tax</t>
  </si>
  <si>
    <t>cent</t>
  </si>
  <si>
    <t>LMITO</t>
  </si>
  <si>
    <t>Taxoffset Adjustment</t>
  </si>
  <si>
    <t>Income Tax(Including Offsets)</t>
  </si>
  <si>
    <r>
      <t xml:space="preserve">●This Calculator </t>
    </r>
    <r>
      <rPr>
        <b/>
        <u/>
        <sz val="10"/>
        <rFont val="Arial"/>
        <family val="2"/>
      </rPr>
      <t>is not to be used</t>
    </r>
    <r>
      <rPr>
        <sz val="10"/>
        <rFont val="Arial"/>
        <family val="2"/>
      </rPr>
      <t xml:space="preserve"> to calculate total annual gross income if the customer/s have completed a withholding declaration to claim tax offsets.
●You don't need to complete anything in your tax return in order for us to work out your low or low and middle income tax offset.We work out the amount of this tax offset for you once you lodge your tax return.
●Income must be credited over a minimum 3 month period. Where there is a difference in amounts, an averaged figure must be used (care must be taken with large variances).
● Deductions included in the add back deductions fields must be verified from a payslip retained on file.
● </t>
    </r>
    <r>
      <rPr>
        <b/>
        <sz val="10"/>
        <rFont val="Arial"/>
        <family val="2"/>
      </rPr>
      <t>This Calculator is to be used in conjuction with the requirements outlined in CommBroker. Noting the above may vary for different income types.</t>
    </r>
  </si>
  <si>
    <t>Angus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</si>
</sst>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3">
    <numFmt numFmtId="164" formatCode="&quot;$&quot;#,##0;\-&quot;$&quot;#,##0"/>
    <numFmt numFmtId="165" formatCode="&quot;$&quot;#,##0;[Red]\-&quot;$&quot;#,##0"/>
    <numFmt numFmtId="166" formatCode="&quot;$&quot;#,##0.00;[Red]\-&quot;$&quot;#,##0.00"/>
    <numFmt numFmtId="167" formatCode="_-&quot;$&quot;* #,##0.00_-;\-&quot;$&quot;* #,##0.00_-;_-&quot;$&quot;* &quot;-&quot;??_-;_-@_-"/>
    <numFmt numFmtId="168" formatCode="_-* #,##0.00_-;\-* #,##0.00_-;_-* &quot;-&quot;??_-;_-@_-"/>
    <numFmt numFmtId="169" formatCode="&quot;$&quot;#,##0;&quot;$&quot;\-#,##0"/>
    <numFmt numFmtId="170" formatCode="&quot;$&quot;#,##0;[Red]&quot;$&quot;\-#,##0"/>
    <numFmt numFmtId="171" formatCode="&quot;$&quot;#,##0.00;&quot;$&quot;\-#,##0.00"/>
    <numFmt numFmtId="172" formatCode="&quot;$&quot;#,##0.00;[Red]&quot;$&quot;\-#,##0.00"/>
    <numFmt numFmtId="173" formatCode="_ &quot;$&quot;* #,##0_ ;_ &quot;$&quot;* \-#,##0_ ;_ &quot;$&quot;* &quot;-&quot;_ ;_ @_ "/>
    <numFmt numFmtId="174" formatCode="_ &quot;$&quot;* #,##0.00_ ;_ &quot;$&quot;* \-#,##0.00_ ;_ &quot;$&quot;* &quot;-&quot;??_ ;_ @_ "/>
    <numFmt numFmtId="175" formatCode="0.000%"/>
    <numFmt numFmtId="176" formatCode="&quot;$&quot;#,##0"/>
    <numFmt numFmtId="177" formatCode="_(&quot;$&quot;* #,##0_);_(&quot;$&quot;* \(#,##0\);_(&quot;$&quot;* &quot;-&quot;??_);_(@_)"/>
    <numFmt numFmtId="178" formatCode="d\ mmm\ yy"/>
    <numFmt numFmtId="179" formatCode="_ &quot;$&quot;* #,##0_ ;_ &quot;$&quot;* \-#,##0_ ;_ &quot;$&quot;* &quot;-&quot;??_ ;_ @_ "/>
    <numFmt numFmtId="180" formatCode="_-&quot;$&quot;* #,##0_-;\-&quot;$&quot;* #,##0_-;_-&quot;$&quot;* &quot;-&quot;??_-;_-@_-"/>
    <numFmt numFmtId="181" formatCode="#,##0_ ;\-#,##0\ "/>
    <numFmt numFmtId="182" formatCode="_-&quot;$&quot;* #,##0.00_-;_-&quot;$&quot;* \-#,##0.00_-;_-&quot;$&quot;* &quot;-&quot;??_-;_-@_-"/>
    <numFmt numFmtId="183" formatCode="&quot;$&quot;#,##0.00"/>
    <numFmt numFmtId="184" formatCode="0.0%"/>
    <numFmt numFmtId="185" formatCode="_-&quot;$&quot;* #,##0.0_-;\-&quot;$&quot;* #,##0.0_-;_-&quot;$&quot;* &quot;-&quot;??_-;_-@_-"/>
    <numFmt numFmtId="186" formatCode="_-* #,##0_-;\-* #,##0_-;_-* &quot;-&quot;??_-;_-@_-"/>
  </numFmts>
  <fonts count="49" x14ac:knownFonts="1">
    <font>
      <sz val="10"/>
      <name val="Arial"/>
    </font>
    <font>
      <sz val="10"/>
      <name val="Arial"/>
      <family val="2"/>
    </font>
    <font>
      <b/>
      <sz val="14"/>
      <name val="Arial"/>
      <family val="2"/>
    </font>
    <font>
      <sz val="8"/>
      <name val="Arial"/>
      <family val="2"/>
    </font>
    <font>
      <b/>
      <sz val="12"/>
      <name val="Arial"/>
      <family val="2"/>
    </font>
    <font>
      <b/>
      <sz val="10"/>
      <name val="Verdana"/>
      <family val="2"/>
    </font>
    <font>
      <b/>
      <sz val="10"/>
      <name val="Arial"/>
      <family val="2"/>
    </font>
    <font>
      <i/>
      <sz val="10"/>
      <name val="Arial"/>
      <family val="2"/>
    </font>
    <font>
      <sz val="10"/>
      <name val="Arial"/>
      <family val="2"/>
    </font>
    <font>
      <b/>
      <sz val="14"/>
      <color indexed="8"/>
      <name val="Arial Narrow"/>
      <family val="2"/>
    </font>
    <font>
      <b/>
      <sz val="13"/>
      <color indexed="8"/>
      <name val="Arial Narrow"/>
      <family val="2"/>
    </font>
    <font>
      <sz val="10"/>
      <color indexed="12"/>
      <name val="Arial"/>
      <family val="2"/>
    </font>
    <font>
      <b/>
      <sz val="10"/>
      <color indexed="12"/>
      <name val="Arial"/>
      <family val="2"/>
    </font>
    <font>
      <sz val="10"/>
      <color indexed="24"/>
      <name val="Arial"/>
      <family val="2"/>
    </font>
    <font>
      <sz val="10"/>
      <color indexed="10"/>
      <name val="Arial"/>
      <family val="2"/>
    </font>
    <font>
      <sz val="10"/>
      <color indexed="16"/>
      <name val="Arial"/>
      <family val="2"/>
    </font>
    <font>
      <sz val="12"/>
      <name val="Tahoma"/>
      <family val="2"/>
    </font>
    <font>
      <b/>
      <sz val="10"/>
      <color indexed="8"/>
      <name val="Arial"/>
      <family val="2"/>
    </font>
    <font>
      <sz val="11"/>
      <name val="Arial"/>
      <family val="2"/>
    </font>
    <font>
      <b/>
      <sz val="12"/>
      <color indexed="8"/>
      <name val="Arial"/>
      <family val="2"/>
    </font>
    <font>
      <b/>
      <u/>
      <sz val="12"/>
      <color indexed="8"/>
      <name val="Arial"/>
      <family val="2"/>
    </font>
    <font>
      <sz val="12"/>
      <name val="Arial"/>
      <family val="2"/>
    </font>
    <font>
      <b/>
      <i/>
      <sz val="10"/>
      <name val="Arial"/>
      <family val="2"/>
    </font>
    <font>
      <sz val="14"/>
      <name val="Arial"/>
      <family val="2"/>
    </font>
    <font>
      <sz val="14"/>
      <color indexed="10"/>
      <name val="Arial"/>
      <family val="2"/>
    </font>
    <font>
      <b/>
      <sz val="10"/>
      <color indexed="18"/>
      <name val="Arial"/>
      <family val="2"/>
    </font>
    <font>
      <b/>
      <sz val="10"/>
      <color indexed="13"/>
      <name val="Arial"/>
      <family val="2"/>
    </font>
    <font>
      <sz val="8"/>
      <name val="Arial"/>
      <family val="2"/>
    </font>
    <font>
      <sz val="10"/>
      <color indexed="10"/>
      <name val="Arial"/>
      <family val="2"/>
    </font>
    <font>
      <sz val="10"/>
      <color indexed="9"/>
      <name val="Arial"/>
      <family val="2"/>
    </font>
    <font>
      <sz val="8"/>
      <color indexed="81"/>
      <name val="Tahoma"/>
      <family val="2"/>
    </font>
    <font>
      <b/>
      <sz val="8"/>
      <color indexed="81"/>
      <name val="Tahoma"/>
      <family val="2"/>
    </font>
    <font>
      <b/>
      <sz val="8"/>
      <name val="Arial"/>
      <family val="2"/>
    </font>
    <font>
      <b/>
      <sz val="14"/>
      <name val="Arial Narrow"/>
      <family val="2"/>
    </font>
    <font>
      <sz val="10"/>
      <name val="Arial"/>
      <family val="2"/>
    </font>
    <font>
      <b/>
      <sz val="9"/>
      <color indexed="81"/>
      <name val="Tahoma"/>
      <family val="2"/>
    </font>
    <font>
      <sz val="9"/>
      <color indexed="81"/>
      <name val="Tahoma"/>
      <family val="2"/>
    </font>
    <font>
      <sz val="10"/>
      <name val="Arial"/>
      <family val="2"/>
    </font>
    <font>
      <sz val="10"/>
      <color theme="0"/>
      <name val="Arial"/>
      <family val="2"/>
    </font>
    <font>
      <sz val="10"/>
      <color rgb="FFC00000"/>
      <name val="Arial"/>
      <family val="2"/>
    </font>
    <font>
      <sz val="10"/>
      <color rgb="FF000000"/>
      <name val="Arial"/>
      <family val="2"/>
    </font>
    <font>
      <b/>
      <sz val="14"/>
      <color rgb="FF000000"/>
      <name val="Arial"/>
      <family val="2"/>
    </font>
    <font>
      <b/>
      <sz val="10"/>
      <color rgb="FF000000"/>
      <name val="Arial"/>
      <family val="2"/>
    </font>
    <font>
      <sz val="10"/>
      <color rgb="FFFF0000"/>
      <name val="Arial"/>
      <family val="2"/>
    </font>
    <font>
      <b/>
      <sz val="10"/>
      <color theme="0"/>
      <name val="Arial"/>
      <family val="2"/>
    </font>
    <font>
      <sz val="10"/>
      <name val="Calibri"/>
      <family val="2"/>
    </font>
    <font>
      <sz val="10"/>
      <color theme="9"/>
      <name val="Arial"/>
      <family val="2"/>
    </font>
    <font>
      <sz val="10"/>
      <name val="Arial"/>
      <family val="2"/>
    </font>
    <font>
      <b/>
      <u/>
      <sz val="10"/>
      <name val="Arial"/>
      <family val="2"/>
    </font>
  </fonts>
  <fills count="17">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indexed="9"/>
        <bgColor indexed="64"/>
      </patternFill>
    </fill>
    <fill>
      <patternFill patternType="solid">
        <fgColor indexed="42"/>
        <bgColor indexed="64"/>
      </patternFill>
    </fill>
    <fill>
      <patternFill patternType="solid">
        <fgColor indexed="13"/>
        <bgColor indexed="64"/>
      </patternFill>
    </fill>
    <fill>
      <patternFill patternType="solid">
        <fgColor indexed="41"/>
        <bgColor indexed="64"/>
      </patternFill>
    </fill>
    <fill>
      <patternFill patternType="solid">
        <fgColor indexed="44"/>
        <bgColor indexed="64"/>
      </patternFill>
    </fill>
    <fill>
      <patternFill patternType="solid">
        <fgColor indexed="17"/>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FFCC99"/>
        <bgColor indexed="64"/>
      </patternFill>
    </fill>
    <fill>
      <patternFill patternType="solid">
        <fgColor theme="0"/>
        <bgColor indexed="64"/>
      </patternFill>
    </fill>
    <fill>
      <patternFill patternType="solid">
        <fgColor rgb="FF66FFFF"/>
        <bgColor indexed="64"/>
      </patternFill>
    </fill>
  </fills>
  <borders count="14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12"/>
      </left>
      <right style="thin">
        <color indexed="12"/>
      </right>
      <top style="thin">
        <color indexed="12"/>
      </top>
      <bottom style="thin">
        <color indexed="12"/>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53"/>
      </left>
      <right/>
      <top style="medium">
        <color indexed="53"/>
      </top>
      <bottom style="medium">
        <color indexed="53"/>
      </bottom>
      <diagonal/>
    </border>
    <border>
      <left/>
      <right/>
      <top style="medium">
        <color indexed="53"/>
      </top>
      <bottom style="medium">
        <color indexed="53"/>
      </bottom>
      <diagonal/>
    </border>
    <border>
      <left style="medium">
        <color indexed="53"/>
      </left>
      <right/>
      <top/>
      <bottom/>
      <diagonal/>
    </border>
    <border>
      <left style="thin">
        <color indexed="64"/>
      </left>
      <right style="thin">
        <color indexed="64"/>
      </right>
      <top style="thin">
        <color indexed="12"/>
      </top>
      <bottom style="thin">
        <color indexed="12"/>
      </bottom>
      <diagonal/>
    </border>
    <border>
      <left style="thin">
        <color indexed="53"/>
      </left>
      <right/>
      <top style="thin">
        <color indexed="53"/>
      </top>
      <bottom style="thin">
        <color indexed="53"/>
      </bottom>
      <diagonal/>
    </border>
    <border>
      <left/>
      <right/>
      <top style="thin">
        <color indexed="53"/>
      </top>
      <bottom style="thin">
        <color indexed="53"/>
      </bottom>
      <diagonal/>
    </border>
    <border>
      <left/>
      <right style="thin">
        <color indexed="53"/>
      </right>
      <top style="thin">
        <color indexed="53"/>
      </top>
      <bottom style="thin">
        <color indexed="53"/>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64"/>
      </left>
      <right style="thin">
        <color indexed="64"/>
      </right>
      <top style="thin">
        <color indexed="12"/>
      </top>
      <bottom style="thin">
        <color indexed="64"/>
      </bottom>
      <diagonal/>
    </border>
    <border>
      <left style="thin">
        <color indexed="64"/>
      </left>
      <right style="thin">
        <color indexed="64"/>
      </right>
      <top style="thin">
        <color indexed="64"/>
      </top>
      <bottom style="thin">
        <color indexed="12"/>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right style="medium">
        <color indexed="53"/>
      </right>
      <top style="medium">
        <color indexed="53"/>
      </top>
      <bottom style="medium">
        <color indexed="53"/>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12"/>
      </left>
      <right style="medium">
        <color indexed="12"/>
      </right>
      <top style="thin">
        <color indexed="12"/>
      </top>
      <bottom style="medium">
        <color indexed="12"/>
      </bottom>
      <diagonal/>
    </border>
    <border>
      <left style="medium">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12"/>
      </left>
      <right style="thin">
        <color indexed="12"/>
      </right>
      <top style="thin">
        <color indexed="12"/>
      </top>
      <bottom/>
      <diagonal/>
    </border>
    <border>
      <left style="thin">
        <color indexed="8"/>
      </left>
      <right style="thin">
        <color indexed="8"/>
      </right>
      <top style="thin">
        <color indexed="8"/>
      </top>
      <bottom style="thin">
        <color indexed="8"/>
      </bottom>
      <diagonal/>
    </border>
    <border>
      <left style="thin">
        <color indexed="12"/>
      </left>
      <right style="thin">
        <color indexed="12"/>
      </right>
      <top style="thin">
        <color indexed="12"/>
      </top>
      <bottom style="thin">
        <color indexed="64"/>
      </bottom>
      <diagonal/>
    </border>
    <border>
      <left style="thin">
        <color indexed="12"/>
      </left>
      <right style="thin">
        <color indexed="12"/>
      </right>
      <top style="thin">
        <color indexed="64"/>
      </top>
      <bottom/>
      <diagonal/>
    </border>
    <border>
      <left style="thin">
        <color indexed="12"/>
      </left>
      <right style="thin">
        <color indexed="12"/>
      </right>
      <top/>
      <bottom style="thin">
        <color indexed="64"/>
      </bottom>
      <diagonal/>
    </border>
    <border>
      <left style="thin">
        <color indexed="12"/>
      </left>
      <right style="thin">
        <color indexed="12"/>
      </right>
      <top style="thin">
        <color indexed="64"/>
      </top>
      <bottom style="thin">
        <color indexed="64"/>
      </bottom>
      <diagonal/>
    </border>
    <border>
      <left style="thin">
        <color indexed="12"/>
      </left>
      <right style="thin">
        <color indexed="64"/>
      </right>
      <top style="thin">
        <color indexed="64"/>
      </top>
      <bottom style="thin">
        <color indexed="64"/>
      </bottom>
      <diagonal/>
    </border>
    <border>
      <left style="thin">
        <color indexed="12"/>
      </left>
      <right style="thin">
        <color indexed="64"/>
      </right>
      <top style="thin">
        <color indexed="64"/>
      </top>
      <bottom/>
      <diagonal/>
    </border>
    <border>
      <left/>
      <right/>
      <top style="medium">
        <color indexed="64"/>
      </top>
      <bottom/>
      <diagonal/>
    </border>
    <border>
      <left/>
      <right/>
      <top style="thin">
        <color indexed="12"/>
      </top>
      <bottom/>
      <diagonal/>
    </border>
    <border>
      <left style="thin">
        <color indexed="12"/>
      </left>
      <right/>
      <top style="thin">
        <color indexed="12"/>
      </top>
      <bottom style="thin">
        <color indexed="12"/>
      </bottom>
      <diagonal/>
    </border>
    <border>
      <left style="thin">
        <color indexed="64"/>
      </left>
      <right/>
      <top style="thin">
        <color indexed="64"/>
      </top>
      <bottom style="thin">
        <color indexed="12"/>
      </bottom>
      <diagonal/>
    </border>
    <border>
      <left/>
      <right style="thin">
        <color indexed="12"/>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rgb="FF0000FF"/>
      </right>
      <top style="thin">
        <color indexed="64"/>
      </top>
      <bottom style="thin">
        <color indexed="12"/>
      </bottom>
      <diagonal/>
    </border>
    <border>
      <left style="thin">
        <color rgb="FF0000FF"/>
      </left>
      <right style="thin">
        <color rgb="FF0000FF"/>
      </right>
      <top style="thin">
        <color rgb="FF0000FF"/>
      </top>
      <bottom style="thin">
        <color rgb="FF0000FF"/>
      </bottom>
      <diagonal/>
    </border>
    <border>
      <left style="thin">
        <color theme="1"/>
      </left>
      <right style="thin">
        <color theme="1"/>
      </right>
      <top style="thin">
        <color theme="1"/>
      </top>
      <bottom style="thin">
        <color rgb="FF0000FF"/>
      </bottom>
      <diagonal/>
    </border>
    <border>
      <left/>
      <right/>
      <top style="thin">
        <color auto="1"/>
      </top>
      <bottom style="thin">
        <color auto="1"/>
      </bottom>
      <diagonal/>
    </border>
    <border>
      <left style="thin">
        <color theme="1"/>
      </left>
      <right/>
      <top/>
      <bottom/>
      <diagonal/>
    </border>
    <border>
      <left style="thin">
        <color rgb="FF0000FF"/>
      </left>
      <right/>
      <top/>
      <bottom/>
      <diagonal/>
    </border>
    <border>
      <left style="thin">
        <color indexed="64"/>
      </left>
      <right/>
      <top style="thin">
        <color indexed="64"/>
      </top>
      <bottom style="thin">
        <color theme="1"/>
      </bottom>
      <diagonal/>
    </border>
    <border>
      <left/>
      <right/>
      <top style="thin">
        <color indexed="64"/>
      </top>
      <bottom style="thin">
        <color theme="1"/>
      </bottom>
      <diagonal/>
    </border>
    <border>
      <left/>
      <right style="thin">
        <color indexed="64"/>
      </right>
      <top style="thin">
        <color indexed="64"/>
      </top>
      <bottom style="thin">
        <color theme="1"/>
      </bottom>
      <diagonal/>
    </border>
    <border>
      <left style="medium">
        <color rgb="FFFF6600"/>
      </left>
      <right/>
      <top style="medium">
        <color rgb="FFFF6600"/>
      </top>
      <bottom style="medium">
        <color rgb="FFFF6600"/>
      </bottom>
      <diagonal/>
    </border>
    <border>
      <left style="medium">
        <color rgb="FF008000"/>
      </left>
      <right/>
      <top style="medium">
        <color rgb="FFFF6600"/>
      </top>
      <bottom style="medium">
        <color rgb="FFFF6600"/>
      </bottom>
      <diagonal/>
    </border>
    <border>
      <left/>
      <right/>
      <top style="medium">
        <color rgb="FFFF6600"/>
      </top>
      <bottom style="medium">
        <color rgb="FFFF6600"/>
      </bottom>
      <diagonal/>
    </border>
    <border>
      <left/>
      <right style="medium">
        <color rgb="FFFF6600"/>
      </right>
      <top style="medium">
        <color rgb="FFFF6600"/>
      </top>
      <bottom style="medium">
        <color rgb="FFFF6600"/>
      </bottom>
      <diagonal/>
    </border>
    <border>
      <left style="thin">
        <color rgb="FFFF6600"/>
      </left>
      <right/>
      <top style="thin">
        <color rgb="FFFF6600"/>
      </top>
      <bottom style="thin">
        <color rgb="FFFF6600"/>
      </bottom>
      <diagonal/>
    </border>
    <border>
      <left style="thin">
        <color rgb="FF0080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rgb="FF0000FF"/>
      </bottom>
      <diagonal/>
    </border>
    <border>
      <left/>
      <right/>
      <top style="thin">
        <color auto="1"/>
      </top>
      <bottom style="thin">
        <color auto="1"/>
      </bottom>
      <diagonal/>
    </border>
    <border>
      <left style="thin">
        <color theme="1"/>
      </left>
      <right style="thin">
        <color theme="1"/>
      </right>
      <top style="thin">
        <color indexed="12"/>
      </top>
      <bottom style="thin">
        <color theme="1"/>
      </bottom>
      <diagonal/>
    </border>
    <border>
      <left style="thin">
        <color theme="1"/>
      </left>
      <right style="thin">
        <color theme="1"/>
      </right>
      <top style="thin">
        <color theme="1"/>
      </top>
      <bottom style="thin">
        <color indexed="12"/>
      </bottom>
      <diagonal/>
    </border>
    <border>
      <left style="thin">
        <color theme="1"/>
      </left>
      <right style="thin">
        <color indexed="64"/>
      </right>
      <top style="thin">
        <color indexed="64"/>
      </top>
      <bottom style="thin">
        <color indexed="64"/>
      </bottom>
      <diagonal/>
    </border>
    <border>
      <left/>
      <right/>
      <top/>
      <bottom style="thin">
        <color indexed="53"/>
      </bottom>
      <diagonal/>
    </border>
    <border>
      <left style="thin">
        <color theme="1"/>
      </left>
      <right style="thin">
        <color theme="1"/>
      </right>
      <top style="thin">
        <color theme="1"/>
      </top>
      <bottom style="thin">
        <color theme="1"/>
      </bottom>
      <diagonal/>
    </border>
    <border>
      <left style="thin">
        <color indexed="12"/>
      </left>
      <right style="thin">
        <color indexed="12"/>
      </right>
      <top style="thin">
        <color indexed="64"/>
      </top>
      <bottom/>
      <diagonal/>
    </border>
    <border>
      <left style="thin">
        <color rgb="FF0000FF"/>
      </left>
      <right style="thin">
        <color auto="1"/>
      </right>
      <top style="thin">
        <color indexed="64"/>
      </top>
      <bottom style="thin">
        <color auto="1"/>
      </bottom>
      <diagonal/>
    </border>
    <border>
      <left style="thin">
        <color rgb="FF0000FF"/>
      </left>
      <right style="thin">
        <color rgb="FF0000FF"/>
      </right>
      <top style="thin">
        <color auto="1"/>
      </top>
      <bottom style="thin">
        <color auto="1"/>
      </bottom>
      <diagonal/>
    </border>
    <border>
      <left style="thin">
        <color indexed="64"/>
      </left>
      <right style="thin">
        <color rgb="FF0000FF"/>
      </right>
      <top style="thin">
        <color indexed="64"/>
      </top>
      <bottom style="thin">
        <color indexed="64"/>
      </bottom>
      <diagonal/>
    </border>
    <border>
      <left style="thin">
        <color rgb="FF0000FF"/>
      </left>
      <right style="thin">
        <color theme="1"/>
      </right>
      <top style="thin">
        <color indexed="64"/>
      </top>
      <bottom style="thin">
        <color theme="1"/>
      </bottom>
      <diagonal/>
    </border>
    <border>
      <left style="thin">
        <color theme="1"/>
      </left>
      <right style="thin">
        <color theme="1"/>
      </right>
      <top style="thin">
        <color indexed="64"/>
      </top>
      <bottom style="thin">
        <color theme="1"/>
      </bottom>
      <diagonal/>
    </border>
    <border>
      <left style="thin">
        <color rgb="FF0000FF"/>
      </left>
      <right style="thin">
        <color theme="1"/>
      </right>
      <top style="thin">
        <color theme="1"/>
      </top>
      <bottom style="thin">
        <color theme="1"/>
      </bottom>
      <diagonal/>
    </border>
    <border>
      <left style="thin">
        <color indexed="12"/>
      </left>
      <right style="thin">
        <color indexed="12"/>
      </right>
      <top style="thin">
        <color indexed="12"/>
      </top>
      <bottom style="thin">
        <color indexed="1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rgb="FF0000FF"/>
      </left>
      <right style="thin">
        <color indexed="64"/>
      </right>
      <top style="thin">
        <color rgb="FF0000FF"/>
      </top>
      <bottom style="thin">
        <color rgb="FF0000FF"/>
      </bottom>
      <diagonal/>
    </border>
    <border>
      <left style="thin">
        <color indexed="64"/>
      </left>
      <right style="thin">
        <color indexed="64"/>
      </right>
      <top style="thin">
        <color rgb="FF0000FF"/>
      </top>
      <bottom style="thin">
        <color rgb="FF0000FF"/>
      </bottom>
      <diagonal/>
    </border>
    <border>
      <left style="thin">
        <color indexed="64"/>
      </left>
      <right style="thin">
        <color rgb="FF0000FF"/>
      </right>
      <top style="thin">
        <color rgb="FF0000FF"/>
      </top>
      <bottom style="thin">
        <color rgb="FF0000FF"/>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thin">
        <color indexed="12"/>
      </left>
      <right/>
      <top style="thin">
        <color auto="1"/>
      </top>
      <bottom style="thin">
        <color indexed="64"/>
      </bottom>
      <diagonal/>
    </border>
    <border>
      <left style="thin">
        <color indexed="12"/>
      </left>
      <right style="thin">
        <color auto="1"/>
      </right>
      <top style="thin">
        <color auto="1"/>
      </top>
      <bottom style="thin">
        <color indexed="64"/>
      </bottom>
      <diagonal/>
    </border>
    <border>
      <left/>
      <right/>
      <top style="thin">
        <color indexed="53"/>
      </top>
      <bottom style="thin">
        <color indexed="53"/>
      </bottom>
      <diagonal/>
    </border>
    <border>
      <left style="thin">
        <color indexed="12"/>
      </left>
      <right/>
      <top style="thin">
        <color indexed="12"/>
      </top>
      <bottom style="thin">
        <color indexed="12"/>
      </bottom>
      <diagonal/>
    </border>
    <border>
      <left/>
      <right/>
      <top style="thin">
        <color indexed="12"/>
      </top>
      <bottom/>
      <diagonal/>
    </border>
    <border>
      <left style="thin">
        <color indexed="12"/>
      </left>
      <right style="thin">
        <color indexed="12"/>
      </right>
      <top style="thin">
        <color rgb="FF0000FF"/>
      </top>
      <bottom style="thin">
        <color indexed="12"/>
      </bottom>
      <diagonal/>
    </border>
    <border>
      <left style="thin">
        <color indexed="64"/>
      </left>
      <right/>
      <top style="thin">
        <color indexed="64"/>
      </top>
      <bottom style="thin">
        <color indexed="12"/>
      </bottom>
      <diagonal/>
    </border>
    <border>
      <left/>
      <right style="thin">
        <color indexed="64"/>
      </right>
      <top style="thin">
        <color indexed="64"/>
      </top>
      <bottom style="thin">
        <color indexed="12"/>
      </bottom>
      <diagonal/>
    </border>
    <border>
      <left style="thin">
        <color indexed="12"/>
      </left>
      <right/>
      <top/>
      <bottom/>
      <diagonal/>
    </border>
    <border>
      <left/>
      <right/>
      <top style="thin">
        <color indexed="64"/>
      </top>
      <bottom style="thin">
        <color indexed="12"/>
      </bottom>
      <diagonal/>
    </border>
    <border>
      <left style="thin">
        <color indexed="64"/>
      </left>
      <right/>
      <top/>
      <bottom style="thin">
        <color rgb="FF0000FF"/>
      </bottom>
      <diagonal/>
    </border>
    <border>
      <left/>
      <right/>
      <top/>
      <bottom style="thin">
        <color rgb="FF0000FF"/>
      </bottom>
      <diagonal/>
    </border>
    <border>
      <left/>
      <right style="thin">
        <color indexed="64"/>
      </right>
      <top/>
      <bottom style="thin">
        <color rgb="FF0000FF"/>
      </bottom>
      <diagonal/>
    </border>
    <border>
      <left/>
      <right style="thin">
        <color indexed="12"/>
      </right>
      <top style="thin">
        <color rgb="FF0000FF"/>
      </top>
      <bottom style="thin">
        <color indexed="12"/>
      </bottom>
      <diagonal/>
    </border>
    <border>
      <left style="thin">
        <color indexed="12"/>
      </left>
      <right/>
      <top style="thin">
        <color rgb="FF0000FF"/>
      </top>
      <bottom style="thin">
        <color indexed="12"/>
      </bottom>
      <diagonal/>
    </border>
    <border>
      <left/>
      <right/>
      <top style="thin">
        <color rgb="FF0000FF"/>
      </top>
      <bottom style="thin">
        <color indexed="12"/>
      </bottom>
      <diagonal/>
    </border>
    <border>
      <left style="thin">
        <color indexed="12"/>
      </left>
      <right style="thin">
        <color indexed="12"/>
      </right>
      <top/>
      <bottom style="thin">
        <color indexed="12"/>
      </bottom>
      <diagonal/>
    </border>
    <border>
      <left style="thin">
        <color indexed="12"/>
      </left>
      <right style="thin">
        <color auto="1"/>
      </right>
      <top style="thin">
        <color indexed="64"/>
      </top>
      <bottom style="thin">
        <color theme="1"/>
      </bottom>
      <diagonal/>
    </border>
    <border>
      <left/>
      <right style="thin">
        <color indexed="12"/>
      </right>
      <top style="thin">
        <color indexed="64"/>
      </top>
      <bottom style="thin">
        <color indexed="64"/>
      </bottom>
      <diagonal/>
    </border>
    <border>
      <left style="thin">
        <color indexed="12"/>
      </left>
      <right style="thin">
        <color auto="1"/>
      </right>
      <top style="thin">
        <color theme="1"/>
      </top>
      <bottom style="thin">
        <color theme="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12"/>
      </left>
      <right style="thin">
        <color indexed="12"/>
      </right>
      <top style="thin">
        <color auto="1"/>
      </top>
      <bottom style="thin">
        <color auto="1"/>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rgb="FFFF6600"/>
      </right>
      <top style="thin">
        <color indexed="53"/>
      </top>
      <bottom style="thin">
        <color indexed="53"/>
      </bottom>
      <diagonal/>
    </border>
    <border>
      <left/>
      <right style="thin">
        <color theme="1"/>
      </right>
      <top/>
      <bottom/>
      <diagonal/>
    </border>
    <border>
      <left/>
      <right style="thin">
        <color theme="1"/>
      </right>
      <top/>
      <bottom style="thin">
        <color theme="1"/>
      </bottom>
      <diagonal/>
    </border>
    <border>
      <left/>
      <right/>
      <top/>
      <bottom style="thin">
        <color theme="1"/>
      </bottom>
      <diagonal/>
    </border>
    <border>
      <left style="thin">
        <color indexed="12"/>
      </left>
      <right style="thin">
        <color indexed="12"/>
      </right>
      <top style="thin">
        <color indexed="12"/>
      </top>
      <bottom/>
      <diagonal/>
    </border>
  </borders>
  <cellStyleXfs count="4">
    <xf numFmtId="0" fontId="0" fillId="0" borderId="0"/>
    <xf numFmtId="174" fontId="1" fillId="0" borderId="0" applyFont="0" applyFill="0" applyBorder="0" applyAlignment="0" applyProtection="0"/>
    <xf numFmtId="9" fontId="1" fillId="0" borderId="0" applyFont="0" applyFill="0" applyBorder="0" applyAlignment="0" applyProtection="0"/>
    <xf numFmtId="168" fontId="47" fillId="0" borderId="0" applyFont="0" applyFill="0" applyBorder="0" applyAlignment="0" applyProtection="0"/>
  </cellStyleXfs>
  <cellXfs count="1059">
    <xf numFmtId="0" fontId="0" fillId="0" borderId="0" xfId="0"/>
    <xf numFmtId="0" fontId="0" fillId="0" borderId="0" xfId="0" applyFill="1"/>
    <xf numFmtId="0" fontId="3" fillId="0" borderId="0" xfId="0" applyFont="1" applyFill="1" applyAlignment="1">
      <alignment horizontal="right"/>
    </xf>
    <xf numFmtId="0" fontId="0" fillId="0" borderId="0" xfId="0" applyFill="1" applyAlignment="1">
      <alignment horizontal="right"/>
    </xf>
    <xf numFmtId="0" fontId="3" fillId="0" borderId="0" xfId="0" applyFont="1" applyFill="1" applyAlignment="1">
      <alignment horizontal="center"/>
    </xf>
    <xf numFmtId="0" fontId="0" fillId="0" borderId="1" xfId="0" applyFill="1" applyBorder="1"/>
    <xf numFmtId="0" fontId="0" fillId="0" borderId="2" xfId="0" applyFill="1" applyBorder="1"/>
    <xf numFmtId="0" fontId="0" fillId="0" borderId="3" xfId="0" applyFill="1" applyBorder="1"/>
    <xf numFmtId="0" fontId="0" fillId="0" borderId="4" xfId="0" applyFill="1" applyBorder="1"/>
    <xf numFmtId="0" fontId="0" fillId="0" borderId="0" xfId="0" applyFill="1" applyBorder="1"/>
    <xf numFmtId="0" fontId="0" fillId="0" borderId="5" xfId="0" applyFill="1" applyBorder="1"/>
    <xf numFmtId="0" fontId="4" fillId="0" borderId="0" xfId="0" applyFont="1" applyFill="1" applyBorder="1"/>
    <xf numFmtId="0" fontId="0" fillId="0" borderId="0" xfId="0" applyFill="1" applyBorder="1" applyAlignment="1"/>
    <xf numFmtId="0" fontId="0" fillId="0" borderId="6" xfId="0" applyFill="1" applyBorder="1" applyAlignment="1"/>
    <xf numFmtId="0" fontId="0" fillId="0" borderId="4" xfId="0" applyFill="1" applyBorder="1" applyAlignment="1"/>
    <xf numFmtId="0" fontId="0" fillId="0" borderId="5" xfId="0" applyFill="1" applyBorder="1" applyAlignment="1"/>
    <xf numFmtId="0" fontId="0" fillId="0" borderId="0" xfId="0" applyAlignment="1"/>
    <xf numFmtId="0" fontId="0" fillId="2" borderId="6" xfId="0" applyFill="1" applyBorder="1" applyAlignment="1"/>
    <xf numFmtId="0" fontId="0" fillId="0" borderId="0" xfId="0" applyFill="1" applyBorder="1" applyAlignment="1">
      <alignment wrapText="1"/>
    </xf>
    <xf numFmtId="0" fontId="5" fillId="0" borderId="7" xfId="0" applyFont="1" applyFill="1" applyBorder="1" applyAlignment="1">
      <alignment horizontal="center"/>
    </xf>
    <xf numFmtId="0" fontId="0" fillId="0" borderId="7" xfId="0" applyFill="1" applyBorder="1" applyAlignment="1">
      <alignment horizontal="center" vertical="center" wrapText="1"/>
    </xf>
    <xf numFmtId="0" fontId="0" fillId="0" borderId="9" xfId="0" applyFill="1" applyBorder="1"/>
    <xf numFmtId="0" fontId="0" fillId="0" borderId="10" xfId="0" applyFill="1" applyBorder="1"/>
    <xf numFmtId="0" fontId="9" fillId="3" borderId="11" xfId="0" applyFont="1" applyFill="1" applyBorder="1" applyAlignment="1" applyProtection="1">
      <alignment vertical="center"/>
      <protection hidden="1"/>
    </xf>
    <xf numFmtId="0" fontId="10" fillId="3" borderId="12" xfId="0" applyFont="1" applyFill="1" applyBorder="1" applyAlignment="1" applyProtection="1">
      <alignment vertical="center"/>
      <protection hidden="1"/>
    </xf>
    <xf numFmtId="0" fontId="0" fillId="0" borderId="13" xfId="0" applyFill="1" applyBorder="1"/>
    <xf numFmtId="0" fontId="0" fillId="0" borderId="5" xfId="0" applyFill="1" applyBorder="1" applyAlignment="1" applyProtection="1">
      <alignment vertical="top"/>
      <protection hidden="1"/>
    </xf>
    <xf numFmtId="0" fontId="11" fillId="0" borderId="0" xfId="0" applyFont="1" applyFill="1" applyBorder="1" applyAlignment="1" applyProtection="1">
      <alignment vertical="top"/>
      <protection hidden="1"/>
    </xf>
    <xf numFmtId="0" fontId="0" fillId="0" borderId="0" xfId="0" applyFill="1" applyBorder="1" applyAlignment="1" applyProtection="1">
      <alignment vertical="top"/>
      <protection hidden="1"/>
    </xf>
    <xf numFmtId="0" fontId="0" fillId="0" borderId="0" xfId="0" applyFill="1" applyAlignment="1">
      <alignment horizontal="center"/>
    </xf>
    <xf numFmtId="0" fontId="0" fillId="0" borderId="0" xfId="0" applyFill="1" applyBorder="1" applyAlignment="1" applyProtection="1">
      <alignment horizontal="right" vertical="top"/>
      <protection hidden="1"/>
    </xf>
    <xf numFmtId="0" fontId="0" fillId="0" borderId="0" xfId="0" applyFill="1" applyBorder="1" applyAlignment="1">
      <alignment horizontal="right"/>
    </xf>
    <xf numFmtId="0" fontId="13" fillId="0" borderId="0" xfId="0" applyFont="1" applyFill="1" applyBorder="1" applyAlignment="1" applyProtection="1">
      <alignment vertical="top"/>
      <protection hidden="1"/>
    </xf>
    <xf numFmtId="0" fontId="6" fillId="0" borderId="6" xfId="0" applyFont="1" applyFill="1" applyBorder="1" applyAlignment="1" applyProtection="1">
      <alignment horizontal="center" vertical="top"/>
      <protection locked="0"/>
    </xf>
    <xf numFmtId="0" fontId="6" fillId="0" borderId="6"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vertical="top"/>
      <protection hidden="1"/>
    </xf>
    <xf numFmtId="0" fontId="2" fillId="3" borderId="15" xfId="0" applyFont="1" applyFill="1" applyBorder="1" applyAlignment="1" applyProtection="1">
      <alignment vertical="center"/>
      <protection hidden="1"/>
    </xf>
    <xf numFmtId="0" fontId="2" fillId="3" borderId="16" xfId="0" applyFont="1" applyFill="1" applyBorder="1" applyAlignment="1" applyProtection="1">
      <alignment vertical="center"/>
      <protection hidden="1"/>
    </xf>
    <xf numFmtId="0" fontId="4" fillId="3" borderId="16" xfId="0" applyFont="1" applyFill="1" applyBorder="1" applyAlignment="1" applyProtection="1">
      <alignment horizontal="center" vertical="center"/>
      <protection hidden="1"/>
    </xf>
    <xf numFmtId="0" fontId="4" fillId="3" borderId="16" xfId="0" applyFont="1" applyFill="1" applyBorder="1" applyAlignment="1" applyProtection="1">
      <alignment horizontal="center" vertical="center" wrapText="1"/>
      <protection hidden="1"/>
    </xf>
    <xf numFmtId="0" fontId="16" fillId="3" borderId="17" xfId="0" applyFont="1" applyFill="1" applyBorder="1" applyAlignment="1" applyProtection="1">
      <alignment horizontal="center" vertical="center" wrapText="1"/>
      <protection hidden="1"/>
    </xf>
    <xf numFmtId="0" fontId="8" fillId="0" borderId="0" xfId="0" applyFont="1" applyFill="1" applyBorder="1" applyAlignment="1" applyProtection="1">
      <alignment vertical="top"/>
      <protection hidden="1"/>
    </xf>
    <xf numFmtId="173" fontId="0" fillId="0" borderId="6" xfId="0" applyNumberFormat="1" applyFill="1" applyBorder="1" applyProtection="1">
      <protection locked="0"/>
    </xf>
    <xf numFmtId="173" fontId="0" fillId="0" borderId="18" xfId="1" applyNumberFormat="1" applyFont="1" applyFill="1" applyBorder="1" applyProtection="1">
      <protection locked="0"/>
    </xf>
    <xf numFmtId="173" fontId="0" fillId="0" borderId="19" xfId="0" applyNumberFormat="1" applyFill="1" applyBorder="1" applyProtection="1">
      <protection locked="0"/>
    </xf>
    <xf numFmtId="0" fontId="7" fillId="0" borderId="0" xfId="0" applyFont="1" applyFill="1" applyBorder="1"/>
    <xf numFmtId="173" fontId="0" fillId="0" borderId="18" xfId="0" applyNumberFormat="1" applyFill="1" applyBorder="1" applyProtection="1">
      <protection locked="0"/>
    </xf>
    <xf numFmtId="173" fontId="0" fillId="0" borderId="20" xfId="0" applyNumberFormat="1" applyFill="1" applyBorder="1" applyProtection="1">
      <protection hidden="1"/>
    </xf>
    <xf numFmtId="0" fontId="6" fillId="0" borderId="0" xfId="0" applyFont="1" applyFill="1" applyBorder="1" applyAlignment="1" applyProtection="1">
      <alignment vertical="top"/>
      <protection hidden="1"/>
    </xf>
    <xf numFmtId="173" fontId="6" fillId="0" borderId="7" xfId="0" applyNumberFormat="1" applyFont="1" applyFill="1" applyBorder="1" applyProtection="1">
      <protection hidden="1"/>
    </xf>
    <xf numFmtId="173" fontId="0" fillId="0" borderId="7" xfId="0" applyNumberFormat="1" applyFill="1" applyBorder="1" applyProtection="1">
      <protection hidden="1"/>
    </xf>
    <xf numFmtId="173" fontId="0" fillId="0" borderId="21" xfId="0" applyNumberFormat="1" applyFill="1" applyBorder="1" applyProtection="1">
      <protection hidden="1"/>
    </xf>
    <xf numFmtId="173" fontId="0" fillId="0" borderId="20" xfId="0" applyNumberFormat="1" applyFill="1" applyBorder="1" applyAlignment="1" applyProtection="1">
      <alignment vertical="top"/>
      <protection hidden="1"/>
    </xf>
    <xf numFmtId="173" fontId="0" fillId="0" borderId="20" xfId="0" applyNumberFormat="1" applyFill="1" applyBorder="1" applyAlignment="1" applyProtection="1">
      <protection hidden="1"/>
    </xf>
    <xf numFmtId="0" fontId="6" fillId="0" borderId="0" xfId="0" applyFont="1" applyFill="1" applyBorder="1" applyAlignment="1" applyProtection="1">
      <alignment horizontal="right" vertical="top"/>
      <protection hidden="1"/>
    </xf>
    <xf numFmtId="9" fontId="8" fillId="0" borderId="5" xfId="0" applyNumberFormat="1" applyFont="1" applyFill="1" applyBorder="1" applyAlignment="1" applyProtection="1">
      <alignment vertical="top"/>
      <protection hidden="1"/>
    </xf>
    <xf numFmtId="0" fontId="8" fillId="0" borderId="0" xfId="0" applyFont="1"/>
    <xf numFmtId="0" fontId="2" fillId="3" borderId="17" xfId="0" applyFont="1" applyFill="1" applyBorder="1" applyAlignment="1" applyProtection="1">
      <alignment vertical="center"/>
      <protection hidden="1"/>
    </xf>
    <xf numFmtId="0" fontId="0" fillId="0" borderId="22" xfId="0" applyFill="1" applyBorder="1" applyAlignment="1">
      <alignment horizontal="center" vertical="center" wrapText="1"/>
    </xf>
    <xf numFmtId="0" fontId="8" fillId="0" borderId="6" xfId="0" applyFont="1" applyFill="1" applyBorder="1" applyProtection="1">
      <protection locked="0"/>
    </xf>
    <xf numFmtId="0" fontId="8" fillId="0" borderId="6" xfId="0" applyFont="1" applyFill="1" applyBorder="1" applyAlignment="1" applyProtection="1">
      <alignment horizontal="center"/>
      <protection locked="0"/>
    </xf>
    <xf numFmtId="173" fontId="0" fillId="0" borderId="6" xfId="1" applyNumberFormat="1" applyFont="1" applyFill="1" applyBorder="1" applyProtection="1">
      <protection locked="0"/>
    </xf>
    <xf numFmtId="0" fontId="6" fillId="0" borderId="0" xfId="0" applyFont="1" applyFill="1" applyBorder="1" applyAlignment="1">
      <alignment horizontal="right"/>
    </xf>
    <xf numFmtId="0" fontId="0" fillId="3" borderId="16" xfId="0" applyFill="1" applyBorder="1" applyAlignment="1" applyProtection="1">
      <alignment vertical="center"/>
      <protection hidden="1"/>
    </xf>
    <xf numFmtId="0" fontId="19" fillId="3" borderId="16" xfId="0" applyFont="1" applyFill="1" applyBorder="1" applyAlignment="1" applyProtection="1">
      <alignment horizontal="center" vertical="center"/>
      <protection hidden="1"/>
    </xf>
    <xf numFmtId="0" fontId="20" fillId="3" borderId="16" xfId="0" applyFont="1" applyFill="1" applyBorder="1" applyAlignment="1" applyProtection="1">
      <alignment vertical="center"/>
      <protection hidden="1"/>
    </xf>
    <xf numFmtId="0" fontId="0" fillId="3" borderId="17" xfId="0" applyFill="1" applyBorder="1" applyAlignment="1" applyProtection="1">
      <alignment vertical="center"/>
      <protection hidden="1"/>
    </xf>
    <xf numFmtId="0" fontId="8" fillId="0" borderId="5" xfId="0" applyFont="1" applyFill="1" applyBorder="1" applyAlignment="1" applyProtection="1">
      <alignment vertical="top"/>
      <protection hidden="1"/>
    </xf>
    <xf numFmtId="0" fontId="0" fillId="0" borderId="6" xfId="1" applyNumberFormat="1" applyFont="1" applyFill="1" applyBorder="1" applyAlignment="1" applyProtection="1">
      <alignment horizontal="center"/>
      <protection locked="0"/>
    </xf>
    <xf numFmtId="0" fontId="6" fillId="0" borderId="0" xfId="0" applyFont="1" applyFill="1" applyBorder="1" applyAlignment="1" applyProtection="1">
      <alignment horizontal="right" vertical="center"/>
      <protection hidden="1"/>
    </xf>
    <xf numFmtId="0" fontId="0" fillId="0" borderId="0" xfId="0" applyFill="1" applyBorder="1" applyAlignment="1" applyProtection="1">
      <alignment vertical="center"/>
      <protection hidden="1"/>
    </xf>
    <xf numFmtId="10" fontId="4" fillId="0" borderId="23" xfId="2" applyNumberFormat="1" applyFont="1" applyFill="1" applyBorder="1" applyAlignment="1" applyProtection="1">
      <alignment horizontal="center" vertical="center"/>
      <protection hidden="1"/>
    </xf>
    <xf numFmtId="0" fontId="0" fillId="0" borderId="5" xfId="0" applyFill="1" applyBorder="1" applyAlignment="1" applyProtection="1">
      <alignment vertical="center"/>
      <protection hidden="1"/>
    </xf>
    <xf numFmtId="0" fontId="0" fillId="0" borderId="0" xfId="0" applyFill="1" applyAlignment="1">
      <alignment vertical="center"/>
    </xf>
    <xf numFmtId="0" fontId="0" fillId="0" borderId="0" xfId="0" applyAlignment="1">
      <alignment vertical="center"/>
    </xf>
    <xf numFmtId="0" fontId="8" fillId="0" borderId="0" xfId="0" applyFont="1" applyAlignment="1">
      <alignment vertical="top"/>
    </xf>
    <xf numFmtId="0" fontId="0" fillId="3" borderId="16" xfId="0" applyFill="1" applyBorder="1" applyAlignment="1" applyProtection="1">
      <alignment vertical="top"/>
      <protection hidden="1"/>
    </xf>
    <xf numFmtId="0" fontId="0" fillId="3" borderId="17" xfId="0" applyFill="1" applyBorder="1" applyAlignment="1" applyProtection="1">
      <alignment vertical="top"/>
      <protection hidden="1"/>
    </xf>
    <xf numFmtId="0" fontId="0" fillId="0" borderId="21" xfId="1" applyNumberFormat="1" applyFont="1" applyFill="1" applyBorder="1" applyAlignment="1" applyProtection="1">
      <alignment horizontal="center"/>
      <protection hidden="1"/>
    </xf>
    <xf numFmtId="0" fontId="18" fillId="0" borderId="5" xfId="0" applyFont="1" applyFill="1" applyBorder="1"/>
    <xf numFmtId="0" fontId="18" fillId="0" borderId="0" xfId="0" applyFont="1"/>
    <xf numFmtId="0" fontId="0" fillId="0" borderId="1" xfId="0" applyFill="1" applyBorder="1" applyProtection="1">
      <protection hidden="1"/>
    </xf>
    <xf numFmtId="0" fontId="0" fillId="0" borderId="2" xfId="0" applyFill="1" applyBorder="1" applyProtection="1">
      <protection hidden="1"/>
    </xf>
    <xf numFmtId="0" fontId="0" fillId="0" borderId="3" xfId="0" applyFill="1" applyBorder="1" applyProtection="1">
      <protection hidden="1"/>
    </xf>
    <xf numFmtId="0" fontId="0" fillId="0" borderId="4" xfId="0" applyFill="1" applyBorder="1" applyProtection="1">
      <protection hidden="1"/>
    </xf>
    <xf numFmtId="0" fontId="0" fillId="0" borderId="0" xfId="0" applyFill="1" applyBorder="1" applyProtection="1">
      <protection hidden="1"/>
    </xf>
    <xf numFmtId="0" fontId="0" fillId="0" borderId="5" xfId="0" applyFill="1" applyBorder="1" applyProtection="1">
      <protection hidden="1"/>
    </xf>
    <xf numFmtId="0" fontId="0" fillId="0" borderId="4" xfId="0" applyFill="1" applyBorder="1" applyAlignment="1" applyProtection="1">
      <alignment vertical="center"/>
      <protection hidden="1"/>
    </xf>
    <xf numFmtId="0" fontId="2" fillId="3" borderId="11" xfId="0" applyFont="1" applyFill="1" applyBorder="1" applyAlignment="1" applyProtection="1">
      <alignment vertical="center"/>
      <protection hidden="1"/>
    </xf>
    <xf numFmtId="0" fontId="0" fillId="3" borderId="12" xfId="0" applyFill="1" applyBorder="1" applyAlignment="1" applyProtection="1">
      <alignment vertical="center"/>
      <protection hidden="1"/>
    </xf>
    <xf numFmtId="0" fontId="0" fillId="0" borderId="13" xfId="0" applyFill="1" applyBorder="1" applyAlignment="1" applyProtection="1">
      <alignment vertical="center"/>
      <protection hidden="1"/>
    </xf>
    <xf numFmtId="0" fontId="21" fillId="3" borderId="16" xfId="0" applyFont="1" applyFill="1" applyBorder="1" applyAlignment="1" applyProtection="1">
      <alignment vertical="center"/>
      <protection hidden="1"/>
    </xf>
    <xf numFmtId="0" fontId="6" fillId="0" borderId="0" xfId="0" applyFont="1" applyFill="1" applyBorder="1" applyAlignment="1" applyProtection="1">
      <alignment horizontal="center"/>
      <protection hidden="1"/>
    </xf>
    <xf numFmtId="0" fontId="8" fillId="0" borderId="0" xfId="0" applyFont="1" applyFill="1" applyBorder="1" applyAlignment="1" applyProtection="1">
      <alignment horizontal="right"/>
      <protection hidden="1"/>
    </xf>
    <xf numFmtId="178" fontId="8" fillId="0" borderId="6" xfId="0" applyNumberFormat="1" applyFont="1" applyFill="1" applyBorder="1" applyAlignment="1" applyProtection="1">
      <alignment horizontal="center"/>
      <protection locked="0"/>
    </xf>
    <xf numFmtId="0" fontId="8" fillId="0" borderId="0" xfId="0" applyFont="1" applyFill="1" applyBorder="1" applyAlignment="1" applyProtection="1">
      <alignment horizontal="center"/>
      <protection hidden="1"/>
    </xf>
    <xf numFmtId="0" fontId="0" fillId="0" borderId="0" xfId="0" applyFill="1" applyProtection="1">
      <protection hidden="1"/>
    </xf>
    <xf numFmtId="0" fontId="0" fillId="0" borderId="0" xfId="0" applyProtection="1">
      <protection hidden="1"/>
    </xf>
    <xf numFmtId="0" fontId="0" fillId="0" borderId="4" xfId="0" applyNumberFormat="1" applyFill="1" applyBorder="1" applyProtection="1">
      <protection hidden="1"/>
    </xf>
    <xf numFmtId="0" fontId="0" fillId="0" borderId="0" xfId="0" applyNumberFormat="1" applyFill="1" applyBorder="1" applyProtection="1">
      <protection hidden="1"/>
    </xf>
    <xf numFmtId="0" fontId="8" fillId="0" borderId="0" xfId="0" applyNumberFormat="1" applyFont="1" applyFill="1" applyBorder="1" applyAlignment="1" applyProtection="1">
      <alignment horizontal="right"/>
      <protection hidden="1"/>
    </xf>
    <xf numFmtId="0" fontId="8" fillId="0" borderId="6" xfId="0" applyNumberFormat="1" applyFont="1" applyFill="1" applyBorder="1" applyAlignment="1" applyProtection="1">
      <alignment horizontal="center"/>
      <protection locked="0"/>
    </xf>
    <xf numFmtId="0" fontId="6" fillId="0" borderId="0" xfId="0" applyNumberFormat="1" applyFont="1" applyFill="1" applyBorder="1" applyAlignment="1" applyProtection="1">
      <alignment horizontal="center"/>
      <protection hidden="1"/>
    </xf>
    <xf numFmtId="12" fontId="6" fillId="0" borderId="0" xfId="0" applyNumberFormat="1" applyFont="1" applyFill="1" applyBorder="1" applyAlignment="1" applyProtection="1">
      <alignment horizontal="center"/>
      <protection hidden="1"/>
    </xf>
    <xf numFmtId="0" fontId="0" fillId="0" borderId="5" xfId="0" applyNumberFormat="1" applyFill="1" applyBorder="1" applyProtection="1">
      <protection hidden="1"/>
    </xf>
    <xf numFmtId="0" fontId="6" fillId="0" borderId="0" xfId="0" applyFont="1" applyFill="1" applyBorder="1" applyProtection="1">
      <protection hidden="1"/>
    </xf>
    <xf numFmtId="177" fontId="6" fillId="0" borderId="0" xfId="1" applyNumberFormat="1" applyFont="1" applyFill="1" applyBorder="1" applyProtection="1">
      <protection hidden="1"/>
    </xf>
    <xf numFmtId="0" fontId="8" fillId="0" borderId="6" xfId="0" applyNumberFormat="1" applyFont="1" applyFill="1" applyBorder="1" applyAlignment="1" applyProtection="1">
      <alignment horizontal="left" vertical="top" wrapText="1"/>
      <protection locked="0"/>
    </xf>
    <xf numFmtId="0" fontId="8" fillId="0" borderId="0" xfId="0" applyFont="1" applyFill="1" applyBorder="1" applyProtection="1">
      <protection hidden="1"/>
    </xf>
    <xf numFmtId="174" fontId="0" fillId="0" borderId="7" xfId="1" applyNumberFormat="1" applyFont="1" applyFill="1" applyBorder="1" applyProtection="1">
      <protection hidden="1"/>
    </xf>
    <xf numFmtId="177" fontId="0" fillId="0" borderId="0" xfId="1" applyNumberFormat="1" applyFont="1" applyFill="1" applyBorder="1" applyProtection="1">
      <protection hidden="1"/>
    </xf>
    <xf numFmtId="0" fontId="7" fillId="0" borderId="0" xfId="0" applyFont="1" applyFill="1" applyBorder="1" applyProtection="1">
      <protection hidden="1"/>
    </xf>
    <xf numFmtId="174" fontId="6" fillId="0" borderId="24" xfId="1" applyNumberFormat="1" applyFont="1" applyFill="1" applyBorder="1" applyProtection="1">
      <protection hidden="1"/>
    </xf>
    <xf numFmtId="177" fontId="22" fillId="0" borderId="0" xfId="1" applyNumberFormat="1" applyFont="1" applyFill="1" applyBorder="1" applyProtection="1">
      <protection hidden="1"/>
    </xf>
    <xf numFmtId="174" fontId="6" fillId="0" borderId="23" xfId="1" applyNumberFormat="1" applyFont="1" applyFill="1" applyBorder="1" applyProtection="1">
      <protection hidden="1"/>
    </xf>
    <xf numFmtId="0" fontId="11" fillId="0" borderId="0" xfId="0" applyNumberFormat="1" applyFont="1" applyFill="1" applyBorder="1" applyAlignment="1" applyProtection="1">
      <alignment horizontal="left" vertical="top" wrapText="1"/>
    </xf>
    <xf numFmtId="0" fontId="8" fillId="0" borderId="4" xfId="0" applyFont="1" applyFill="1" applyBorder="1" applyProtection="1">
      <protection hidden="1"/>
    </xf>
    <xf numFmtId="0" fontId="8" fillId="0" borderId="5" xfId="0" applyFont="1" applyFill="1" applyBorder="1" applyProtection="1">
      <protection hidden="1"/>
    </xf>
    <xf numFmtId="0" fontId="0" fillId="4" borderId="4" xfId="0" applyFill="1" applyBorder="1" applyAlignment="1" applyProtection="1">
      <alignment vertical="center"/>
      <protection hidden="1"/>
    </xf>
    <xf numFmtId="0" fontId="8" fillId="0" borderId="0" xfId="0" applyFont="1" applyFill="1" applyBorder="1" applyAlignment="1" applyProtection="1">
      <protection hidden="1"/>
    </xf>
    <xf numFmtId="0" fontId="6" fillId="0" borderId="0" xfId="0" applyFont="1" applyFill="1" applyBorder="1" applyAlignment="1" applyProtection="1">
      <alignment horizontal="center" vertical="center"/>
      <protection hidden="1"/>
    </xf>
    <xf numFmtId="0" fontId="8" fillId="0" borderId="0" xfId="0" quotePrefix="1" applyFont="1" applyFill="1" applyBorder="1" applyAlignment="1" applyProtection="1">
      <alignment horizontal="right"/>
      <protection hidden="1"/>
    </xf>
    <xf numFmtId="0" fontId="8" fillId="0" borderId="8" xfId="0" applyFont="1" applyFill="1" applyBorder="1" applyProtection="1">
      <protection hidden="1"/>
    </xf>
    <xf numFmtId="0" fontId="8" fillId="0" borderId="9" xfId="0" applyFont="1" applyFill="1" applyBorder="1" applyProtection="1">
      <protection hidden="1"/>
    </xf>
    <xf numFmtId="0" fontId="8" fillId="0" borderId="10" xfId="0" applyFont="1" applyFill="1" applyBorder="1" applyProtection="1">
      <protection hidden="1"/>
    </xf>
    <xf numFmtId="0" fontId="2" fillId="0" borderId="4" xfId="0" applyFont="1" applyFill="1" applyBorder="1" applyAlignment="1" applyProtection="1">
      <alignment horizontal="left" vertical="center"/>
    </xf>
    <xf numFmtId="0" fontId="2" fillId="3" borderId="11" xfId="0" applyFont="1" applyFill="1" applyBorder="1" applyAlignment="1" applyProtection="1">
      <alignment horizontal="left" vertical="center"/>
    </xf>
    <xf numFmtId="0" fontId="2" fillId="3" borderId="12" xfId="0" applyFont="1" applyFill="1" applyBorder="1" applyAlignment="1" applyProtection="1">
      <alignment horizontal="left" vertical="center"/>
    </xf>
    <xf numFmtId="0" fontId="23" fillId="3" borderId="12" xfId="0" applyFont="1" applyFill="1" applyBorder="1" applyAlignment="1" applyProtection="1">
      <alignment vertical="center"/>
    </xf>
    <xf numFmtId="0" fontId="24" fillId="0" borderId="0" xfId="0" applyFont="1" applyFill="1" applyBorder="1" applyAlignment="1" applyProtection="1">
      <alignment vertical="center"/>
    </xf>
    <xf numFmtId="0" fontId="23" fillId="0" borderId="5" xfId="0" applyFont="1" applyFill="1" applyBorder="1" applyAlignment="1" applyProtection="1">
      <alignment vertical="center"/>
    </xf>
    <xf numFmtId="0" fontId="23" fillId="0" borderId="0" xfId="0" applyFont="1" applyAlignment="1">
      <alignment vertical="center"/>
    </xf>
    <xf numFmtId="0" fontId="12" fillId="0" borderId="4" xfId="0" applyFont="1" applyFill="1" applyBorder="1" applyProtection="1"/>
    <xf numFmtId="0" fontId="8" fillId="0" borderId="0" xfId="0" applyFont="1" applyFill="1" applyBorder="1" applyAlignment="1" applyProtection="1"/>
    <xf numFmtId="0" fontId="8" fillId="0" borderId="0" xfId="0" applyFont="1" applyFill="1" applyBorder="1" applyProtection="1"/>
    <xf numFmtId="0" fontId="8" fillId="0" borderId="5" xfId="0" applyFont="1" applyFill="1" applyBorder="1" applyProtection="1"/>
    <xf numFmtId="0" fontId="12" fillId="0" borderId="4" xfId="0" applyFont="1" applyFill="1" applyBorder="1" applyAlignment="1" applyProtection="1">
      <alignment vertical="center"/>
    </xf>
    <xf numFmtId="0" fontId="2" fillId="3" borderId="15" xfId="0" applyFont="1" applyFill="1" applyBorder="1" applyAlignment="1" applyProtection="1">
      <alignment vertical="center"/>
    </xf>
    <xf numFmtId="0" fontId="8" fillId="3" borderId="16" xfId="0" applyFont="1" applyFill="1" applyBorder="1" applyAlignment="1" applyProtection="1">
      <alignment vertical="center"/>
    </xf>
    <xf numFmtId="0" fontId="6" fillId="3" borderId="16" xfId="0" applyFont="1" applyFill="1" applyBorder="1" applyAlignment="1" applyProtection="1">
      <alignment vertical="center"/>
    </xf>
    <xf numFmtId="0" fontId="8" fillId="3" borderId="17" xfId="0" applyFont="1" applyFill="1" applyBorder="1" applyAlignment="1" applyProtection="1">
      <alignment vertical="center"/>
    </xf>
    <xf numFmtId="0" fontId="8" fillId="0" borderId="5" xfId="0" applyFont="1" applyFill="1" applyBorder="1" applyAlignment="1" applyProtection="1">
      <alignment vertical="center"/>
    </xf>
    <xf numFmtId="0" fontId="8" fillId="0" borderId="0" xfId="0" applyFont="1" applyAlignment="1">
      <alignment vertical="center"/>
    </xf>
    <xf numFmtId="0" fontId="6" fillId="0" borderId="4" xfId="0" applyFont="1" applyFill="1" applyBorder="1" applyProtection="1"/>
    <xf numFmtId="0" fontId="6" fillId="0" borderId="4" xfId="0" applyFont="1" applyFill="1" applyBorder="1" applyAlignment="1" applyProtection="1">
      <alignment horizontal="center" wrapText="1"/>
    </xf>
    <xf numFmtId="0" fontId="8" fillId="0" borderId="7" xfId="0" applyFont="1" applyFill="1" applyBorder="1" applyAlignment="1" applyProtection="1">
      <alignment horizontal="center" vertical="center"/>
    </xf>
    <xf numFmtId="0" fontId="6" fillId="0" borderId="5" xfId="0" applyFont="1" applyFill="1" applyBorder="1" applyAlignment="1" applyProtection="1">
      <alignment horizontal="center" wrapText="1"/>
    </xf>
    <xf numFmtId="0" fontId="8" fillId="0" borderId="4" xfId="0" applyFont="1" applyFill="1" applyBorder="1" applyAlignment="1" applyProtection="1">
      <alignment horizontal="center"/>
    </xf>
    <xf numFmtId="164" fontId="8" fillId="0" borderId="25" xfId="1" applyNumberFormat="1" applyFont="1" applyFill="1" applyBorder="1" applyAlignment="1" applyProtection="1">
      <protection hidden="1"/>
    </xf>
    <xf numFmtId="10" fontId="8" fillId="0" borderId="6" xfId="2" applyNumberFormat="1" applyFont="1" applyFill="1" applyBorder="1" applyProtection="1">
      <protection locked="0"/>
    </xf>
    <xf numFmtId="0" fontId="14" fillId="0" borderId="5" xfId="0" applyFont="1" applyFill="1" applyBorder="1" applyProtection="1"/>
    <xf numFmtId="0" fontId="8" fillId="0" borderId="4" xfId="0" applyFont="1" applyFill="1" applyBorder="1" applyProtection="1"/>
    <xf numFmtId="0" fontId="21" fillId="0" borderId="4" xfId="0" applyFont="1" applyFill="1" applyBorder="1" applyAlignment="1" applyProtection="1">
      <alignment vertical="center"/>
    </xf>
    <xf numFmtId="0" fontId="21" fillId="3" borderId="16" xfId="0" applyFont="1" applyFill="1" applyBorder="1" applyAlignment="1" applyProtection="1">
      <alignment vertical="center"/>
    </xf>
    <xf numFmtId="0" fontId="21" fillId="3" borderId="17" xfId="0" applyFont="1" applyFill="1" applyBorder="1" applyAlignment="1" applyProtection="1">
      <alignment vertical="center"/>
    </xf>
    <xf numFmtId="0" fontId="21" fillId="0" borderId="5" xfId="0" applyFont="1" applyFill="1" applyBorder="1" applyAlignment="1" applyProtection="1">
      <alignment vertical="center"/>
    </xf>
    <xf numFmtId="0" fontId="21" fillId="0" borderId="0" xfId="0" applyFont="1" applyAlignment="1">
      <alignment vertical="center"/>
    </xf>
    <xf numFmtId="0" fontId="8" fillId="0" borderId="22" xfId="0" applyFont="1" applyFill="1" applyBorder="1" applyAlignment="1" applyProtection="1">
      <alignment horizontal="center" vertical="center" wrapText="1"/>
    </xf>
    <xf numFmtId="176" fontId="8" fillId="0" borderId="25" xfId="1" applyNumberFormat="1" applyFont="1" applyFill="1" applyBorder="1" applyAlignment="1" applyProtection="1">
      <protection hidden="1"/>
    </xf>
    <xf numFmtId="176" fontId="8" fillId="0" borderId="0" xfId="0" applyNumberFormat="1" applyFont="1" applyFill="1" applyBorder="1" applyAlignment="1" applyProtection="1"/>
    <xf numFmtId="0" fontId="6" fillId="0" borderId="0" xfId="0" applyFont="1" applyFill="1" applyBorder="1" applyAlignment="1" applyProtection="1">
      <alignment horizontal="center"/>
    </xf>
    <xf numFmtId="0" fontId="6" fillId="0" borderId="0" xfId="0" applyFont="1" applyFill="1" applyBorder="1" applyAlignment="1" applyProtection="1">
      <alignment horizontal="right"/>
    </xf>
    <xf numFmtId="173" fontId="8" fillId="0" borderId="7" xfId="0" applyNumberFormat="1" applyFont="1" applyFill="1" applyBorder="1" applyAlignment="1" applyProtection="1">
      <alignment horizontal="right"/>
      <protection hidden="1"/>
    </xf>
    <xf numFmtId="173" fontId="8" fillId="0" borderId="7" xfId="1" applyNumberFormat="1" applyFont="1" applyFill="1" applyBorder="1" applyProtection="1">
      <protection hidden="1"/>
    </xf>
    <xf numFmtId="179" fontId="8" fillId="0" borderId="7" xfId="1" applyNumberFormat="1" applyFont="1" applyFill="1" applyBorder="1" applyAlignment="1" applyProtection="1">
      <protection hidden="1"/>
    </xf>
    <xf numFmtId="173" fontId="8" fillId="0" borderId="7" xfId="1" applyNumberFormat="1" applyFont="1" applyFill="1" applyBorder="1" applyAlignment="1" applyProtection="1">
      <protection hidden="1"/>
    </xf>
    <xf numFmtId="173" fontId="6" fillId="0" borderId="7" xfId="0" applyNumberFormat="1" applyFont="1" applyFill="1" applyBorder="1" applyAlignment="1" applyProtection="1">
      <alignment horizontal="right"/>
      <protection hidden="1"/>
    </xf>
    <xf numFmtId="179" fontId="6" fillId="0" borderId="7" xfId="1" applyNumberFormat="1" applyFont="1" applyFill="1" applyBorder="1" applyAlignment="1" applyProtection="1">
      <protection hidden="1"/>
    </xf>
    <xf numFmtId="0" fontId="8" fillId="0" borderId="8" xfId="0" applyFont="1" applyFill="1" applyBorder="1" applyProtection="1"/>
    <xf numFmtId="0" fontId="8" fillId="0" borderId="9" xfId="0" applyFont="1" applyFill="1" applyBorder="1" applyAlignment="1" applyProtection="1"/>
    <xf numFmtId="0" fontId="8" fillId="0" borderId="9" xfId="0" applyFont="1" applyFill="1" applyBorder="1" applyProtection="1"/>
    <xf numFmtId="0" fontId="8" fillId="0" borderId="10" xfId="0" applyFont="1" applyFill="1" applyBorder="1" applyProtection="1"/>
    <xf numFmtId="0" fontId="6" fillId="0" borderId="7" xfId="0" applyFont="1" applyBorder="1" applyAlignment="1">
      <alignment horizontal="center"/>
    </xf>
    <xf numFmtId="0" fontId="6" fillId="5" borderId="7" xfId="0" applyFont="1" applyFill="1" applyBorder="1" applyAlignment="1" applyProtection="1">
      <alignment horizontal="center" vertical="top"/>
      <protection hidden="1"/>
    </xf>
    <xf numFmtId="0" fontId="0" fillId="0" borderId="7" xfId="0" applyBorder="1" applyAlignment="1">
      <alignment horizontal="right"/>
    </xf>
    <xf numFmtId="0" fontId="0" fillId="0" borderId="7" xfId="0" applyBorder="1" applyAlignment="1">
      <alignment horizontal="center"/>
    </xf>
    <xf numFmtId="0" fontId="0" fillId="0" borderId="7" xfId="0" applyBorder="1"/>
    <xf numFmtId="180" fontId="0" fillId="0" borderId="7" xfId="1" applyNumberFormat="1" applyFont="1" applyFill="1" applyBorder="1" applyAlignment="1" applyProtection="1">
      <alignment vertical="top"/>
      <protection hidden="1"/>
    </xf>
    <xf numFmtId="9" fontId="0" fillId="0" borderId="7" xfId="2" applyFont="1" applyFill="1" applyBorder="1" applyAlignment="1" applyProtection="1">
      <alignment horizontal="center" vertical="top"/>
      <protection hidden="1"/>
    </xf>
    <xf numFmtId="0" fontId="0" fillId="0" borderId="7" xfId="0" applyFill="1" applyBorder="1" applyAlignment="1" applyProtection="1">
      <alignment vertical="top"/>
      <protection hidden="1"/>
    </xf>
    <xf numFmtId="0" fontId="0" fillId="0" borderId="25" xfId="0" applyFill="1" applyBorder="1"/>
    <xf numFmtId="9" fontId="0" fillId="0" borderId="7" xfId="0" applyNumberFormat="1" applyFill="1" applyBorder="1"/>
    <xf numFmtId="0" fontId="0" fillId="0" borderId="7" xfId="0" applyFill="1" applyBorder="1" applyAlignment="1">
      <alignment horizontal="center"/>
    </xf>
    <xf numFmtId="0" fontId="0" fillId="0" borderId="7" xfId="0" applyFill="1" applyBorder="1"/>
    <xf numFmtId="2" fontId="0" fillId="0" borderId="7" xfId="0" applyNumberFormat="1" applyFill="1" applyBorder="1"/>
    <xf numFmtId="9" fontId="0" fillId="0" borderId="7" xfId="2" applyFont="1" applyBorder="1" applyAlignment="1">
      <alignment horizontal="center"/>
    </xf>
    <xf numFmtId="0" fontId="6" fillId="6" borderId="7" xfId="0" applyFont="1" applyFill="1" applyBorder="1"/>
    <xf numFmtId="0" fontId="6" fillId="6" borderId="7" xfId="0" applyFont="1" applyFill="1" applyBorder="1" applyAlignment="1">
      <alignment horizontal="center"/>
    </xf>
    <xf numFmtId="10" fontId="0" fillId="0" borderId="7" xfId="0" applyNumberFormat="1" applyFill="1" applyBorder="1"/>
    <xf numFmtId="10" fontId="0" fillId="0" borderId="7" xfId="0" applyNumberFormat="1" applyFill="1" applyBorder="1" applyAlignment="1">
      <alignment horizontal="center"/>
    </xf>
    <xf numFmtId="0" fontId="14" fillId="0" borderId="0" xfId="0" applyFont="1" applyAlignment="1" applyProtection="1">
      <protection hidden="1"/>
    </xf>
    <xf numFmtId="0" fontId="0" fillId="0" borderId="0" xfId="0" applyAlignment="1">
      <alignment horizontal="right"/>
    </xf>
    <xf numFmtId="0" fontId="14" fillId="0" borderId="0" xfId="0" applyFont="1" applyFill="1" applyProtection="1">
      <protection hidden="1"/>
    </xf>
    <xf numFmtId="0" fontId="6" fillId="7" borderId="0" xfId="0" applyFont="1" applyFill="1" applyAlignment="1" applyProtection="1">
      <alignment horizontal="center"/>
      <protection hidden="1"/>
    </xf>
    <xf numFmtId="0" fontId="6" fillId="0" borderId="0" xfId="0" applyFont="1" applyFill="1" applyAlignment="1" applyProtection="1">
      <alignment horizontal="center"/>
      <protection hidden="1"/>
    </xf>
    <xf numFmtId="0" fontId="0" fillId="5" borderId="0" xfId="0" applyFill="1" applyProtection="1">
      <protection hidden="1"/>
    </xf>
    <xf numFmtId="174" fontId="0" fillId="5" borderId="0" xfId="1" applyFont="1" applyFill="1" applyProtection="1">
      <protection hidden="1"/>
    </xf>
    <xf numFmtId="174" fontId="0" fillId="0" borderId="0" xfId="0" applyNumberFormat="1" applyAlignment="1">
      <alignment horizontal="right"/>
    </xf>
    <xf numFmtId="0" fontId="0" fillId="2" borderId="0" xfId="0" applyFill="1"/>
    <xf numFmtId="174" fontId="0" fillId="7" borderId="0" xfId="1" applyFont="1" applyFill="1" applyProtection="1">
      <protection hidden="1"/>
    </xf>
    <xf numFmtId="174" fontId="0" fillId="0" borderId="0" xfId="1" applyFont="1" applyFill="1" applyProtection="1">
      <protection hidden="1"/>
    </xf>
    <xf numFmtId="0" fontId="6" fillId="0" borderId="0" xfId="0" applyFont="1" applyAlignment="1">
      <alignment horizontal="right"/>
    </xf>
    <xf numFmtId="0" fontId="6" fillId="2" borderId="0" xfId="0" applyFont="1" applyFill="1"/>
    <xf numFmtId="0" fontId="6" fillId="0" borderId="0" xfId="0" applyFont="1" applyAlignment="1" applyProtection="1">
      <alignment horizontal="center"/>
      <protection hidden="1"/>
    </xf>
    <xf numFmtId="0" fontId="6" fillId="0" borderId="0" xfId="0" applyFont="1" applyAlignment="1">
      <alignment horizontal="center"/>
    </xf>
    <xf numFmtId="0" fontId="6" fillId="0" borderId="0" xfId="0" applyFont="1"/>
    <xf numFmtId="0" fontId="0" fillId="2" borderId="0" xfId="0" applyFill="1" applyProtection="1">
      <protection hidden="1"/>
    </xf>
    <xf numFmtId="0" fontId="0" fillId="7" borderId="0" xfId="0" applyFill="1"/>
    <xf numFmtId="174" fontId="6" fillId="0" borderId="0" xfId="1" applyFont="1" applyFill="1" applyBorder="1" applyProtection="1">
      <protection hidden="1"/>
    </xf>
    <xf numFmtId="174" fontId="0" fillId="7" borderId="0" xfId="1" applyFont="1" applyFill="1" applyBorder="1" applyProtection="1">
      <protection hidden="1"/>
    </xf>
    <xf numFmtId="167" fontId="0" fillId="0" borderId="0" xfId="0" applyNumberFormat="1" applyFill="1" applyProtection="1">
      <protection hidden="1"/>
    </xf>
    <xf numFmtId="167" fontId="0" fillId="0" borderId="0" xfId="0" applyNumberFormat="1" applyFill="1" applyBorder="1" applyProtection="1">
      <protection hidden="1"/>
    </xf>
    <xf numFmtId="0" fontId="6" fillId="2" borderId="0" xfId="0" applyFont="1" applyFill="1" applyAlignment="1" applyProtection="1">
      <alignment horizontal="right"/>
      <protection hidden="1"/>
    </xf>
    <xf numFmtId="172" fontId="6" fillId="2" borderId="0" xfId="0" applyNumberFormat="1" applyFont="1" applyFill="1"/>
    <xf numFmtId="0" fontId="6" fillId="7" borderId="0" xfId="0" applyFont="1" applyFill="1"/>
    <xf numFmtId="167" fontId="0" fillId="7" borderId="0" xfId="1" applyNumberFormat="1" applyFont="1" applyFill="1" applyBorder="1" applyAlignment="1" applyProtection="1">
      <protection hidden="1"/>
    </xf>
    <xf numFmtId="0" fontId="6" fillId="0" borderId="0" xfId="0" applyFont="1" applyFill="1" applyAlignment="1" applyProtection="1">
      <alignment horizontal="right"/>
      <protection hidden="1"/>
    </xf>
    <xf numFmtId="172" fontId="0" fillId="0" borderId="0" xfId="0" applyNumberFormat="1" applyFill="1" applyProtection="1">
      <protection hidden="1"/>
    </xf>
    <xf numFmtId="167" fontId="6" fillId="0" borderId="0" xfId="0" applyNumberFormat="1" applyFont="1" applyFill="1" applyBorder="1" applyProtection="1">
      <protection hidden="1"/>
    </xf>
    <xf numFmtId="0" fontId="6" fillId="2" borderId="0" xfId="0" applyFont="1" applyFill="1" applyProtection="1">
      <protection hidden="1"/>
    </xf>
    <xf numFmtId="172" fontId="0" fillId="0" borderId="0" xfId="0" applyNumberFormat="1"/>
    <xf numFmtId="0" fontId="6" fillId="7" borderId="25" xfId="0" applyFont="1" applyFill="1" applyBorder="1" applyProtection="1">
      <protection hidden="1"/>
    </xf>
    <xf numFmtId="0" fontId="6" fillId="7" borderId="7" xfId="0" applyFont="1" applyFill="1" applyBorder="1" applyAlignment="1" applyProtection="1">
      <alignment horizontal="center"/>
      <protection hidden="1"/>
    </xf>
    <xf numFmtId="0" fontId="6" fillId="7" borderId="26" xfId="0" applyFont="1" applyFill="1" applyBorder="1" applyAlignment="1" applyProtection="1">
      <alignment horizontal="center"/>
      <protection hidden="1"/>
    </xf>
    <xf numFmtId="174" fontId="14" fillId="0" borderId="0" xfId="1" applyFont="1" applyFill="1" applyAlignment="1" applyProtection="1">
      <alignment horizontal="center"/>
      <protection hidden="1"/>
    </xf>
    <xf numFmtId="0" fontId="0" fillId="0" borderId="27" xfId="0" applyFill="1" applyBorder="1" applyAlignment="1" applyProtection="1">
      <alignment horizontal="center"/>
      <protection hidden="1"/>
    </xf>
    <xf numFmtId="174" fontId="0" fillId="0" borderId="0" xfId="1" applyFont="1" applyFill="1" applyAlignment="1" applyProtection="1">
      <alignment horizontal="center"/>
      <protection hidden="1"/>
    </xf>
    <xf numFmtId="0" fontId="8" fillId="5" borderId="0" xfId="0" applyFont="1" applyFill="1" applyAlignment="1" applyProtection="1">
      <protection hidden="1"/>
    </xf>
    <xf numFmtId="10" fontId="0" fillId="5" borderId="0" xfId="2" applyNumberFormat="1" applyFont="1" applyFill="1" applyAlignment="1" applyProtection="1">
      <alignment horizontal="center"/>
      <protection hidden="1"/>
    </xf>
    <xf numFmtId="9" fontId="0" fillId="5" borderId="0" xfId="2" applyFont="1" applyFill="1" applyAlignment="1" applyProtection="1">
      <alignment horizontal="center"/>
      <protection hidden="1"/>
    </xf>
    <xf numFmtId="0" fontId="0" fillId="0" borderId="0" xfId="0" applyFill="1" applyAlignment="1" applyProtection="1">
      <alignment horizontal="center"/>
      <protection hidden="1"/>
    </xf>
    <xf numFmtId="9" fontId="0" fillId="0" borderId="0" xfId="2" applyFont="1" applyFill="1" applyAlignment="1" applyProtection="1">
      <alignment horizontal="center"/>
      <protection hidden="1"/>
    </xf>
    <xf numFmtId="0" fontId="0" fillId="0" borderId="0" xfId="0" applyAlignment="1" applyProtection="1">
      <alignment horizontal="center"/>
      <protection hidden="1"/>
    </xf>
    <xf numFmtId="0" fontId="6" fillId="8" borderId="25" xfId="0" applyFont="1" applyFill="1" applyBorder="1" applyProtection="1">
      <protection hidden="1"/>
    </xf>
    <xf numFmtId="0" fontId="6" fillId="7" borderId="7" xfId="0" applyFont="1" applyFill="1" applyBorder="1" applyAlignment="1" applyProtection="1">
      <alignment wrapText="1"/>
      <protection hidden="1"/>
    </xf>
    <xf numFmtId="0" fontId="6" fillId="7" borderId="22" xfId="0" applyFont="1" applyFill="1" applyBorder="1" applyAlignment="1" applyProtection="1">
      <alignment horizontal="center" wrapText="1"/>
      <protection hidden="1"/>
    </xf>
    <xf numFmtId="0" fontId="8" fillId="0" borderId="22" xfId="0" applyFont="1" applyFill="1" applyBorder="1" applyAlignment="1" applyProtection="1">
      <alignment horizontal="left"/>
      <protection hidden="1"/>
    </xf>
    <xf numFmtId="0" fontId="0" fillId="0" borderId="22" xfId="0" applyNumberFormat="1" applyFill="1" applyBorder="1" applyAlignment="1" applyProtection="1">
      <alignment horizontal="center"/>
      <protection hidden="1"/>
    </xf>
    <xf numFmtId="181" fontId="8" fillId="0" borderId="22" xfId="1" applyNumberFormat="1" applyFont="1" applyFill="1" applyBorder="1" applyAlignment="1" applyProtection="1">
      <alignment horizontal="center"/>
      <protection hidden="1"/>
    </xf>
    <xf numFmtId="0" fontId="0" fillId="5" borderId="7" xfId="0" applyFill="1" applyBorder="1" applyProtection="1">
      <protection hidden="1"/>
    </xf>
    <xf numFmtId="0" fontId="0" fillId="5" borderId="7" xfId="0" applyFill="1" applyBorder="1" applyAlignment="1" applyProtection="1">
      <alignment horizontal="center"/>
      <protection hidden="1"/>
    </xf>
    <xf numFmtId="0" fontId="8" fillId="7" borderId="0" xfId="0" applyFont="1" applyFill="1" applyAlignment="1" applyProtection="1">
      <alignment horizontal="right"/>
      <protection hidden="1"/>
    </xf>
    <xf numFmtId="0" fontId="8" fillId="0" borderId="27" xfId="0" applyFont="1" applyFill="1" applyBorder="1" applyAlignment="1" applyProtection="1">
      <alignment horizontal="left"/>
      <protection hidden="1"/>
    </xf>
    <xf numFmtId="0" fontId="0" fillId="0" borderId="27" xfId="0" applyNumberFormat="1" applyFill="1" applyBorder="1" applyAlignment="1" applyProtection="1">
      <alignment horizontal="center"/>
      <protection hidden="1"/>
    </xf>
    <xf numFmtId="181" fontId="8" fillId="0" borderId="27" xfId="1" applyNumberFormat="1" applyFont="1" applyFill="1" applyBorder="1" applyAlignment="1" applyProtection="1">
      <alignment horizontal="center"/>
      <protection hidden="1"/>
    </xf>
    <xf numFmtId="0" fontId="0" fillId="7" borderId="7" xfId="0" applyFill="1" applyBorder="1" applyProtection="1">
      <protection hidden="1"/>
    </xf>
    <xf numFmtId="0" fontId="0" fillId="7" borderId="7" xfId="0" applyFill="1" applyBorder="1" applyAlignment="1" applyProtection="1">
      <alignment horizontal="center"/>
      <protection hidden="1"/>
    </xf>
    <xf numFmtId="0" fontId="0" fillId="7" borderId="0" xfId="0" applyFill="1" applyProtection="1">
      <protection hidden="1"/>
    </xf>
    <xf numFmtId="0" fontId="8" fillId="0" borderId="24" xfId="0" applyFont="1" applyFill="1" applyBorder="1" applyAlignment="1" applyProtection="1">
      <alignment horizontal="left"/>
      <protection hidden="1"/>
    </xf>
    <xf numFmtId="0" fontId="0" fillId="0" borderId="24" xfId="0" applyNumberFormat="1" applyFill="1" applyBorder="1" applyAlignment="1" applyProtection="1">
      <alignment horizontal="center"/>
      <protection hidden="1"/>
    </xf>
    <xf numFmtId="181" fontId="8" fillId="0" borderId="24" xfId="1" applyNumberFormat="1" applyFont="1" applyFill="1" applyBorder="1" applyAlignment="1" applyProtection="1">
      <alignment horizontal="center"/>
      <protection hidden="1"/>
    </xf>
    <xf numFmtId="174" fontId="14" fillId="0" borderId="0" xfId="1" applyFont="1" applyFill="1" applyAlignment="1" applyProtection="1">
      <protection hidden="1"/>
    </xf>
    <xf numFmtId="0" fontId="0" fillId="0" borderId="0" xfId="0" applyAlignment="1" applyProtection="1">
      <protection hidden="1"/>
    </xf>
    <xf numFmtId="174" fontId="0" fillId="7" borderId="0" xfId="1" applyFont="1" applyFill="1" applyAlignment="1" applyProtection="1">
      <alignment horizontal="center"/>
      <protection hidden="1"/>
    </xf>
    <xf numFmtId="174" fontId="0" fillId="0" borderId="0" xfId="0" applyNumberFormat="1" applyFill="1" applyProtection="1">
      <protection hidden="1"/>
    </xf>
    <xf numFmtId="0" fontId="0" fillId="0" borderId="1" xfId="0" applyBorder="1"/>
    <xf numFmtId="0" fontId="0" fillId="0" borderId="2" xfId="0" applyBorder="1"/>
    <xf numFmtId="0" fontId="0" fillId="0" borderId="3" xfId="0" applyBorder="1"/>
    <xf numFmtId="0" fontId="0" fillId="0" borderId="4" xfId="0" applyBorder="1" applyAlignment="1">
      <alignment vertical="center"/>
    </xf>
    <xf numFmtId="0" fontId="2" fillId="3" borderId="11" xfId="0" applyFont="1" applyFill="1" applyBorder="1" applyAlignment="1">
      <alignment vertical="center"/>
    </xf>
    <xf numFmtId="0" fontId="0" fillId="3" borderId="12" xfId="0" applyFill="1" applyBorder="1" applyAlignment="1">
      <alignment vertical="center"/>
    </xf>
    <xf numFmtId="0" fontId="0" fillId="3" borderId="28" xfId="0" applyFill="1" applyBorder="1" applyAlignment="1">
      <alignment vertical="center"/>
    </xf>
    <xf numFmtId="0" fontId="0" fillId="0" borderId="13" xfId="0" applyFill="1" applyBorder="1" applyAlignment="1">
      <alignment vertical="center"/>
    </xf>
    <xf numFmtId="0" fontId="0" fillId="0" borderId="0" xfId="0" applyBorder="1" applyAlignment="1">
      <alignment vertical="center"/>
    </xf>
    <xf numFmtId="0" fontId="0" fillId="0" borderId="5" xfId="0" applyBorder="1" applyAlignment="1">
      <alignment vertical="center"/>
    </xf>
    <xf numFmtId="0" fontId="0" fillId="0" borderId="4" xfId="0" applyBorder="1"/>
    <xf numFmtId="0" fontId="0" fillId="0" borderId="0" xfId="0" applyBorder="1"/>
    <xf numFmtId="0" fontId="0" fillId="0" borderId="5" xfId="0" applyBorder="1"/>
    <xf numFmtId="0" fontId="6" fillId="0" borderId="0" xfId="0" applyFont="1" applyBorder="1" applyAlignment="1">
      <alignment horizontal="center"/>
    </xf>
    <xf numFmtId="0" fontId="6" fillId="0" borderId="0" xfId="0" applyFont="1" applyBorder="1"/>
    <xf numFmtId="173" fontId="0" fillId="0" borderId="6" xfId="1" applyNumberFormat="1" applyFont="1" applyBorder="1" applyProtection="1">
      <protection locked="0"/>
    </xf>
    <xf numFmtId="0" fontId="0" fillId="0" borderId="6" xfId="0" applyBorder="1" applyAlignment="1" applyProtection="1">
      <alignment horizontal="center"/>
      <protection locked="0"/>
    </xf>
    <xf numFmtId="175" fontId="0" fillId="0" borderId="6" xfId="2" applyNumberFormat="1" applyFont="1" applyBorder="1" applyAlignment="1" applyProtection="1">
      <alignment horizontal="center"/>
      <protection locked="0"/>
    </xf>
    <xf numFmtId="176" fontId="0" fillId="0" borderId="6" xfId="1" applyNumberFormat="1" applyFont="1" applyBorder="1" applyProtection="1">
      <protection locked="0"/>
    </xf>
    <xf numFmtId="0" fontId="0" fillId="0" borderId="8" xfId="0" applyBorder="1"/>
    <xf numFmtId="0" fontId="0" fillId="0" borderId="9" xfId="0" applyBorder="1"/>
    <xf numFmtId="0" fontId="0" fillId="0" borderId="10" xfId="0" applyBorder="1"/>
    <xf numFmtId="0" fontId="4" fillId="0" borderId="0" xfId="0" applyFont="1" applyBorder="1"/>
    <xf numFmtId="0" fontId="8" fillId="0" borderId="0" xfId="0" applyFont="1" applyBorder="1" applyAlignment="1">
      <alignment horizontal="right"/>
    </xf>
    <xf numFmtId="0" fontId="0" fillId="0" borderId="0" xfId="0" applyBorder="1" applyAlignment="1">
      <alignment horizontal="right"/>
    </xf>
    <xf numFmtId="0" fontId="6" fillId="0" borderId="29" xfId="0" applyFont="1" applyFill="1" applyBorder="1" applyAlignment="1">
      <alignment horizontal="center"/>
    </xf>
    <xf numFmtId="0" fontId="6" fillId="0" borderId="30" xfId="0" applyFont="1" applyFill="1" applyBorder="1" applyAlignment="1">
      <alignment horizontal="center"/>
    </xf>
    <xf numFmtId="0" fontId="6" fillId="0" borderId="31" xfId="0" applyFont="1" applyFill="1" applyBorder="1" applyAlignment="1">
      <alignment horizontal="center"/>
    </xf>
    <xf numFmtId="0" fontId="6" fillId="0" borderId="32" xfId="0" applyFont="1" applyFill="1" applyBorder="1" applyAlignment="1">
      <alignment horizontal="center"/>
    </xf>
    <xf numFmtId="0" fontId="0" fillId="0" borderId="33" xfId="0" applyFill="1" applyBorder="1" applyAlignment="1" applyProtection="1">
      <alignment horizontal="center"/>
      <protection locked="0"/>
    </xf>
    <xf numFmtId="173" fontId="6" fillId="0" borderId="34" xfId="0" applyNumberFormat="1" applyFont="1" applyFill="1" applyBorder="1"/>
    <xf numFmtId="169" fontId="0" fillId="0" borderId="10" xfId="1" applyNumberFormat="1" applyFont="1" applyFill="1" applyBorder="1" applyAlignment="1" applyProtection="1">
      <alignment horizontal="center"/>
      <protection hidden="1"/>
    </xf>
    <xf numFmtId="169" fontId="0" fillId="0" borderId="24" xfId="1" applyNumberFormat="1" applyFont="1" applyFill="1" applyBorder="1" applyAlignment="1" applyProtection="1">
      <alignment horizontal="center"/>
      <protection hidden="1"/>
    </xf>
    <xf numFmtId="169" fontId="0" fillId="0" borderId="35" xfId="1" applyNumberFormat="1" applyFont="1" applyFill="1" applyBorder="1" applyAlignment="1" applyProtection="1">
      <alignment horizontal="center"/>
      <protection hidden="1"/>
    </xf>
    <xf numFmtId="173" fontId="6" fillId="0" borderId="36" xfId="0" applyNumberFormat="1" applyFont="1" applyFill="1" applyBorder="1"/>
    <xf numFmtId="169" fontId="0" fillId="0" borderId="37" xfId="1" applyNumberFormat="1" applyFont="1" applyFill="1" applyBorder="1" applyAlignment="1" applyProtection="1">
      <alignment horizontal="center"/>
      <protection hidden="1"/>
    </xf>
    <xf numFmtId="169" fontId="0" fillId="0" borderId="7" xfId="1" applyNumberFormat="1" applyFont="1" applyFill="1" applyBorder="1" applyAlignment="1" applyProtection="1">
      <alignment horizontal="center"/>
      <protection hidden="1"/>
    </xf>
    <xf numFmtId="169" fontId="0" fillId="0" borderId="38" xfId="1" applyNumberFormat="1" applyFont="1" applyFill="1" applyBorder="1" applyAlignment="1" applyProtection="1">
      <alignment horizontal="center"/>
      <protection hidden="1"/>
    </xf>
    <xf numFmtId="173" fontId="6" fillId="0" borderId="39" xfId="0" applyNumberFormat="1" applyFont="1" applyFill="1" applyBorder="1"/>
    <xf numFmtId="169" fontId="0" fillId="0" borderId="40" xfId="1" applyNumberFormat="1" applyFont="1" applyFill="1" applyBorder="1" applyAlignment="1" applyProtection="1">
      <alignment horizontal="center"/>
      <protection hidden="1"/>
    </xf>
    <xf numFmtId="169" fontId="0" fillId="0" borderId="31" xfId="1" applyNumberFormat="1" applyFont="1" applyFill="1" applyBorder="1" applyAlignment="1" applyProtection="1">
      <alignment horizontal="center"/>
      <protection hidden="1"/>
    </xf>
    <xf numFmtId="169" fontId="0" fillId="0" borderId="41" xfId="1" applyNumberFormat="1" applyFont="1" applyFill="1" applyBorder="1" applyAlignment="1" applyProtection="1">
      <alignment horizontal="center"/>
      <protection hidden="1"/>
    </xf>
    <xf numFmtId="173" fontId="6" fillId="0" borderId="9" xfId="0" applyNumberFormat="1" applyFont="1" applyFill="1" applyBorder="1"/>
    <xf numFmtId="169" fontId="0" fillId="0" borderId="9" xfId="1" applyNumberFormat="1" applyFont="1" applyFill="1" applyBorder="1"/>
    <xf numFmtId="173" fontId="6" fillId="0" borderId="0" xfId="0" applyNumberFormat="1" applyFont="1" applyFill="1" applyBorder="1"/>
    <xf numFmtId="169" fontId="0" fillId="0" borderId="0" xfId="1" applyNumberFormat="1" applyFont="1" applyFill="1" applyBorder="1"/>
    <xf numFmtId="169" fontId="0" fillId="0" borderId="0" xfId="1" applyNumberFormat="1" applyFont="1" applyFill="1" applyBorder="1" applyAlignment="1">
      <alignment horizontal="right"/>
    </xf>
    <xf numFmtId="171" fontId="0" fillId="0" borderId="6" xfId="1" applyNumberFormat="1" applyFont="1" applyFill="1" applyBorder="1" applyProtection="1">
      <protection locked="0"/>
    </xf>
    <xf numFmtId="171" fontId="0" fillId="0" borderId="21" xfId="1" applyNumberFormat="1" applyFont="1" applyFill="1" applyBorder="1" applyProtection="1">
      <protection hidden="1"/>
    </xf>
    <xf numFmtId="10" fontId="0" fillId="0" borderId="0" xfId="2" applyNumberFormat="1" applyFont="1" applyProtection="1">
      <protection hidden="1"/>
    </xf>
    <xf numFmtId="173" fontId="0" fillId="0" borderId="0" xfId="0" applyNumberFormat="1" applyProtection="1">
      <protection hidden="1"/>
    </xf>
    <xf numFmtId="174" fontId="0" fillId="0" borderId="0" xfId="1" applyFont="1" applyProtection="1">
      <protection hidden="1"/>
    </xf>
    <xf numFmtId="10" fontId="0" fillId="0" borderId="0" xfId="2" applyNumberFormat="1" applyFont="1"/>
    <xf numFmtId="172" fontId="0" fillId="0" borderId="0" xfId="1" applyNumberFormat="1" applyFont="1"/>
    <xf numFmtId="0" fontId="0" fillId="0" borderId="0" xfId="0" applyFill="1" applyAlignment="1" applyProtection="1">
      <alignment wrapText="1"/>
      <protection hidden="1"/>
    </xf>
    <xf numFmtId="0" fontId="0" fillId="0" borderId="0" xfId="0" applyFill="1" applyAlignment="1" applyProtection="1">
      <alignment horizontal="center" vertical="center"/>
      <protection hidden="1"/>
    </xf>
    <xf numFmtId="174" fontId="8" fillId="5" borderId="0" xfId="0" applyNumberFormat="1" applyFont="1" applyFill="1" applyAlignment="1" applyProtection="1">
      <protection hidden="1"/>
    </xf>
    <xf numFmtId="14" fontId="0" fillId="0" borderId="0" xfId="0" applyNumberFormat="1"/>
    <xf numFmtId="0" fontId="15" fillId="0" borderId="0" xfId="0" applyFont="1" applyFill="1" applyBorder="1" applyAlignment="1" applyProtection="1">
      <alignment vertical="center"/>
      <protection hidden="1"/>
    </xf>
    <xf numFmtId="10" fontId="0" fillId="7" borderId="0" xfId="2" applyNumberFormat="1" applyFont="1" applyFill="1"/>
    <xf numFmtId="0" fontId="0" fillId="7" borderId="0" xfId="0" applyFill="1" applyAlignment="1">
      <alignment horizontal="center"/>
    </xf>
    <xf numFmtId="174" fontId="0" fillId="7" borderId="0" xfId="0" applyNumberFormat="1" applyFill="1"/>
    <xf numFmtId="174" fontId="0" fillId="7" borderId="0" xfId="1" applyFont="1" applyFill="1"/>
    <xf numFmtId="0" fontId="8" fillId="0" borderId="21" xfId="0" applyFont="1" applyFill="1" applyBorder="1" applyProtection="1">
      <protection hidden="1"/>
    </xf>
    <xf numFmtId="0" fontId="0" fillId="0" borderId="6" xfId="0" applyFill="1" applyBorder="1" applyProtection="1">
      <protection locked="0"/>
    </xf>
    <xf numFmtId="0" fontId="8" fillId="0" borderId="21" xfId="0" applyFont="1" applyFill="1" applyBorder="1" applyAlignment="1" applyProtection="1">
      <alignment horizontal="center"/>
      <protection hidden="1"/>
    </xf>
    <xf numFmtId="0" fontId="8" fillId="0" borderId="0" xfId="0" applyFont="1" applyFill="1" applyProtection="1">
      <protection hidden="1"/>
    </xf>
    <xf numFmtId="0" fontId="6" fillId="0" borderId="0" xfId="0" applyFont="1" applyFill="1" applyProtection="1">
      <protection hidden="1"/>
    </xf>
    <xf numFmtId="0" fontId="8" fillId="0" borderId="0" xfId="0" applyFont="1" applyProtection="1">
      <protection hidden="1"/>
    </xf>
    <xf numFmtId="0" fontId="6" fillId="0" borderId="0" xfId="0" applyFont="1" applyProtection="1">
      <protection hidden="1"/>
    </xf>
    <xf numFmtId="174" fontId="0" fillId="0" borderId="0" xfId="1" applyFont="1" applyFill="1" applyBorder="1" applyProtection="1">
      <protection hidden="1"/>
    </xf>
    <xf numFmtId="167" fontId="6" fillId="7" borderId="0" xfId="0" applyNumberFormat="1" applyFont="1" applyFill="1" applyBorder="1" applyProtection="1">
      <protection hidden="1"/>
    </xf>
    <xf numFmtId="174" fontId="6" fillId="7" borderId="0" xfId="1" applyFont="1" applyFill="1" applyBorder="1" applyProtection="1">
      <protection hidden="1"/>
    </xf>
    <xf numFmtId="0" fontId="0" fillId="0" borderId="0" xfId="0" applyBorder="1" applyProtection="1">
      <protection hidden="1"/>
    </xf>
    <xf numFmtId="167" fontId="0" fillId="7" borderId="0" xfId="1" applyNumberFormat="1" applyFont="1" applyFill="1" applyBorder="1" applyProtection="1">
      <protection hidden="1"/>
    </xf>
    <xf numFmtId="0" fontId="6" fillId="7" borderId="25" xfId="0" applyFont="1" applyFill="1" applyBorder="1" applyAlignment="1" applyProtection="1">
      <alignment horizontal="center"/>
      <protection hidden="1"/>
    </xf>
    <xf numFmtId="173" fontId="8" fillId="0" borderId="20" xfId="0" applyNumberFormat="1" applyFont="1" applyFill="1" applyBorder="1" applyAlignment="1" applyProtection="1">
      <alignment horizontal="right" vertical="top"/>
      <protection hidden="1"/>
    </xf>
    <xf numFmtId="0" fontId="0" fillId="0" borderId="25" xfId="0" applyFill="1" applyBorder="1" applyAlignment="1">
      <alignment vertical="center"/>
    </xf>
    <xf numFmtId="0" fontId="0" fillId="0" borderId="26" xfId="0" applyFill="1" applyBorder="1" applyAlignment="1">
      <alignment vertical="center"/>
    </xf>
    <xf numFmtId="0" fontId="0" fillId="0" borderId="37" xfId="0" applyFill="1" applyBorder="1" applyAlignment="1">
      <alignment vertical="center"/>
    </xf>
    <xf numFmtId="0" fontId="6" fillId="0" borderId="25" xfId="0" applyFont="1" applyFill="1" applyBorder="1" applyAlignment="1">
      <alignment vertical="center"/>
    </xf>
    <xf numFmtId="0" fontId="6" fillId="0" borderId="26" xfId="0" applyFont="1" applyFill="1" applyBorder="1" applyAlignment="1">
      <alignment vertical="center"/>
    </xf>
    <xf numFmtId="0" fontId="6" fillId="0" borderId="37" xfId="0" applyFont="1" applyFill="1" applyBorder="1" applyAlignment="1">
      <alignment vertical="center"/>
    </xf>
    <xf numFmtId="169" fontId="27" fillId="0" borderId="0" xfId="1" applyNumberFormat="1" applyFont="1" applyFill="1" applyBorder="1" applyAlignment="1">
      <alignment horizontal="right"/>
    </xf>
    <xf numFmtId="176" fontId="0" fillId="0" borderId="6" xfId="1" applyNumberFormat="1" applyFont="1" applyBorder="1" applyAlignment="1" applyProtection="1">
      <alignment horizontal="center"/>
      <protection locked="0"/>
    </xf>
    <xf numFmtId="179" fontId="6" fillId="0" borderId="23" xfId="1" applyNumberFormat="1" applyFont="1" applyBorder="1" applyProtection="1">
      <protection hidden="1"/>
    </xf>
    <xf numFmtId="0" fontId="3" fillId="0" borderId="0" xfId="0" applyFont="1" applyFill="1" applyBorder="1" applyAlignment="1" applyProtection="1">
      <alignment horizontal="right"/>
      <protection hidden="1"/>
    </xf>
    <xf numFmtId="0" fontId="23" fillId="3" borderId="16" xfId="0" applyFont="1" applyFill="1" applyBorder="1" applyAlignment="1" applyProtection="1">
      <alignment vertical="center"/>
      <protection hidden="1"/>
    </xf>
    <xf numFmtId="0" fontId="21" fillId="3" borderId="16" xfId="0" applyFont="1" applyFill="1" applyBorder="1" applyAlignment="1" applyProtection="1">
      <alignment vertical="center" wrapText="1"/>
      <protection hidden="1"/>
    </xf>
    <xf numFmtId="0" fontId="6" fillId="0" borderId="0" xfId="0" applyFont="1" applyFill="1" applyBorder="1" applyAlignment="1" applyProtection="1">
      <alignment horizontal="center"/>
      <protection locked="0"/>
    </xf>
    <xf numFmtId="0" fontId="27" fillId="0" borderId="0" xfId="0" applyFont="1" applyBorder="1" applyAlignment="1">
      <alignment horizontal="right"/>
    </xf>
    <xf numFmtId="174" fontId="6" fillId="0" borderId="6" xfId="1" applyNumberFormat="1" applyFont="1" applyFill="1" applyBorder="1" applyProtection="1">
      <protection locked="0"/>
    </xf>
    <xf numFmtId="174" fontId="8" fillId="0" borderId="6" xfId="1" applyNumberFormat="1" applyFont="1" applyFill="1" applyBorder="1" applyProtection="1">
      <protection locked="0"/>
    </xf>
    <xf numFmtId="174" fontId="8" fillId="0" borderId="42" xfId="1" applyNumberFormat="1" applyFont="1" applyFill="1" applyBorder="1" applyProtection="1">
      <protection locked="0"/>
    </xf>
    <xf numFmtId="174" fontId="17" fillId="0" borderId="43" xfId="1" applyNumberFormat="1" applyFont="1" applyFill="1" applyBorder="1" applyProtection="1">
      <protection hidden="1"/>
    </xf>
    <xf numFmtId="174" fontId="6" fillId="0" borderId="7" xfId="1" applyNumberFormat="1" applyFont="1" applyFill="1" applyBorder="1" applyProtection="1">
      <protection hidden="1"/>
    </xf>
    <xf numFmtId="182" fontId="17" fillId="0" borderId="7" xfId="1" applyNumberFormat="1" applyFont="1" applyFill="1" applyBorder="1" applyAlignment="1" applyProtection="1">
      <alignment vertical="top"/>
      <protection hidden="1"/>
    </xf>
    <xf numFmtId="182" fontId="17" fillId="0" borderId="22" xfId="1" applyNumberFormat="1" applyFont="1" applyFill="1" applyBorder="1" applyAlignment="1" applyProtection="1">
      <alignment vertical="top"/>
      <protection hidden="1"/>
    </xf>
    <xf numFmtId="182" fontId="17" fillId="0" borderId="23" xfId="1" applyNumberFormat="1" applyFont="1" applyFill="1" applyBorder="1" applyAlignment="1" applyProtection="1">
      <alignment vertical="top"/>
      <protection hidden="1"/>
    </xf>
    <xf numFmtId="182" fontId="17" fillId="0" borderId="6" xfId="1" applyNumberFormat="1" applyFont="1" applyFill="1" applyBorder="1" applyAlignment="1" applyProtection="1">
      <alignment vertical="top"/>
      <protection locked="0"/>
    </xf>
    <xf numFmtId="170" fontId="0" fillId="2" borderId="0" xfId="0" applyNumberFormat="1" applyFill="1" applyProtection="1">
      <protection hidden="1"/>
    </xf>
    <xf numFmtId="170" fontId="6" fillId="2" borderId="0" xfId="0" applyNumberFormat="1" applyFont="1" applyFill="1" applyProtection="1">
      <protection hidden="1"/>
    </xf>
    <xf numFmtId="176" fontId="0" fillId="0" borderId="10" xfId="0" applyNumberFormat="1" applyFill="1" applyBorder="1" applyProtection="1">
      <protection hidden="1"/>
    </xf>
    <xf numFmtId="176" fontId="6" fillId="0" borderId="23" xfId="1" applyNumberFormat="1" applyFont="1" applyFill="1" applyBorder="1" applyProtection="1">
      <protection hidden="1"/>
    </xf>
    <xf numFmtId="179" fontId="0" fillId="5" borderId="0" xfId="1" applyNumberFormat="1" applyFont="1" applyFill="1" applyProtection="1">
      <protection hidden="1"/>
    </xf>
    <xf numFmtId="179" fontId="0" fillId="7" borderId="0" xfId="0" applyNumberFormat="1" applyFill="1"/>
    <xf numFmtId="176" fontId="6" fillId="0" borderId="7" xfId="0" applyNumberFormat="1" applyFont="1" applyFill="1" applyBorder="1" applyProtection="1">
      <protection hidden="1"/>
    </xf>
    <xf numFmtId="176" fontId="6" fillId="0" borderId="37" xfId="0" applyNumberFormat="1" applyFont="1" applyFill="1" applyBorder="1" applyProtection="1">
      <protection hidden="1"/>
    </xf>
    <xf numFmtId="169" fontId="6" fillId="0" borderId="37" xfId="0" applyNumberFormat="1" applyFont="1" applyFill="1" applyBorder="1" applyProtection="1">
      <protection hidden="1"/>
    </xf>
    <xf numFmtId="169" fontId="6" fillId="0" borderId="26" xfId="0" applyNumberFormat="1" applyFont="1" applyFill="1" applyBorder="1" applyProtection="1">
      <protection hidden="1"/>
    </xf>
    <xf numFmtId="179" fontId="0" fillId="7" borderId="0" xfId="1" applyNumberFormat="1" applyFont="1" applyFill="1" applyProtection="1">
      <protection hidden="1"/>
    </xf>
    <xf numFmtId="169" fontId="0" fillId="0" borderId="6" xfId="1" applyNumberFormat="1" applyFont="1" applyFill="1" applyBorder="1" applyAlignment="1" applyProtection="1">
      <protection locked="0"/>
    </xf>
    <xf numFmtId="169" fontId="0" fillId="0" borderId="6" xfId="1" applyNumberFormat="1" applyFont="1" applyFill="1" applyBorder="1" applyProtection="1">
      <protection locked="0"/>
    </xf>
    <xf numFmtId="178" fontId="0" fillId="0" borderId="0" xfId="0" applyNumberFormat="1" applyFill="1"/>
    <xf numFmtId="0" fontId="24" fillId="3" borderId="28" xfId="0" applyFont="1" applyFill="1" applyBorder="1" applyAlignment="1" applyProtection="1">
      <alignment vertical="center"/>
    </xf>
    <xf numFmtId="0" fontId="8" fillId="0" borderId="3" xfId="0" applyFont="1" applyFill="1" applyBorder="1" applyAlignment="1" applyProtection="1">
      <alignment horizontal="center" vertical="center" wrapText="1"/>
    </xf>
    <xf numFmtId="164" fontId="8" fillId="0" borderId="26" xfId="1" applyNumberFormat="1" applyFont="1" applyFill="1" applyBorder="1" applyAlignment="1" applyProtection="1">
      <protection hidden="1"/>
    </xf>
    <xf numFmtId="169" fontId="0" fillId="7" borderId="0" xfId="0" applyNumberFormat="1" applyFill="1"/>
    <xf numFmtId="0" fontId="6" fillId="7" borderId="7" xfId="0" applyFont="1" applyFill="1" applyBorder="1" applyAlignment="1">
      <alignment horizontal="center"/>
    </xf>
    <xf numFmtId="9" fontId="0" fillId="7" borderId="0" xfId="2" applyFont="1" applyFill="1" applyAlignment="1" applyProtection="1">
      <alignment horizontal="center"/>
      <protection hidden="1"/>
    </xf>
    <xf numFmtId="0" fontId="8" fillId="7" borderId="0" xfId="0" applyFont="1" applyFill="1" applyProtection="1">
      <protection hidden="1"/>
    </xf>
    <xf numFmtId="173" fontId="1" fillId="0" borderId="6" xfId="0" applyNumberFormat="1" applyFont="1" applyFill="1" applyBorder="1" applyProtection="1">
      <protection locked="0"/>
    </xf>
    <xf numFmtId="183" fontId="4" fillId="0" borderId="23" xfId="1" applyNumberFormat="1" applyFont="1" applyFill="1" applyBorder="1" applyAlignment="1" applyProtection="1">
      <alignment vertical="top"/>
      <protection hidden="1"/>
    </xf>
    <xf numFmtId="170" fontId="0" fillId="7" borderId="0" xfId="0" applyNumberFormat="1" applyFill="1"/>
    <xf numFmtId="0" fontId="1" fillId="0" borderId="0" xfId="0" applyFont="1" applyFill="1" applyBorder="1" applyAlignment="1" applyProtection="1">
      <alignment vertical="top"/>
      <protection hidden="1"/>
    </xf>
    <xf numFmtId="0" fontId="1" fillId="0" borderId="6" xfId="0" applyFont="1" applyFill="1" applyBorder="1" applyProtection="1">
      <protection locked="0"/>
    </xf>
    <xf numFmtId="0" fontId="1" fillId="0" borderId="6" xfId="0" applyFont="1" applyFill="1" applyBorder="1" applyAlignment="1" applyProtection="1">
      <alignment horizontal="center"/>
      <protection locked="0"/>
    </xf>
    <xf numFmtId="0" fontId="1" fillId="0" borderId="7" xfId="0" applyFont="1" applyFill="1" applyBorder="1"/>
    <xf numFmtId="0" fontId="0" fillId="0" borderId="0" xfId="0" applyFill="1" applyBorder="1" applyAlignment="1">
      <alignment horizontal="center"/>
    </xf>
    <xf numFmtId="0" fontId="6" fillId="0" borderId="7" xfId="0" applyFont="1" applyFill="1" applyBorder="1" applyAlignment="1">
      <alignment horizontal="center"/>
    </xf>
    <xf numFmtId="9" fontId="0" fillId="0" borderId="7" xfId="0" applyNumberFormat="1" applyBorder="1"/>
    <xf numFmtId="10" fontId="0" fillId="0" borderId="7" xfId="0" applyNumberFormat="1" applyBorder="1"/>
    <xf numFmtId="0" fontId="1" fillId="0" borderId="0" xfId="0" applyFont="1"/>
    <xf numFmtId="0" fontId="6" fillId="10" borderId="7" xfId="0" applyFont="1" applyFill="1" applyBorder="1"/>
    <xf numFmtId="0" fontId="6" fillId="10" borderId="7" xfId="0" applyFont="1" applyFill="1" applyBorder="1" applyAlignment="1">
      <alignment horizontal="center"/>
    </xf>
    <xf numFmtId="0" fontId="1" fillId="0" borderId="0" xfId="0" applyFont="1" applyFill="1" applyBorder="1"/>
    <xf numFmtId="0" fontId="6" fillId="0" borderId="0" xfId="0" applyFont="1" applyFill="1" applyBorder="1"/>
    <xf numFmtId="0" fontId="9" fillId="3" borderId="12" xfId="0" applyFont="1" applyFill="1" applyBorder="1" applyAlignment="1" applyProtection="1">
      <alignment vertical="center"/>
      <protection hidden="1"/>
    </xf>
    <xf numFmtId="0" fontId="1" fillId="0" borderId="22" xfId="0" applyFont="1" applyFill="1" applyBorder="1" applyAlignment="1">
      <alignment horizontal="center" vertical="center" wrapText="1"/>
    </xf>
    <xf numFmtId="0" fontId="1" fillId="0" borderId="25" xfId="0" applyFont="1" applyFill="1" applyBorder="1" applyAlignment="1">
      <alignment horizontal="center" vertical="center" wrapText="1"/>
    </xf>
    <xf numFmtId="10" fontId="0" fillId="0" borderId="6" xfId="2" applyNumberFormat="1" applyFont="1" applyFill="1" applyBorder="1" applyAlignment="1" applyProtection="1">
      <alignment horizontal="center"/>
      <protection locked="0"/>
    </xf>
    <xf numFmtId="0" fontId="1" fillId="0" borderId="7" xfId="0" applyFont="1" applyBorder="1"/>
    <xf numFmtId="10" fontId="0" fillId="0" borderId="21" xfId="2" applyNumberFormat="1" applyFont="1" applyFill="1" applyBorder="1" applyAlignment="1" applyProtection="1">
      <alignment horizontal="center"/>
      <protection hidden="1"/>
    </xf>
    <xf numFmtId="0" fontId="6" fillId="10" borderId="0" xfId="0" applyFont="1" applyFill="1"/>
    <xf numFmtId="0" fontId="0" fillId="0" borderId="0" xfId="0" quotePrefix="1" applyFill="1" applyBorder="1"/>
    <xf numFmtId="0" fontId="6" fillId="8" borderId="27" xfId="1" applyNumberFormat="1" applyFont="1" applyFill="1" applyBorder="1" applyProtection="1">
      <protection hidden="1"/>
    </xf>
    <xf numFmtId="176" fontId="6" fillId="8" borderId="9" xfId="0" applyNumberFormat="1" applyFont="1" applyFill="1" applyBorder="1" applyProtection="1">
      <protection hidden="1"/>
    </xf>
    <xf numFmtId="0" fontId="6" fillId="0" borderId="0" xfId="0" applyFont="1" applyFill="1" applyBorder="1" applyAlignment="1">
      <alignment horizontal="center"/>
    </xf>
    <xf numFmtId="0" fontId="0" fillId="3" borderId="28" xfId="0" applyFill="1" applyBorder="1" applyAlignment="1" applyProtection="1">
      <alignment vertical="center"/>
      <protection hidden="1"/>
    </xf>
    <xf numFmtId="0" fontId="1" fillId="0" borderId="0" xfId="0" applyFont="1" applyFill="1" applyBorder="1" applyAlignment="1" applyProtection="1">
      <alignment horizontal="right"/>
      <protection hidden="1"/>
    </xf>
    <xf numFmtId="0" fontId="1" fillId="0" borderId="6" xfId="0" applyNumberFormat="1" applyFont="1" applyFill="1" applyBorder="1" applyAlignment="1" applyProtection="1">
      <alignment horizontal="center"/>
      <protection locked="0"/>
    </xf>
    <xf numFmtId="0" fontId="1" fillId="0" borderId="0" xfId="0" applyFont="1" applyFill="1" applyBorder="1" applyAlignment="1" applyProtection="1">
      <alignment horizontal="center"/>
      <protection hidden="1"/>
    </xf>
    <xf numFmtId="0" fontId="1" fillId="0" borderId="0" xfId="0" applyNumberFormat="1" applyFont="1" applyFill="1" applyBorder="1" applyAlignment="1" applyProtection="1">
      <alignment horizontal="right"/>
      <protection hidden="1"/>
    </xf>
    <xf numFmtId="0" fontId="6" fillId="0" borderId="0" xfId="0" applyFont="1" applyFill="1" applyBorder="1" applyAlignment="1" applyProtection="1">
      <alignment horizontal="right"/>
      <protection hidden="1"/>
    </xf>
    <xf numFmtId="167" fontId="6" fillId="0" borderId="6" xfId="1" applyNumberFormat="1" applyFont="1" applyFill="1" applyBorder="1" applyProtection="1">
      <protection locked="0"/>
    </xf>
    <xf numFmtId="167" fontId="6" fillId="0" borderId="7" xfId="1" applyNumberFormat="1" applyFont="1" applyFill="1" applyBorder="1" applyProtection="1">
      <protection hidden="1"/>
    </xf>
    <xf numFmtId="0" fontId="29" fillId="0" borderId="0" xfId="0" applyFont="1" applyFill="1" applyBorder="1" applyProtection="1">
      <protection hidden="1"/>
    </xf>
    <xf numFmtId="167" fontId="1" fillId="0" borderId="6" xfId="1" applyNumberFormat="1" applyFont="1" applyFill="1" applyBorder="1" applyProtection="1">
      <protection locked="0"/>
    </xf>
    <xf numFmtId="0" fontId="1" fillId="0" borderId="0" xfId="0" applyFont="1" applyFill="1" applyBorder="1" applyProtection="1">
      <protection hidden="1"/>
    </xf>
    <xf numFmtId="167" fontId="0" fillId="0" borderId="7" xfId="1" applyNumberFormat="1" applyFont="1" applyFill="1" applyBorder="1" applyProtection="1">
      <protection hidden="1"/>
    </xf>
    <xf numFmtId="167" fontId="0" fillId="0" borderId="6" xfId="1" applyNumberFormat="1" applyFont="1" applyFill="1" applyBorder="1" applyProtection="1">
      <protection locked="0"/>
    </xf>
    <xf numFmtId="167" fontId="1" fillId="0" borderId="42" xfId="1" applyNumberFormat="1" applyFont="1" applyFill="1" applyBorder="1" applyProtection="1">
      <protection locked="0"/>
    </xf>
    <xf numFmtId="167" fontId="17" fillId="0" borderId="43" xfId="1" applyNumberFormat="1" applyFont="1" applyFill="1" applyBorder="1" applyProtection="1">
      <protection hidden="1"/>
    </xf>
    <xf numFmtId="167" fontId="6" fillId="0" borderId="24" xfId="1" applyNumberFormat="1" applyFont="1" applyFill="1" applyBorder="1" applyProtection="1">
      <protection hidden="1"/>
    </xf>
    <xf numFmtId="167" fontId="6" fillId="0" borderId="23" xfId="0" applyNumberFormat="1" applyFont="1" applyFill="1" applyBorder="1" applyProtection="1">
      <protection hidden="1"/>
    </xf>
    <xf numFmtId="0" fontId="1" fillId="0" borderId="4" xfId="0" applyFont="1" applyFill="1" applyBorder="1" applyProtection="1">
      <protection hidden="1"/>
    </xf>
    <xf numFmtId="0" fontId="1" fillId="0" borderId="5" xfId="0" applyFont="1" applyFill="1" applyBorder="1" applyProtection="1">
      <protection hidden="1"/>
    </xf>
    <xf numFmtId="0" fontId="3" fillId="0" borderId="4" xfId="0" applyFont="1" applyFill="1" applyBorder="1" applyProtection="1">
      <protection hidden="1"/>
    </xf>
    <xf numFmtId="0" fontId="3" fillId="0" borderId="0" xfId="0" applyFont="1" applyFill="1" applyBorder="1" applyAlignment="1" applyProtection="1">
      <protection hidden="1"/>
    </xf>
    <xf numFmtId="0" fontId="32" fillId="0" borderId="0" xfId="0" applyFont="1" applyFill="1" applyBorder="1" applyAlignment="1" applyProtection="1">
      <alignment horizontal="center" vertical="center"/>
      <protection hidden="1"/>
    </xf>
    <xf numFmtId="0" fontId="3" fillId="0" borderId="5" xfId="0" applyFont="1" applyFill="1" applyBorder="1" applyProtection="1">
      <protection hidden="1"/>
    </xf>
    <xf numFmtId="0" fontId="3" fillId="0" borderId="0" xfId="0" applyFont="1" applyFill="1"/>
    <xf numFmtId="0" fontId="3" fillId="0" borderId="0" xfId="0" applyFont="1"/>
    <xf numFmtId="0" fontId="1" fillId="0" borderId="8" xfId="0" applyFont="1" applyFill="1" applyBorder="1" applyProtection="1">
      <protection hidden="1"/>
    </xf>
    <xf numFmtId="0" fontId="1" fillId="0" borderId="9" xfId="0" applyFont="1" applyFill="1" applyBorder="1" applyProtection="1">
      <protection hidden="1"/>
    </xf>
    <xf numFmtId="0" fontId="1" fillId="0" borderId="10" xfId="0" applyFont="1" applyFill="1" applyBorder="1" applyProtection="1">
      <protection hidden="1"/>
    </xf>
    <xf numFmtId="0" fontId="0" fillId="0" borderId="0" xfId="0" applyProtection="1"/>
    <xf numFmtId="0" fontId="3" fillId="3" borderId="12" xfId="0" applyFont="1" applyFill="1" applyBorder="1" applyAlignment="1" applyProtection="1">
      <alignment vertical="center"/>
    </xf>
    <xf numFmtId="0" fontId="3" fillId="3" borderId="28" xfId="0" applyFont="1" applyFill="1" applyBorder="1" applyAlignment="1" applyProtection="1">
      <alignment vertical="center"/>
    </xf>
    <xf numFmtId="0" fontId="3" fillId="0" borderId="0" xfId="0" applyFont="1" applyFill="1" applyBorder="1" applyAlignment="1" applyProtection="1">
      <alignment vertical="center"/>
    </xf>
    <xf numFmtId="0" fontId="3" fillId="3" borderId="16" xfId="0" applyFont="1" applyFill="1" applyBorder="1" applyAlignment="1" applyProtection="1">
      <alignment vertical="center"/>
    </xf>
    <xf numFmtId="0" fontId="32" fillId="3" borderId="16" xfId="0" applyFont="1" applyFill="1" applyBorder="1" applyAlignment="1" applyProtection="1">
      <alignment vertical="center"/>
    </xf>
    <xf numFmtId="0" fontId="3" fillId="3" borderId="17" xfId="0" applyFont="1" applyFill="1" applyBorder="1" applyAlignment="1" applyProtection="1">
      <alignment vertical="center"/>
    </xf>
    <xf numFmtId="0" fontId="29" fillId="0" borderId="0" xfId="0" applyFont="1" applyBorder="1" applyProtection="1">
      <protection hidden="1"/>
    </xf>
    <xf numFmtId="0" fontId="1" fillId="0" borderId="0" xfId="0" applyFont="1" applyProtection="1"/>
    <xf numFmtId="0" fontId="1" fillId="0" borderId="7" xfId="0" applyFont="1" applyFill="1" applyBorder="1" applyAlignment="1" applyProtection="1">
      <alignment horizontal="center" vertical="center"/>
    </xf>
    <xf numFmtId="0" fontId="1" fillId="0" borderId="22" xfId="0" applyFont="1" applyFill="1" applyBorder="1" applyAlignment="1" applyProtection="1">
      <alignment horizontal="center" vertical="center" wrapText="1"/>
    </xf>
    <xf numFmtId="10" fontId="1" fillId="0" borderId="6" xfId="2" applyNumberFormat="1" applyFont="1" applyFill="1" applyBorder="1" applyProtection="1">
      <protection locked="0"/>
    </xf>
    <xf numFmtId="0" fontId="1" fillId="0" borderId="0" xfId="0" applyFont="1" applyFill="1" applyBorder="1" applyAlignment="1" applyProtection="1"/>
    <xf numFmtId="0" fontId="1" fillId="0" borderId="0" xfId="0" applyFont="1" applyFill="1" applyBorder="1" applyProtection="1"/>
    <xf numFmtId="0" fontId="1" fillId="3" borderId="16" xfId="0" applyFont="1" applyFill="1" applyBorder="1" applyAlignment="1" applyProtection="1">
      <alignment vertical="center"/>
    </xf>
    <xf numFmtId="0" fontId="1" fillId="3" borderId="17" xfId="0" applyFont="1" applyFill="1" applyBorder="1" applyAlignment="1" applyProtection="1">
      <alignment vertical="center"/>
    </xf>
    <xf numFmtId="0" fontId="1" fillId="0" borderId="3" xfId="0" applyFont="1" applyFill="1" applyBorder="1" applyAlignment="1" applyProtection="1">
      <alignment horizontal="center" vertical="center" wrapText="1"/>
    </xf>
    <xf numFmtId="176" fontId="1" fillId="0" borderId="25" xfId="1" applyNumberFormat="1" applyFont="1" applyFill="1" applyBorder="1" applyAlignment="1" applyProtection="1">
      <protection hidden="1"/>
    </xf>
    <xf numFmtId="183" fontId="1" fillId="0" borderId="26" xfId="0" applyNumberFormat="1" applyFont="1" applyFill="1" applyBorder="1" applyAlignment="1" applyProtection="1">
      <protection hidden="1"/>
    </xf>
    <xf numFmtId="10" fontId="1" fillId="0" borderId="0" xfId="2" applyNumberFormat="1" applyFont="1" applyFill="1" applyBorder="1" applyProtection="1"/>
    <xf numFmtId="176" fontId="1" fillId="0" borderId="0" xfId="0" applyNumberFormat="1" applyFont="1" applyFill="1" applyBorder="1" applyAlignment="1" applyProtection="1"/>
    <xf numFmtId="0" fontId="6" fillId="3" borderId="16" xfId="0" applyFont="1" applyFill="1" applyBorder="1" applyAlignment="1" applyProtection="1">
      <alignment horizontal="center" vertical="center"/>
    </xf>
    <xf numFmtId="176" fontId="1" fillId="3" borderId="16" xfId="0" applyNumberFormat="1" applyFont="1" applyFill="1" applyBorder="1" applyAlignment="1" applyProtection="1">
      <alignment vertical="center"/>
    </xf>
    <xf numFmtId="0" fontId="6" fillId="3" borderId="17" xfId="0" applyFont="1" applyFill="1" applyBorder="1" applyAlignment="1" applyProtection="1">
      <alignment horizontal="center" vertical="center"/>
    </xf>
    <xf numFmtId="0" fontId="1" fillId="0" borderId="0" xfId="0" applyFont="1" applyAlignment="1" applyProtection="1">
      <alignment vertical="center"/>
    </xf>
    <xf numFmtId="3" fontId="6" fillId="0" borderId="9" xfId="0" applyNumberFormat="1" applyFont="1" applyFill="1" applyBorder="1" applyAlignment="1" applyProtection="1">
      <alignment horizontal="center"/>
    </xf>
    <xf numFmtId="167" fontId="1" fillId="0" borderId="7" xfId="1" applyNumberFormat="1" applyFont="1" applyFill="1" applyBorder="1" applyAlignment="1" applyProtection="1">
      <protection hidden="1"/>
    </xf>
    <xf numFmtId="167" fontId="6" fillId="0" borderId="7" xfId="0" applyNumberFormat="1" applyFont="1" applyFill="1" applyBorder="1" applyProtection="1">
      <protection hidden="1"/>
    </xf>
    <xf numFmtId="174" fontId="3" fillId="0" borderId="0" xfId="0" applyNumberFormat="1" applyFont="1" applyFill="1" applyBorder="1" applyAlignment="1" applyProtection="1">
      <alignment horizontal="right"/>
      <protection hidden="1"/>
    </xf>
    <xf numFmtId="0" fontId="3" fillId="0" borderId="0" xfId="0" applyFont="1" applyProtection="1"/>
    <xf numFmtId="0" fontId="3" fillId="0" borderId="9" xfId="0" applyFont="1" applyFill="1" applyBorder="1" applyAlignment="1" applyProtection="1"/>
    <xf numFmtId="0" fontId="3" fillId="0" borderId="9" xfId="0" applyFont="1" applyFill="1" applyBorder="1" applyProtection="1"/>
    <xf numFmtId="0" fontId="0" fillId="0" borderId="0" xfId="0" applyAlignment="1" applyProtection="1"/>
    <xf numFmtId="0" fontId="1" fillId="0" borderId="1" xfId="0" applyFont="1" applyBorder="1" applyAlignment="1" applyProtection="1"/>
    <xf numFmtId="0" fontId="1" fillId="0" borderId="2" xfId="0" applyFont="1" applyFill="1" applyBorder="1" applyAlignment="1" applyProtection="1">
      <alignment vertical="center"/>
    </xf>
    <xf numFmtId="0" fontId="1" fillId="0" borderId="0" xfId="0" applyFont="1" applyAlignment="1" applyProtection="1"/>
    <xf numFmtId="0" fontId="1" fillId="0" borderId="4" xfId="0" applyFont="1" applyBorder="1" applyAlignment="1" applyProtection="1"/>
    <xf numFmtId="0" fontId="33" fillId="3" borderId="11" xfId="0" applyFont="1" applyFill="1" applyBorder="1" applyAlignment="1" applyProtection="1">
      <alignment vertical="center"/>
    </xf>
    <xf numFmtId="0" fontId="33" fillId="3" borderId="12" xfId="0" applyFont="1" applyFill="1" applyBorder="1" applyAlignment="1" applyProtection="1">
      <alignment vertical="center"/>
    </xf>
    <xf numFmtId="0" fontId="6" fillId="3" borderId="12" xfId="0" applyFont="1" applyFill="1" applyBorder="1" applyAlignment="1" applyProtection="1">
      <alignment horizontal="center" vertical="center" wrapText="1"/>
    </xf>
    <xf numFmtId="0" fontId="6" fillId="3" borderId="28" xfId="0" applyFont="1" applyFill="1" applyBorder="1" applyAlignment="1" applyProtection="1">
      <alignment horizontal="center" vertical="center" wrapText="1"/>
    </xf>
    <xf numFmtId="0" fontId="6" fillId="0" borderId="0" xfId="0" applyFont="1" applyFill="1" applyBorder="1" applyAlignment="1" applyProtection="1">
      <alignment horizontal="center" vertical="center" wrapText="1"/>
    </xf>
    <xf numFmtId="0" fontId="1" fillId="0" borderId="0" xfId="0" applyFont="1" applyFill="1" applyBorder="1" applyAlignment="1" applyProtection="1">
      <alignment horizontal="right"/>
    </xf>
    <xf numFmtId="0" fontId="6" fillId="0" borderId="0" xfId="0" applyFont="1" applyFill="1" applyBorder="1" applyAlignment="1" applyProtection="1">
      <alignment vertical="center"/>
    </xf>
    <xf numFmtId="0" fontId="1" fillId="0" borderId="0" xfId="0" applyFont="1" applyFill="1" applyBorder="1" applyAlignment="1" applyProtection="1">
      <alignment vertical="center"/>
    </xf>
    <xf numFmtId="0" fontId="6" fillId="0" borderId="6" xfId="0" applyFont="1" applyFill="1" applyBorder="1" applyAlignment="1" applyProtection="1">
      <alignment horizontal="center"/>
      <protection locked="0"/>
    </xf>
    <xf numFmtId="0" fontId="6" fillId="0" borderId="44" xfId="0" applyFont="1" applyFill="1" applyBorder="1" applyAlignment="1" applyProtection="1">
      <alignment horizontal="center" vertical="center"/>
      <protection locked="0"/>
    </xf>
    <xf numFmtId="0" fontId="6" fillId="0" borderId="14" xfId="0" applyFont="1" applyFill="1" applyBorder="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protection locked="0"/>
    </xf>
    <xf numFmtId="0" fontId="1" fillId="0" borderId="4" xfId="0" applyFont="1" applyBorder="1" applyProtection="1"/>
    <xf numFmtId="0" fontId="2" fillId="3" borderId="16" xfId="0" applyFont="1" applyFill="1" applyBorder="1" applyAlignment="1" applyProtection="1">
      <alignment vertical="center"/>
    </xf>
    <xf numFmtId="176" fontId="4" fillId="3" borderId="16" xfId="0" applyNumberFormat="1" applyFont="1" applyFill="1" applyBorder="1" applyAlignment="1" applyProtection="1">
      <alignment horizontal="center" vertical="center"/>
    </xf>
    <xf numFmtId="176" fontId="6" fillId="3" borderId="16" xfId="0" applyNumberFormat="1" applyFont="1" applyFill="1" applyBorder="1" applyAlignment="1" applyProtection="1">
      <alignment horizontal="center" vertical="center" wrapText="1"/>
    </xf>
    <xf numFmtId="173" fontId="1" fillId="0" borderId="6" xfId="1" applyNumberFormat="1" applyFont="1" applyFill="1" applyBorder="1" applyAlignment="1" applyProtection="1">
      <alignment horizontal="left"/>
      <protection locked="0"/>
    </xf>
    <xf numFmtId="173" fontId="1" fillId="0" borderId="45" xfId="1" applyNumberFormat="1" applyFont="1" applyFill="1" applyBorder="1" applyAlignment="1" applyProtection="1">
      <alignment horizontal="left"/>
      <protection hidden="1"/>
    </xf>
    <xf numFmtId="0" fontId="7" fillId="0" borderId="0" xfId="0" applyFont="1" applyBorder="1"/>
    <xf numFmtId="174" fontId="1" fillId="0" borderId="7" xfId="0" applyNumberFormat="1" applyFont="1" applyFill="1" applyBorder="1" applyProtection="1">
      <protection hidden="1"/>
    </xf>
    <xf numFmtId="0" fontId="1" fillId="0" borderId="0" xfId="0" applyFont="1" applyFill="1" applyBorder="1" applyAlignment="1" applyProtection="1">
      <alignment horizontal="left"/>
    </xf>
    <xf numFmtId="173" fontId="1" fillId="0" borderId="46" xfId="1" applyNumberFormat="1" applyFont="1" applyFill="1" applyBorder="1" applyAlignment="1" applyProtection="1">
      <alignment horizontal="left"/>
      <protection hidden="1"/>
    </xf>
    <xf numFmtId="173" fontId="1" fillId="0" borderId="47" xfId="1" applyNumberFormat="1" applyFont="1" applyFill="1" applyBorder="1" applyAlignment="1" applyProtection="1">
      <alignment horizontal="left"/>
      <protection hidden="1"/>
    </xf>
    <xf numFmtId="173" fontId="1" fillId="0" borderId="48" xfId="1" applyNumberFormat="1" applyFont="1" applyFill="1" applyBorder="1" applyAlignment="1" applyProtection="1">
      <alignment horizontal="left"/>
      <protection hidden="1"/>
    </xf>
    <xf numFmtId="173" fontId="1" fillId="0" borderId="20" xfId="1" applyNumberFormat="1" applyFont="1" applyFill="1" applyBorder="1" applyAlignment="1" applyProtection="1">
      <alignment horizontal="left"/>
      <protection hidden="1"/>
    </xf>
    <xf numFmtId="173" fontId="1" fillId="0" borderId="7" xfId="1" applyNumberFormat="1" applyFont="1" applyFill="1" applyBorder="1" applyAlignment="1" applyProtection="1">
      <alignment horizontal="left"/>
      <protection hidden="1"/>
    </xf>
    <xf numFmtId="0" fontId="6" fillId="0" borderId="0" xfId="0" applyFont="1" applyFill="1" applyBorder="1" applyProtection="1"/>
    <xf numFmtId="173" fontId="6" fillId="0" borderId="24" xfId="1" applyNumberFormat="1" applyFont="1" applyFill="1" applyBorder="1" applyAlignment="1" applyProtection="1">
      <alignment horizontal="left"/>
      <protection hidden="1"/>
    </xf>
    <xf numFmtId="173" fontId="6" fillId="0" borderId="7" xfId="1" applyNumberFormat="1" applyFont="1" applyFill="1" applyBorder="1" applyAlignment="1" applyProtection="1">
      <alignment horizontal="left"/>
      <protection hidden="1"/>
    </xf>
    <xf numFmtId="174" fontId="6" fillId="0" borderId="7" xfId="0" applyNumberFormat="1" applyFont="1" applyFill="1" applyBorder="1" applyProtection="1">
      <protection hidden="1"/>
    </xf>
    <xf numFmtId="173" fontId="1" fillId="0" borderId="24" xfId="1" applyNumberFormat="1" applyFont="1" applyFill="1" applyBorder="1" applyAlignment="1" applyProtection="1">
      <alignment horizontal="left"/>
      <protection hidden="1"/>
    </xf>
    <xf numFmtId="173" fontId="1" fillId="0" borderId="22" xfId="1" applyNumberFormat="1" applyFont="1" applyFill="1" applyBorder="1" applyAlignment="1" applyProtection="1">
      <alignment horizontal="left"/>
      <protection hidden="1"/>
    </xf>
    <xf numFmtId="174" fontId="1" fillId="0" borderId="7" xfId="1" applyNumberFormat="1" applyFont="1" applyFill="1" applyBorder="1" applyAlignment="1" applyProtection="1">
      <alignment horizontal="left"/>
      <protection hidden="1"/>
    </xf>
    <xf numFmtId="174" fontId="6" fillId="0" borderId="27" xfId="0" applyNumberFormat="1" applyFont="1" applyFill="1" applyBorder="1" applyProtection="1">
      <protection hidden="1"/>
    </xf>
    <xf numFmtId="174" fontId="1" fillId="0" borderId="6" xfId="1" applyFont="1" applyFill="1" applyBorder="1" applyProtection="1">
      <protection locked="0"/>
    </xf>
    <xf numFmtId="0" fontId="6" fillId="0" borderId="4" xfId="0" applyFont="1" applyBorder="1" applyProtection="1"/>
    <xf numFmtId="3" fontId="1" fillId="0" borderId="0" xfId="0" applyNumberFormat="1" applyFont="1" applyFill="1" applyBorder="1" applyProtection="1"/>
    <xf numFmtId="0" fontId="6" fillId="0" borderId="0" xfId="0" applyFont="1" applyProtection="1"/>
    <xf numFmtId="0" fontId="1" fillId="3" borderId="16" xfId="0" applyFont="1" applyFill="1" applyBorder="1" applyProtection="1"/>
    <xf numFmtId="3" fontId="1" fillId="3" borderId="16" xfId="0" applyNumberFormat="1" applyFont="1" applyFill="1" applyBorder="1" applyProtection="1"/>
    <xf numFmtId="0" fontId="6" fillId="3" borderId="16" xfId="0" applyFont="1" applyFill="1" applyBorder="1" applyAlignment="1" applyProtection="1">
      <alignment horizontal="right"/>
    </xf>
    <xf numFmtId="3" fontId="1" fillId="0" borderId="22" xfId="0" applyNumberFormat="1" applyFont="1" applyFill="1" applyBorder="1" applyAlignment="1" applyProtection="1">
      <alignment horizontal="center" vertical="center" wrapText="1"/>
    </xf>
    <xf numFmtId="179" fontId="1" fillId="0" borderId="6" xfId="1" applyNumberFormat="1" applyFont="1" applyFill="1" applyBorder="1" applyProtection="1">
      <protection locked="0"/>
    </xf>
    <xf numFmtId="176" fontId="1" fillId="0" borderId="6" xfId="2" applyNumberFormat="1" applyFont="1" applyFill="1" applyBorder="1" applyProtection="1">
      <protection locked="0"/>
    </xf>
    <xf numFmtId="176" fontId="1" fillId="0" borderId="6" xfId="0" applyNumberFormat="1" applyFont="1" applyFill="1" applyBorder="1" applyProtection="1">
      <protection locked="0"/>
    </xf>
    <xf numFmtId="176" fontId="1" fillId="0" borderId="48" xfId="0" applyNumberFormat="1" applyFont="1" applyFill="1" applyBorder="1" applyProtection="1">
      <protection hidden="1"/>
    </xf>
    <xf numFmtId="176" fontId="6" fillId="0" borderId="23" xfId="0" applyNumberFormat="1" applyFont="1" applyFill="1" applyBorder="1" applyAlignment="1" applyProtection="1">
      <alignment horizontal="right"/>
      <protection hidden="1"/>
    </xf>
    <xf numFmtId="176" fontId="6" fillId="3" borderId="16" xfId="0" applyNumberFormat="1" applyFont="1" applyFill="1" applyBorder="1" applyAlignment="1" applyProtection="1">
      <alignment vertical="center"/>
    </xf>
    <xf numFmtId="169" fontId="1" fillId="0" borderId="6" xfId="0" applyNumberFormat="1" applyFont="1" applyFill="1" applyBorder="1" applyProtection="1">
      <protection locked="0"/>
    </xf>
    <xf numFmtId="169" fontId="1" fillId="0" borderId="14" xfId="0" applyNumberFormat="1" applyFont="1" applyFill="1" applyBorder="1" applyProtection="1">
      <protection hidden="1"/>
    </xf>
    <xf numFmtId="169" fontId="1" fillId="0" borderId="20" xfId="0" applyNumberFormat="1" applyFont="1" applyFill="1" applyBorder="1" applyProtection="1">
      <protection hidden="1"/>
    </xf>
    <xf numFmtId="169" fontId="6" fillId="0" borderId="7" xfId="0" applyNumberFormat="1" applyFont="1" applyFill="1" applyBorder="1" applyProtection="1">
      <protection hidden="1"/>
    </xf>
    <xf numFmtId="0" fontId="6" fillId="0" borderId="0" xfId="0" applyFont="1" applyBorder="1" applyAlignment="1">
      <alignment horizontal="right"/>
    </xf>
    <xf numFmtId="169" fontId="6" fillId="0" borderId="7" xfId="1" applyNumberFormat="1" applyFont="1" applyFill="1" applyBorder="1" applyProtection="1">
      <protection hidden="1"/>
    </xf>
    <xf numFmtId="0" fontId="17" fillId="0" borderId="0" xfId="0" applyFont="1" applyFill="1" applyBorder="1" applyAlignment="1" applyProtection="1">
      <alignment horizontal="right" vertical="center"/>
    </xf>
    <xf numFmtId="10" fontId="6" fillId="0" borderId="23" xfId="2" applyNumberFormat="1" applyFont="1" applyFill="1" applyBorder="1" applyAlignment="1" applyProtection="1">
      <alignment horizontal="center"/>
      <protection hidden="1"/>
    </xf>
    <xf numFmtId="183" fontId="17" fillId="0" borderId="23" xfId="0" applyNumberFormat="1" applyFont="1" applyFill="1" applyBorder="1" applyAlignment="1" applyProtection="1">
      <alignment vertical="center"/>
      <protection hidden="1"/>
    </xf>
    <xf numFmtId="0" fontId="17" fillId="0" borderId="0" xfId="0" applyFont="1" applyFill="1" applyBorder="1" applyAlignment="1" applyProtection="1">
      <alignment horizontal="center" vertical="center"/>
      <protection hidden="1"/>
    </xf>
    <xf numFmtId="10" fontId="6" fillId="0" borderId="0" xfId="2" applyNumberFormat="1" applyFont="1" applyFill="1" applyBorder="1" applyAlignment="1" applyProtection="1">
      <alignment horizontal="center"/>
      <protection hidden="1"/>
    </xf>
    <xf numFmtId="10" fontId="1" fillId="0" borderId="22" xfId="2" applyNumberFormat="1" applyFont="1" applyFill="1" applyBorder="1" applyAlignment="1" applyProtection="1">
      <alignment horizontal="center" vertical="center" wrapText="1"/>
    </xf>
    <xf numFmtId="169" fontId="1" fillId="0" borderId="6" xfId="1" applyNumberFormat="1" applyFont="1" applyFill="1" applyBorder="1" applyAlignment="1" applyProtection="1">
      <protection locked="0"/>
    </xf>
    <xf numFmtId="169" fontId="1" fillId="0" borderId="48" xfId="1" applyNumberFormat="1" applyFont="1" applyFill="1" applyBorder="1" applyProtection="1">
      <protection hidden="1"/>
    </xf>
    <xf numFmtId="169" fontId="1" fillId="0" borderId="49" xfId="1" applyNumberFormat="1" applyFont="1" applyFill="1" applyBorder="1" applyProtection="1">
      <protection hidden="1"/>
    </xf>
    <xf numFmtId="169" fontId="6" fillId="0" borderId="23" xfId="0" applyNumberFormat="1" applyFont="1" applyBorder="1" applyProtection="1">
      <protection hidden="1"/>
    </xf>
    <xf numFmtId="0" fontId="17" fillId="0" borderId="50" xfId="0" applyFont="1" applyFill="1" applyBorder="1" applyAlignment="1" applyProtection="1">
      <alignment horizontal="center" vertical="center"/>
      <protection hidden="1"/>
    </xf>
    <xf numFmtId="0" fontId="3" fillId="0" borderId="4" xfId="0" applyFont="1" applyBorder="1" applyAlignment="1" applyProtection="1"/>
    <xf numFmtId="0" fontId="3" fillId="0" borderId="0" xfId="0" applyFont="1" applyFill="1" applyBorder="1" applyAlignment="1" applyProtection="1"/>
    <xf numFmtId="0" fontId="3" fillId="0" borderId="0" xfId="0" applyFont="1" applyFill="1" applyBorder="1" applyAlignment="1" applyProtection="1">
      <alignment horizontal="right"/>
    </xf>
    <xf numFmtId="0" fontId="3" fillId="0" borderId="0" xfId="0" applyFont="1" applyAlignment="1" applyProtection="1"/>
    <xf numFmtId="0" fontId="1" fillId="0" borderId="8" xfId="0" applyFont="1" applyBorder="1" applyAlignment="1" applyProtection="1"/>
    <xf numFmtId="176" fontId="1" fillId="0" borderId="9" xfId="0" applyNumberFormat="1" applyFont="1" applyFill="1" applyBorder="1" applyAlignment="1" applyProtection="1"/>
    <xf numFmtId="0" fontId="1" fillId="0" borderId="9" xfId="0" applyFont="1" applyFill="1" applyBorder="1" applyAlignment="1" applyProtection="1"/>
    <xf numFmtId="0" fontId="1" fillId="0" borderId="0" xfId="0" applyFont="1" applyFill="1" applyProtection="1"/>
    <xf numFmtId="0" fontId="1" fillId="0" borderId="0" xfId="0" applyFont="1" applyFill="1" applyAlignment="1" applyProtection="1"/>
    <xf numFmtId="0" fontId="1" fillId="0" borderId="0" xfId="0" applyFont="1" applyFill="1"/>
    <xf numFmtId="0" fontId="6" fillId="7" borderId="7" xfId="0" applyFont="1" applyFill="1" applyBorder="1"/>
    <xf numFmtId="9" fontId="6" fillId="0" borderId="0" xfId="0" applyNumberFormat="1" applyFont="1" applyFill="1" applyBorder="1" applyAlignment="1">
      <alignment horizontal="center" wrapText="1"/>
    </xf>
    <xf numFmtId="0" fontId="6" fillId="0" borderId="0" xfId="0" applyFont="1" applyFill="1" applyBorder="1" applyAlignment="1">
      <alignment horizontal="center" wrapText="1"/>
    </xf>
    <xf numFmtId="0" fontId="1" fillId="0" borderId="7" xfId="0" applyFont="1" applyBorder="1" applyAlignment="1">
      <alignment horizontal="center"/>
    </xf>
    <xf numFmtId="0" fontId="6" fillId="7" borderId="25" xfId="0" applyFont="1" applyFill="1" applyBorder="1"/>
    <xf numFmtId="0" fontId="6" fillId="7" borderId="26" xfId="0" applyFont="1" applyFill="1" applyBorder="1" applyAlignment="1">
      <alignment horizontal="center"/>
    </xf>
    <xf numFmtId="167" fontId="1" fillId="7" borderId="0" xfId="1" applyNumberFormat="1" applyFont="1" applyFill="1" applyBorder="1"/>
    <xf numFmtId="174" fontId="1" fillId="7" borderId="0" xfId="1" applyNumberFormat="1" applyFont="1" applyFill="1" applyBorder="1"/>
    <xf numFmtId="0" fontId="0" fillId="7" borderId="22" xfId="0" applyFill="1" applyBorder="1" applyAlignment="1">
      <alignment horizontal="center"/>
    </xf>
    <xf numFmtId="0" fontId="0" fillId="0" borderId="27" xfId="0" applyFill="1" applyBorder="1"/>
    <xf numFmtId="0" fontId="6" fillId="8" borderId="27" xfId="0" applyFont="1" applyFill="1" applyBorder="1"/>
    <xf numFmtId="0" fontId="6" fillId="8" borderId="25" xfId="0" applyFont="1" applyFill="1" applyBorder="1"/>
    <xf numFmtId="176" fontId="6" fillId="8" borderId="9" xfId="0" applyNumberFormat="1" applyFont="1" applyFill="1" applyBorder="1"/>
    <xf numFmtId="176" fontId="6" fillId="8" borderId="37" xfId="0" applyNumberFormat="1" applyFont="1" applyFill="1" applyBorder="1"/>
    <xf numFmtId="0" fontId="1" fillId="0" borderId="0" xfId="0" applyFont="1" applyFill="1" applyAlignment="1">
      <alignment horizontal="center"/>
    </xf>
    <xf numFmtId="0" fontId="1" fillId="5" borderId="0" xfId="0" applyFont="1" applyFill="1" applyAlignment="1" applyProtection="1">
      <protection hidden="1"/>
    </xf>
    <xf numFmtId="0" fontId="0" fillId="3" borderId="0" xfId="0" applyFill="1" applyBorder="1"/>
    <xf numFmtId="0" fontId="6" fillId="0" borderId="0" xfId="0" applyFont="1" applyFill="1" applyAlignment="1">
      <alignment horizontal="center"/>
    </xf>
    <xf numFmtId="0" fontId="6" fillId="7" borderId="0" xfId="0" applyFont="1" applyFill="1" applyAlignment="1">
      <alignment horizontal="center"/>
    </xf>
    <xf numFmtId="0" fontId="6" fillId="0" borderId="0" xfId="0" applyFont="1" applyFill="1"/>
    <xf numFmtId="0" fontId="7" fillId="0" borderId="0" xfId="0" applyFont="1" applyFill="1"/>
    <xf numFmtId="0" fontId="1" fillId="0" borderId="0" xfId="0" applyFont="1" applyFill="1" applyBorder="1" applyAlignment="1"/>
    <xf numFmtId="0" fontId="1" fillId="3" borderId="0" xfId="0" applyFont="1" applyFill="1" applyBorder="1"/>
    <xf numFmtId="0" fontId="1" fillId="0" borderId="7" xfId="0" applyFont="1" applyFill="1" applyBorder="1" applyAlignment="1">
      <alignment horizontal="center"/>
    </xf>
    <xf numFmtId="0" fontId="22" fillId="0" borderId="0" xfId="0" applyFont="1" applyFill="1"/>
    <xf numFmtId="0" fontId="6" fillId="3" borderId="0" xfId="0" applyFont="1" applyFill="1" applyBorder="1"/>
    <xf numFmtId="167" fontId="6" fillId="7" borderId="0" xfId="1" applyNumberFormat="1" applyFont="1" applyFill="1" applyBorder="1"/>
    <xf numFmtId="174" fontId="6" fillId="7" borderId="0" xfId="1" applyNumberFormat="1" applyFont="1" applyFill="1" applyBorder="1"/>
    <xf numFmtId="0" fontId="0" fillId="2" borderId="22" xfId="0" applyFill="1" applyBorder="1"/>
    <xf numFmtId="0" fontId="0" fillId="2" borderId="22" xfId="0" quotePrefix="1" applyFill="1" applyBorder="1" applyAlignment="1">
      <alignment wrapText="1"/>
    </xf>
    <xf numFmtId="10" fontId="1" fillId="5" borderId="0" xfId="2" applyNumberFormat="1" applyFill="1" applyAlignment="1" applyProtection="1">
      <alignment horizontal="center"/>
      <protection hidden="1"/>
    </xf>
    <xf numFmtId="167" fontId="1" fillId="0" borderId="0" xfId="1" applyNumberFormat="1" applyFont="1" applyFill="1" applyBorder="1"/>
    <xf numFmtId="168" fontId="1" fillId="0" borderId="0" xfId="1" applyNumberFormat="1" applyFont="1" applyFill="1" applyBorder="1"/>
    <xf numFmtId="174" fontId="1" fillId="0" borderId="0" xfId="1" applyNumberFormat="1" applyFont="1" applyFill="1" applyBorder="1"/>
    <xf numFmtId="0" fontId="1" fillId="2" borderId="27" xfId="0" applyFont="1" applyFill="1" applyBorder="1"/>
    <xf numFmtId="0" fontId="1" fillId="2" borderId="27" xfId="0" applyFont="1" applyFill="1" applyBorder="1" applyAlignment="1">
      <alignment horizontal="center" wrapText="1"/>
    </xf>
    <xf numFmtId="9" fontId="1" fillId="5" borderId="0" xfId="2" applyNumberFormat="1" applyFill="1" applyAlignment="1" applyProtection="1">
      <alignment horizontal="center"/>
      <protection hidden="1"/>
    </xf>
    <xf numFmtId="174" fontId="1" fillId="7" borderId="0" xfId="1" applyFill="1" applyAlignment="1" applyProtection="1">
      <alignment horizontal="center"/>
      <protection hidden="1"/>
    </xf>
    <xf numFmtId="0" fontId="1" fillId="2" borderId="24" xfId="0" applyFont="1" applyFill="1" applyBorder="1"/>
    <xf numFmtId="0" fontId="0" fillId="2" borderId="24" xfId="0" applyFill="1" applyBorder="1"/>
    <xf numFmtId="0" fontId="1" fillId="7" borderId="0" xfId="0" applyFont="1" applyFill="1"/>
    <xf numFmtId="174" fontId="1" fillId="7" borderId="0" xfId="0" applyNumberFormat="1" applyFont="1" applyFill="1"/>
    <xf numFmtId="0" fontId="6" fillId="2" borderId="0" xfId="0" applyFont="1" applyFill="1" applyBorder="1"/>
    <xf numFmtId="180" fontId="1" fillId="0" borderId="0" xfId="1" applyNumberFormat="1" applyFont="1" applyFill="1" applyBorder="1"/>
    <xf numFmtId="0" fontId="1" fillId="5" borderId="0" xfId="0" applyFont="1" applyFill="1"/>
    <xf numFmtId="0" fontId="1" fillId="5" borderId="0" xfId="0" applyFont="1" applyFill="1" applyAlignment="1">
      <alignment horizontal="center"/>
    </xf>
    <xf numFmtId="167" fontId="6" fillId="7" borderId="0" xfId="0" applyNumberFormat="1" applyFont="1" applyFill="1" applyBorder="1"/>
    <xf numFmtId="174" fontId="6" fillId="7" borderId="0" xfId="0" applyNumberFormat="1" applyFont="1" applyFill="1" applyBorder="1"/>
    <xf numFmtId="0" fontId="1" fillId="7" borderId="0" xfId="0" applyFont="1" applyFill="1" applyAlignment="1">
      <alignment horizontal="center"/>
    </xf>
    <xf numFmtId="168" fontId="1" fillId="0" borderId="0" xfId="0" applyNumberFormat="1" applyFont="1" applyFill="1"/>
    <xf numFmtId="9" fontId="1" fillId="7" borderId="0" xfId="2" applyFont="1" applyFill="1"/>
    <xf numFmtId="10" fontId="1" fillId="0" borderId="6" xfId="0" applyNumberFormat="1" applyFont="1" applyFill="1" applyBorder="1" applyAlignment="1" applyProtection="1">
      <alignment horizontal="center"/>
      <protection locked="0"/>
    </xf>
    <xf numFmtId="179" fontId="1" fillId="5" borderId="0" xfId="0" applyNumberFormat="1" applyFont="1" applyFill="1" applyAlignment="1" applyProtection="1">
      <protection hidden="1"/>
    </xf>
    <xf numFmtId="179" fontId="1" fillId="5" borderId="0" xfId="1" applyNumberFormat="1" applyFill="1" applyProtection="1">
      <protection hidden="1"/>
    </xf>
    <xf numFmtId="10" fontId="1" fillId="0" borderId="6" xfId="0" applyNumberFormat="1" applyFont="1" applyFill="1" applyBorder="1" applyAlignment="1" applyProtection="1">
      <protection locked="0"/>
    </xf>
    <xf numFmtId="9" fontId="1" fillId="0" borderId="7" xfId="2" applyFont="1" applyFill="1" applyBorder="1" applyAlignment="1"/>
    <xf numFmtId="10" fontId="1" fillId="0" borderId="6" xfId="2" applyNumberFormat="1" applyFont="1" applyFill="1" applyBorder="1" applyAlignment="1" applyProtection="1">
      <protection locked="0"/>
    </xf>
    <xf numFmtId="0" fontId="38" fillId="0" borderId="0" xfId="0" applyFont="1" applyBorder="1"/>
    <xf numFmtId="10" fontId="8" fillId="0" borderId="6" xfId="0" applyNumberFormat="1" applyFont="1" applyFill="1" applyBorder="1" applyAlignment="1" applyProtection="1">
      <protection locked="0"/>
    </xf>
    <xf numFmtId="164" fontId="6" fillId="8" borderId="37" xfId="1" applyNumberFormat="1" applyFont="1" applyFill="1" applyBorder="1" applyProtection="1">
      <protection hidden="1"/>
    </xf>
    <xf numFmtId="0" fontId="0" fillId="0" borderId="25" xfId="0" applyFill="1" applyBorder="1" applyAlignment="1">
      <alignment vertical="center" wrapText="1"/>
    </xf>
    <xf numFmtId="0" fontId="0" fillId="0" borderId="26" xfId="0" applyFill="1" applyBorder="1" applyAlignment="1">
      <alignment vertical="center" wrapText="1"/>
    </xf>
    <xf numFmtId="0" fontId="0" fillId="0" borderId="37" xfId="0" applyFill="1" applyBorder="1" applyAlignment="1">
      <alignment vertical="center" wrapText="1"/>
    </xf>
    <xf numFmtId="0" fontId="1" fillId="0" borderId="25" xfId="0" applyFont="1" applyFill="1" applyBorder="1" applyAlignment="1">
      <alignment vertical="center"/>
    </xf>
    <xf numFmtId="0" fontId="1" fillId="0" borderId="7" xfId="0" applyFont="1" applyFill="1" applyBorder="1" applyAlignment="1">
      <alignment horizontal="center" vertical="center" wrapText="1"/>
    </xf>
    <xf numFmtId="0" fontId="0" fillId="0" borderId="7" xfId="0" applyFill="1" applyBorder="1" applyAlignment="1"/>
    <xf numFmtId="0" fontId="14" fillId="0" borderId="0" xfId="0" applyFont="1" applyFill="1" applyBorder="1" applyAlignment="1" applyProtection="1">
      <alignment wrapText="1"/>
      <protection hidden="1"/>
    </xf>
    <xf numFmtId="176" fontId="6" fillId="0" borderId="6" xfId="0" applyNumberFormat="1" applyFont="1" applyFill="1" applyBorder="1" applyAlignment="1" applyProtection="1">
      <alignment horizontal="center" vertical="top"/>
      <protection locked="0"/>
    </xf>
    <xf numFmtId="176" fontId="6" fillId="0" borderId="0" xfId="0" applyNumberFormat="1" applyFont="1" applyFill="1" applyBorder="1" applyAlignment="1" applyProtection="1">
      <alignment horizontal="center"/>
      <protection locked="0"/>
    </xf>
    <xf numFmtId="176" fontId="0" fillId="0" borderId="24" xfId="0" applyNumberFormat="1" applyFill="1" applyBorder="1" applyAlignment="1" applyProtection="1">
      <protection hidden="1"/>
    </xf>
    <xf numFmtId="0" fontId="1" fillId="0" borderId="0" xfId="0" applyFont="1" applyFill="1" applyAlignment="1" applyProtection="1">
      <alignment horizontal="center"/>
      <protection hidden="1"/>
    </xf>
    <xf numFmtId="0" fontId="0" fillId="0" borderId="22" xfId="0" applyFill="1" applyBorder="1" applyAlignment="1" applyProtection="1">
      <alignment horizontal="center"/>
      <protection hidden="1"/>
    </xf>
    <xf numFmtId="176" fontId="0" fillId="0" borderId="27" xfId="0" applyNumberFormat="1" applyFill="1" applyBorder="1" applyAlignment="1" applyProtection="1">
      <protection hidden="1"/>
    </xf>
    <xf numFmtId="176" fontId="1" fillId="0" borderId="24" xfId="0" applyNumberFormat="1" applyFont="1" applyFill="1" applyBorder="1" applyAlignment="1" applyProtection="1">
      <protection hidden="1"/>
    </xf>
    <xf numFmtId="0" fontId="1" fillId="0" borderId="4" xfId="0" applyFont="1" applyFill="1" applyBorder="1"/>
    <xf numFmtId="176" fontId="6" fillId="0" borderId="6" xfId="0" applyNumberFormat="1" applyFont="1" applyFill="1" applyBorder="1" applyAlignment="1" applyProtection="1">
      <alignment horizontal="center"/>
      <protection locked="0"/>
    </xf>
    <xf numFmtId="176" fontId="6" fillId="0" borderId="0" xfId="0" applyNumberFormat="1" applyFont="1" applyBorder="1" applyAlignment="1" applyProtection="1">
      <alignment horizontal="center"/>
      <protection locked="0"/>
    </xf>
    <xf numFmtId="176" fontId="6" fillId="8" borderId="5" xfId="0" applyNumberFormat="1" applyFont="1" applyFill="1" applyBorder="1"/>
    <xf numFmtId="176" fontId="6" fillId="8" borderId="10" xfId="0" applyNumberFormat="1" applyFont="1" applyFill="1" applyBorder="1"/>
    <xf numFmtId="0" fontId="0" fillId="7" borderId="3" xfId="0" applyFill="1" applyBorder="1" applyAlignment="1">
      <alignment horizontal="center"/>
    </xf>
    <xf numFmtId="0" fontId="0" fillId="7" borderId="5" xfId="0" applyFill="1" applyBorder="1" applyAlignment="1">
      <alignment horizontal="center"/>
    </xf>
    <xf numFmtId="0" fontId="0" fillId="7" borderId="10" xfId="0" applyFill="1" applyBorder="1" applyAlignment="1">
      <alignment horizontal="center"/>
    </xf>
    <xf numFmtId="0" fontId="0" fillId="7" borderId="1" xfId="0" applyFill="1" applyBorder="1" applyAlignment="1">
      <alignment horizontal="center"/>
    </xf>
    <xf numFmtId="0" fontId="0" fillId="7" borderId="4" xfId="0" applyFill="1" applyBorder="1" applyAlignment="1">
      <alignment horizontal="center"/>
    </xf>
    <xf numFmtId="0" fontId="0" fillId="7" borderId="8" xfId="0" applyFill="1" applyBorder="1" applyAlignment="1">
      <alignment horizontal="center"/>
    </xf>
    <xf numFmtId="0" fontId="0" fillId="7" borderId="0" xfId="0" applyFill="1" applyBorder="1" applyAlignment="1">
      <alignment horizontal="center"/>
    </xf>
    <xf numFmtId="0" fontId="0" fillId="7" borderId="9" xfId="0" applyFill="1" applyBorder="1" applyAlignment="1">
      <alignment horizontal="center"/>
    </xf>
    <xf numFmtId="9" fontId="34" fillId="0" borderId="7" xfId="2" applyFont="1" applyFill="1" applyBorder="1" applyAlignment="1" applyProtection="1">
      <alignment horizontal="center" vertical="top"/>
      <protection hidden="1"/>
    </xf>
    <xf numFmtId="9" fontId="0" fillId="0" borderId="7" xfId="0" applyNumberFormat="1" applyFill="1" applyBorder="1" applyAlignment="1">
      <alignment horizontal="center"/>
    </xf>
    <xf numFmtId="9" fontId="0" fillId="0" borderId="0" xfId="0" applyNumberFormat="1" applyFill="1" applyBorder="1" applyAlignment="1">
      <alignment horizontal="center"/>
    </xf>
    <xf numFmtId="0" fontId="0" fillId="0" borderId="4" xfId="0" applyBorder="1" applyAlignment="1">
      <alignment vertical="top"/>
    </xf>
    <xf numFmtId="0" fontId="0" fillId="0" borderId="5" xfId="0" applyBorder="1" applyAlignment="1">
      <alignment vertical="top"/>
    </xf>
    <xf numFmtId="0" fontId="1" fillId="0" borderId="0" xfId="0" applyFont="1" applyAlignment="1" applyProtection="1">
      <alignment vertical="top"/>
    </xf>
    <xf numFmtId="0" fontId="0" fillId="7" borderId="27" xfId="0" applyFill="1" applyBorder="1" applyAlignment="1">
      <alignment horizontal="center"/>
    </xf>
    <xf numFmtId="0" fontId="0" fillId="7" borderId="24" xfId="0" applyFill="1" applyBorder="1" applyAlignment="1">
      <alignment horizontal="center"/>
    </xf>
    <xf numFmtId="0" fontId="0" fillId="2" borderId="27" xfId="0" applyFill="1" applyBorder="1"/>
    <xf numFmtId="0" fontId="1" fillId="0" borderId="22" xfId="0" applyFont="1" applyFill="1" applyBorder="1" applyAlignment="1" applyProtection="1">
      <alignment horizontal="center" vertical="center" wrapText="1"/>
      <protection hidden="1"/>
    </xf>
    <xf numFmtId="0" fontId="6" fillId="0" borderId="7" xfId="0" applyFont="1" applyBorder="1"/>
    <xf numFmtId="0" fontId="6" fillId="0" borderId="7" xfId="0" applyFont="1" applyFill="1" applyBorder="1"/>
    <xf numFmtId="165" fontId="1" fillId="0" borderId="7" xfId="0" applyNumberFormat="1" applyFont="1" applyBorder="1"/>
    <xf numFmtId="165" fontId="0" fillId="0" borderId="7" xfId="0" applyNumberFormat="1" applyBorder="1"/>
    <xf numFmtId="165" fontId="0" fillId="0" borderId="7" xfId="0" applyNumberFormat="1" applyFill="1" applyBorder="1"/>
    <xf numFmtId="176" fontId="1" fillId="0" borderId="7" xfId="0" applyNumberFormat="1" applyFont="1" applyBorder="1"/>
    <xf numFmtId="0" fontId="0" fillId="11" borderId="0" xfId="0" applyFill="1" applyAlignment="1" applyProtection="1">
      <alignment wrapText="1"/>
      <protection hidden="1"/>
    </xf>
    <xf numFmtId="174" fontId="0" fillId="11" borderId="0" xfId="0" applyNumberFormat="1" applyFill="1" applyAlignment="1" applyProtection="1">
      <alignment horizontal="center" vertical="center"/>
      <protection hidden="1"/>
    </xf>
    <xf numFmtId="0" fontId="1" fillId="11" borderId="0" xfId="0" applyFont="1" applyFill="1"/>
    <xf numFmtId="167" fontId="1" fillId="11" borderId="0" xfId="0" applyNumberFormat="1" applyFont="1" applyFill="1"/>
    <xf numFmtId="14" fontId="1" fillId="0" borderId="6" xfId="0" applyNumberFormat="1" applyFont="1" applyFill="1" applyBorder="1" applyAlignment="1" applyProtection="1">
      <alignment horizontal="center"/>
      <protection locked="0"/>
    </xf>
    <xf numFmtId="10" fontId="37" fillId="0" borderId="60" xfId="2" applyNumberFormat="1" applyFont="1" applyFill="1" applyBorder="1" applyAlignment="1" applyProtection="1">
      <alignment horizontal="center"/>
      <protection locked="0"/>
    </xf>
    <xf numFmtId="0" fontId="1" fillId="0" borderId="0" xfId="0" applyFont="1" applyBorder="1" applyAlignment="1">
      <alignment horizontal="center" vertical="center"/>
    </xf>
    <xf numFmtId="0" fontId="1" fillId="0" borderId="22" xfId="0" applyFont="1" applyBorder="1" applyAlignment="1">
      <alignment horizontal="center" vertical="center" wrapText="1"/>
    </xf>
    <xf numFmtId="0" fontId="1" fillId="0" borderId="7" xfId="0" applyFont="1" applyBorder="1" applyAlignment="1">
      <alignment horizontal="center" vertical="center" wrapText="1"/>
    </xf>
    <xf numFmtId="0" fontId="0" fillId="0" borderId="0" xfId="0" applyBorder="1" applyAlignment="1">
      <alignment horizontal="center"/>
    </xf>
    <xf numFmtId="0" fontId="1" fillId="0" borderId="61" xfId="0" applyFont="1" applyBorder="1" applyProtection="1">
      <protection locked="0"/>
    </xf>
    <xf numFmtId="0" fontId="0" fillId="0" borderId="61" xfId="0" applyBorder="1" applyProtection="1">
      <protection locked="0"/>
    </xf>
    <xf numFmtId="176" fontId="0" fillId="0" borderId="61" xfId="0" applyNumberFormat="1" applyBorder="1" applyProtection="1">
      <protection locked="0"/>
    </xf>
    <xf numFmtId="183" fontId="0" fillId="0" borderId="61" xfId="0" applyNumberFormat="1" applyBorder="1" applyProtection="1">
      <protection locked="0"/>
    </xf>
    <xf numFmtId="183" fontId="0" fillId="0" borderId="7" xfId="0" applyNumberFormat="1" applyBorder="1" applyProtection="1">
      <protection hidden="1"/>
    </xf>
    <xf numFmtId="0" fontId="1" fillId="0" borderId="62" xfId="0" applyFont="1" applyBorder="1" applyAlignment="1">
      <alignment horizontal="center" vertical="center" wrapText="1"/>
    </xf>
    <xf numFmtId="0" fontId="1" fillId="0" borderId="63" xfId="0" applyFont="1" applyBorder="1" applyAlignment="1">
      <alignment horizontal="center" vertical="center"/>
    </xf>
    <xf numFmtId="0" fontId="1" fillId="0" borderId="62" xfId="0" applyFont="1" applyBorder="1" applyAlignment="1">
      <alignment horizontal="center" vertical="center"/>
    </xf>
    <xf numFmtId="0" fontId="1" fillId="0" borderId="62" xfId="0" applyFont="1" applyFill="1" applyBorder="1" applyAlignment="1">
      <alignment horizontal="center" vertical="center"/>
    </xf>
    <xf numFmtId="183" fontId="0" fillId="0" borderId="25" xfId="0" applyNumberFormat="1" applyBorder="1" applyProtection="1">
      <protection hidden="1"/>
    </xf>
    <xf numFmtId="9" fontId="1" fillId="0" borderId="61" xfId="0" applyNumberFormat="1" applyFont="1" applyBorder="1" applyAlignment="1" applyProtection="1">
      <alignment horizontal="center"/>
      <protection locked="0"/>
    </xf>
    <xf numFmtId="183" fontId="0" fillId="0" borderId="63" xfId="0" applyNumberFormat="1" applyBorder="1" applyProtection="1">
      <protection hidden="1"/>
    </xf>
    <xf numFmtId="10" fontId="0" fillId="0" borderId="61" xfId="2" applyNumberFormat="1" applyFont="1" applyBorder="1" applyProtection="1">
      <protection locked="0"/>
    </xf>
    <xf numFmtId="10" fontId="0" fillId="0" borderId="0" xfId="0" applyNumberFormat="1"/>
    <xf numFmtId="9" fontId="0" fillId="0" borderId="61" xfId="0" applyNumberFormat="1" applyBorder="1" applyAlignment="1" applyProtection="1">
      <alignment horizontal="center"/>
      <protection locked="0"/>
    </xf>
    <xf numFmtId="10" fontId="1" fillId="0" borderId="61" xfId="2" applyNumberFormat="1" applyFont="1" applyBorder="1" applyProtection="1">
      <protection locked="0"/>
    </xf>
    <xf numFmtId="0" fontId="1" fillId="0" borderId="0" xfId="0" applyFont="1" applyBorder="1"/>
    <xf numFmtId="0" fontId="1" fillId="0" borderId="7" xfId="0" applyFont="1" applyBorder="1" applyAlignment="1">
      <alignment horizontal="center" vertical="center"/>
    </xf>
    <xf numFmtId="0" fontId="1" fillId="0" borderId="0" xfId="0" applyFont="1" applyBorder="1" applyAlignment="1">
      <alignment horizontal="right"/>
    </xf>
    <xf numFmtId="183" fontId="6" fillId="0" borderId="0" xfId="0" applyNumberFormat="1" applyFont="1" applyBorder="1" applyProtection="1">
      <protection hidden="1"/>
    </xf>
    <xf numFmtId="0" fontId="3" fillId="0" borderId="4" xfId="0" applyFont="1" applyBorder="1"/>
    <xf numFmtId="0" fontId="3" fillId="0" borderId="0" xfId="0" applyFont="1" applyBorder="1"/>
    <xf numFmtId="0" fontId="3" fillId="0" borderId="0" xfId="0" applyFont="1" applyBorder="1" applyAlignment="1">
      <alignment horizontal="right"/>
    </xf>
    <xf numFmtId="0" fontId="1" fillId="0" borderId="4" xfId="0" applyFont="1" applyBorder="1" applyAlignment="1">
      <alignment horizontal="center" vertical="center"/>
    </xf>
    <xf numFmtId="183" fontId="0" fillId="0" borderId="4" xfId="0" applyNumberFormat="1" applyBorder="1" applyProtection="1">
      <protection hidden="1"/>
    </xf>
    <xf numFmtId="183" fontId="0" fillId="0" borderId="0" xfId="0" applyNumberFormat="1" applyBorder="1" applyProtection="1">
      <protection hidden="1"/>
    </xf>
    <xf numFmtId="0" fontId="1" fillId="0" borderId="64" xfId="0" applyFont="1" applyFill="1" applyBorder="1" applyAlignment="1">
      <alignment horizontal="center" vertical="center"/>
    </xf>
    <xf numFmtId="0" fontId="1" fillId="0" borderId="0" xfId="0" applyFont="1" applyFill="1" applyBorder="1" applyAlignment="1">
      <alignment horizontal="center" vertical="center"/>
    </xf>
    <xf numFmtId="10" fontId="0" fillId="0" borderId="65" xfId="2" applyNumberFormat="1" applyFont="1" applyBorder="1" applyProtection="1">
      <protection locked="0"/>
    </xf>
    <xf numFmtId="10" fontId="0" fillId="0" borderId="0" xfId="2" applyNumberFormat="1" applyFont="1" applyBorder="1" applyProtection="1">
      <protection locked="0"/>
    </xf>
    <xf numFmtId="0" fontId="1" fillId="0" borderId="4" xfId="0" applyFont="1" applyBorder="1" applyAlignment="1">
      <alignment horizontal="center"/>
    </xf>
    <xf numFmtId="0" fontId="1" fillId="0" borderId="0" xfId="0" applyFont="1" applyBorder="1" applyAlignment="1">
      <alignment horizontal="center"/>
    </xf>
    <xf numFmtId="0" fontId="2" fillId="14" borderId="73" xfId="0" applyFont="1" applyFill="1" applyBorder="1" applyAlignment="1">
      <alignment vertical="center"/>
    </xf>
    <xf numFmtId="0" fontId="2" fillId="14" borderId="74" xfId="0" applyFont="1" applyFill="1" applyBorder="1" applyAlignment="1">
      <alignment vertical="center"/>
    </xf>
    <xf numFmtId="0" fontId="0" fillId="14" borderId="75" xfId="0" applyFill="1" applyBorder="1"/>
    <xf numFmtId="0" fontId="0" fillId="14" borderId="76" xfId="0" applyFill="1" applyBorder="1"/>
    <xf numFmtId="0" fontId="2" fillId="14" borderId="69" xfId="0" applyFont="1" applyFill="1" applyBorder="1" applyAlignment="1">
      <alignment vertical="center"/>
    </xf>
    <xf numFmtId="0" fontId="2" fillId="14" borderId="70" xfId="0" applyFont="1" applyFill="1" applyBorder="1" applyAlignment="1">
      <alignment vertical="center"/>
    </xf>
    <xf numFmtId="0" fontId="0" fillId="14" borderId="71" xfId="0" applyFill="1" applyBorder="1"/>
    <xf numFmtId="0" fontId="0" fillId="14" borderId="72" xfId="0" applyFill="1" applyBorder="1"/>
    <xf numFmtId="0" fontId="1" fillId="0" borderId="0" xfId="0" applyFont="1" applyProtection="1">
      <protection hidden="1"/>
    </xf>
    <xf numFmtId="0" fontId="6" fillId="13" borderId="7" xfId="0" applyFont="1" applyFill="1" applyBorder="1"/>
    <xf numFmtId="0" fontId="0" fillId="13" borderId="77" xfId="0" applyFill="1" applyBorder="1" applyProtection="1">
      <protection hidden="1"/>
    </xf>
    <xf numFmtId="0" fontId="0" fillId="13" borderId="27" xfId="0" applyFill="1" applyBorder="1" applyProtection="1">
      <protection hidden="1"/>
    </xf>
    <xf numFmtId="0" fontId="0" fillId="13" borderId="27" xfId="0" applyFill="1" applyBorder="1"/>
    <xf numFmtId="0" fontId="0" fillId="13" borderId="24" xfId="0" applyFill="1" applyBorder="1" applyProtection="1">
      <protection hidden="1"/>
    </xf>
    <xf numFmtId="0" fontId="0" fillId="13" borderId="24" xfId="0" applyFill="1" applyBorder="1"/>
    <xf numFmtId="0" fontId="1" fillId="0" borderId="7" xfId="0" applyFont="1" applyBorder="1" applyAlignment="1" applyProtection="1">
      <alignment horizontal="center"/>
      <protection hidden="1"/>
    </xf>
    <xf numFmtId="0" fontId="0" fillId="0" borderId="78" xfId="0" applyBorder="1"/>
    <xf numFmtId="0" fontId="0" fillId="0" borderId="79" xfId="0" applyBorder="1"/>
    <xf numFmtId="0" fontId="0" fillId="0" borderId="80" xfId="0" applyBorder="1"/>
    <xf numFmtId="0" fontId="1" fillId="0" borderId="77" xfId="0" applyFont="1" applyBorder="1" applyAlignment="1">
      <alignment horizontal="center" vertical="center" wrapText="1"/>
    </xf>
    <xf numFmtId="0" fontId="1" fillId="0" borderId="81" xfId="0" applyFont="1" applyBorder="1" applyAlignment="1">
      <alignment horizontal="center" vertical="center" wrapText="1"/>
    </xf>
    <xf numFmtId="0" fontId="1" fillId="0" borderId="82" xfId="0" applyFont="1" applyBorder="1" applyAlignment="1">
      <alignment horizontal="center" vertical="center"/>
    </xf>
    <xf numFmtId="183" fontId="0" fillId="0" borderId="82" xfId="0" applyNumberFormat="1" applyBorder="1" applyProtection="1">
      <protection hidden="1"/>
    </xf>
    <xf numFmtId="10" fontId="0" fillId="0" borderId="65" xfId="2" applyNumberFormat="1" applyFont="1" applyBorder="1" applyProtection="1"/>
    <xf numFmtId="10" fontId="0" fillId="0" borderId="0" xfId="2" applyNumberFormat="1" applyFont="1" applyBorder="1" applyProtection="1"/>
    <xf numFmtId="10" fontId="1" fillId="0" borderId="0" xfId="2" applyNumberFormat="1" applyFont="1" applyBorder="1" applyProtection="1"/>
    <xf numFmtId="0" fontId="1" fillId="0" borderId="64" xfId="0" applyFont="1" applyBorder="1" applyAlignment="1">
      <alignment horizontal="center" vertical="center"/>
    </xf>
    <xf numFmtId="173" fontId="0" fillId="0" borderId="83" xfId="0" applyNumberFormat="1" applyFill="1" applyBorder="1" applyProtection="1">
      <protection hidden="1"/>
    </xf>
    <xf numFmtId="173" fontId="0" fillId="0" borderId="84" xfId="0" applyNumberFormat="1" applyFill="1" applyBorder="1" applyProtection="1">
      <protection hidden="1"/>
    </xf>
    <xf numFmtId="173" fontId="1" fillId="0" borderId="83" xfId="1" applyNumberFormat="1" applyFont="1" applyFill="1" applyBorder="1" applyAlignment="1" applyProtection="1">
      <alignment horizontal="left"/>
      <protection hidden="1"/>
    </xf>
    <xf numFmtId="173" fontId="1" fillId="0" borderId="84" xfId="1" applyNumberFormat="1" applyFont="1" applyFill="1" applyBorder="1" applyAlignment="1" applyProtection="1">
      <alignment horizontal="left"/>
      <protection hidden="1"/>
    </xf>
    <xf numFmtId="173" fontId="1" fillId="0" borderId="85" xfId="1" applyNumberFormat="1" applyFont="1" applyFill="1" applyBorder="1" applyAlignment="1" applyProtection="1">
      <alignment horizontal="left"/>
      <protection hidden="1"/>
    </xf>
    <xf numFmtId="10" fontId="1" fillId="0" borderId="0" xfId="2" applyNumberFormat="1" applyFont="1" applyFill="1" applyBorder="1" applyAlignment="1" applyProtection="1"/>
    <xf numFmtId="0" fontId="15" fillId="0" borderId="0" xfId="0" applyFont="1" applyFill="1" applyBorder="1" applyAlignment="1" applyProtection="1">
      <alignment vertical="top" wrapText="1"/>
    </xf>
    <xf numFmtId="0" fontId="39" fillId="0" borderId="0" xfId="0" applyFont="1" applyBorder="1" applyAlignment="1">
      <alignment vertical="top" wrapText="1"/>
    </xf>
    <xf numFmtId="0" fontId="39" fillId="0" borderId="0" xfId="0" applyFont="1" applyBorder="1" applyAlignment="1">
      <alignment vertical="top"/>
    </xf>
    <xf numFmtId="173" fontId="1" fillId="0" borderId="88" xfId="1" applyNumberFormat="1" applyFont="1" applyFill="1" applyBorder="1" applyAlignment="1" applyProtection="1">
      <alignment horizontal="left"/>
      <protection hidden="1"/>
    </xf>
    <xf numFmtId="173" fontId="1" fillId="0" borderId="87" xfId="1" applyNumberFormat="1" applyFont="1" applyFill="1" applyBorder="1" applyAlignment="1" applyProtection="1">
      <alignment horizontal="left"/>
      <protection hidden="1"/>
    </xf>
    <xf numFmtId="0" fontId="8" fillId="0" borderId="52" xfId="0" applyFont="1" applyFill="1" applyBorder="1" applyProtection="1">
      <protection locked="0"/>
    </xf>
    <xf numFmtId="0" fontId="1" fillId="0" borderId="53" xfId="0" applyFont="1" applyFill="1" applyBorder="1" applyAlignment="1">
      <alignment horizontal="center" vertical="center" wrapText="1"/>
    </xf>
    <xf numFmtId="0" fontId="1" fillId="0" borderId="53" xfId="0" applyFont="1" applyFill="1" applyBorder="1" applyAlignment="1" applyProtection="1">
      <alignment horizontal="center" vertical="center" wrapText="1"/>
    </xf>
    <xf numFmtId="0" fontId="1" fillId="0" borderId="52" xfId="0" applyFont="1" applyFill="1" applyBorder="1" applyProtection="1">
      <protection locked="0"/>
    </xf>
    <xf numFmtId="10" fontId="0" fillId="0" borderId="37" xfId="2" applyNumberFormat="1" applyFont="1" applyBorder="1" applyProtection="1">
      <protection hidden="1"/>
    </xf>
    <xf numFmtId="10" fontId="0" fillId="0" borderId="89" xfId="2" applyNumberFormat="1" applyFont="1" applyBorder="1" applyProtection="1">
      <protection hidden="1"/>
    </xf>
    <xf numFmtId="183" fontId="0" fillId="0" borderId="90" xfId="0" applyNumberFormat="1" applyBorder="1" applyProtection="1">
      <protection hidden="1"/>
    </xf>
    <xf numFmtId="183" fontId="0" fillId="0" borderId="91" xfId="0" applyNumberFormat="1" applyBorder="1" applyProtection="1">
      <protection hidden="1"/>
    </xf>
    <xf numFmtId="9" fontId="0" fillId="0" borderId="61" xfId="2" applyFont="1" applyBorder="1" applyAlignment="1" applyProtection="1">
      <alignment horizontal="center"/>
      <protection locked="0"/>
    </xf>
    <xf numFmtId="10" fontId="0" fillId="0" borderId="92" xfId="2" applyNumberFormat="1" applyFont="1" applyBorder="1" applyProtection="1">
      <protection hidden="1"/>
    </xf>
    <xf numFmtId="183" fontId="0" fillId="0" borderId="93" xfId="0" applyNumberFormat="1" applyBorder="1" applyProtection="1">
      <protection hidden="1"/>
    </xf>
    <xf numFmtId="10" fontId="0" fillId="0" borderId="94" xfId="2" applyNumberFormat="1" applyFont="1" applyBorder="1" applyProtection="1">
      <protection hidden="1"/>
    </xf>
    <xf numFmtId="183" fontId="0" fillId="0" borderId="87" xfId="0" applyNumberFormat="1" applyBorder="1" applyProtection="1">
      <protection hidden="1"/>
    </xf>
    <xf numFmtId="0" fontId="0" fillId="0" borderId="21" xfId="0" applyFont="1" applyFill="1" applyBorder="1" applyAlignment="1">
      <alignment horizontal="center" vertical="center" wrapText="1"/>
    </xf>
    <xf numFmtId="0" fontId="1" fillId="0" borderId="21" xfId="0" applyFont="1" applyFill="1" applyBorder="1" applyAlignment="1" applyProtection="1">
      <alignment horizontal="center" vertical="center" wrapText="1"/>
    </xf>
    <xf numFmtId="0" fontId="1" fillId="0" borderId="95" xfId="0" applyFont="1" applyBorder="1" applyAlignment="1" applyProtection="1">
      <alignment horizontal="center"/>
      <protection locked="0"/>
    </xf>
    <xf numFmtId="183" fontId="1" fillId="0" borderId="26" xfId="1" applyNumberFormat="1" applyFont="1" applyFill="1" applyBorder="1" applyAlignment="1" applyProtection="1">
      <protection hidden="1"/>
    </xf>
    <xf numFmtId="10" fontId="1" fillId="0" borderId="61" xfId="0" applyNumberFormat="1" applyFont="1" applyFill="1" applyBorder="1" applyAlignment="1" applyProtection="1">
      <protection locked="0"/>
    </xf>
    <xf numFmtId="0" fontId="0" fillId="0" borderId="95" xfId="0" applyBorder="1" applyAlignment="1" applyProtection="1">
      <alignment horizontal="center"/>
      <protection locked="0"/>
    </xf>
    <xf numFmtId="10" fontId="8" fillId="0" borderId="61" xfId="0" applyNumberFormat="1" applyFont="1" applyFill="1" applyBorder="1" applyAlignment="1" applyProtection="1">
      <protection locked="0"/>
    </xf>
    <xf numFmtId="0" fontId="0" fillId="0" borderId="97" xfId="0" applyFill="1" applyBorder="1" applyAlignment="1">
      <alignment vertical="center"/>
    </xf>
    <xf numFmtId="0" fontId="0" fillId="0" borderId="98" xfId="0" applyFill="1" applyBorder="1" applyAlignment="1">
      <alignment vertical="center"/>
    </xf>
    <xf numFmtId="0" fontId="1" fillId="0" borderId="99" xfId="0" applyFont="1" applyFill="1" applyBorder="1" applyAlignment="1">
      <alignment horizontal="center" vertical="center" wrapText="1"/>
    </xf>
    <xf numFmtId="0" fontId="1" fillId="0" borderId="96" xfId="0" applyFont="1" applyFill="1" applyBorder="1" applyAlignment="1">
      <alignment vertical="center"/>
    </xf>
    <xf numFmtId="0" fontId="0" fillId="0" borderId="0" xfId="0" applyFill="1" applyBorder="1" applyAlignment="1">
      <alignment wrapText="1"/>
    </xf>
    <xf numFmtId="0" fontId="2" fillId="0" borderId="0" xfId="0" applyFont="1" applyFill="1" applyBorder="1" applyAlignment="1" applyProtection="1">
      <alignment vertical="center"/>
    </xf>
    <xf numFmtId="183" fontId="0" fillId="0" borderId="61" xfId="0" applyNumberFormat="1" applyFill="1" applyBorder="1" applyProtection="1">
      <protection locked="0"/>
    </xf>
    <xf numFmtId="0" fontId="38" fillId="0" borderId="0" xfId="0" applyFont="1" applyFill="1" applyBorder="1" applyProtection="1">
      <protection hidden="1"/>
    </xf>
    <xf numFmtId="14" fontId="0" fillId="0" borderId="61" xfId="0" applyNumberFormat="1" applyFill="1" applyBorder="1" applyProtection="1">
      <protection locked="0"/>
    </xf>
    <xf numFmtId="183" fontId="6" fillId="0" borderId="99" xfId="0" applyNumberFormat="1" applyFont="1" applyFill="1" applyBorder="1" applyProtection="1">
      <protection hidden="1"/>
    </xf>
    <xf numFmtId="0" fontId="0" fillId="0" borderId="8" xfId="0" applyFill="1" applyBorder="1"/>
    <xf numFmtId="0" fontId="44" fillId="14" borderId="71" xfId="0" applyFont="1" applyFill="1" applyBorder="1" applyAlignment="1" applyProtection="1">
      <alignment horizontal="center" vertical="center" wrapText="1"/>
    </xf>
    <xf numFmtId="0" fontId="44" fillId="14" borderId="72" xfId="0" applyFont="1" applyFill="1" applyBorder="1" applyAlignment="1" applyProtection="1">
      <alignment horizontal="center" vertical="center" wrapText="1"/>
    </xf>
    <xf numFmtId="0" fontId="2" fillId="14" borderId="69" xfId="0" applyFont="1" applyFill="1" applyBorder="1" applyAlignment="1" applyProtection="1">
      <alignment vertical="center"/>
    </xf>
    <xf numFmtId="169" fontId="3" fillId="0" borderId="0" xfId="1" applyNumberFormat="1" applyFont="1" applyFill="1" applyBorder="1" applyAlignment="1">
      <alignment horizontal="right" wrapText="1"/>
    </xf>
    <xf numFmtId="165" fontId="1" fillId="0" borderId="99" xfId="0" applyNumberFormat="1" applyFont="1" applyBorder="1"/>
    <xf numFmtId="165" fontId="0" fillId="0" borderId="99" xfId="0" applyNumberFormat="1" applyBorder="1"/>
    <xf numFmtId="165" fontId="0" fillId="0" borderId="102" xfId="0" applyNumberFormat="1" applyBorder="1"/>
    <xf numFmtId="165" fontId="0" fillId="0" borderId="22" xfId="0" applyNumberFormat="1" applyBorder="1"/>
    <xf numFmtId="165" fontId="0" fillId="0" borderId="103" xfId="0" applyNumberFormat="1" applyBorder="1"/>
    <xf numFmtId="165" fontId="0" fillId="0" borderId="31" xfId="0" applyNumberFormat="1" applyBorder="1"/>
    <xf numFmtId="165" fontId="0" fillId="0" borderId="41" xfId="0" applyNumberFormat="1" applyBorder="1"/>
    <xf numFmtId="165" fontId="0" fillId="0" borderId="100" xfId="0" applyNumberFormat="1" applyBorder="1"/>
    <xf numFmtId="165" fontId="0" fillId="0" borderId="101" xfId="0" applyNumberFormat="1" applyBorder="1"/>
    <xf numFmtId="165" fontId="0" fillId="0" borderId="30" xfId="0" applyNumberFormat="1" applyBorder="1"/>
    <xf numFmtId="0" fontId="0" fillId="0" borderId="0" xfId="0" applyFill="1" applyBorder="1" applyAlignment="1">
      <alignment vertical="center"/>
    </xf>
    <xf numFmtId="173" fontId="0" fillId="0" borderId="61" xfId="1" applyNumberFormat="1" applyFont="1" applyBorder="1" applyAlignment="1" applyProtection="1">
      <alignment horizontal="left"/>
      <protection locked="0"/>
    </xf>
    <xf numFmtId="0" fontId="0" fillId="0" borderId="61" xfId="0" applyBorder="1" applyAlignment="1" applyProtection="1">
      <alignment horizontal="left"/>
      <protection locked="0"/>
    </xf>
    <xf numFmtId="10" fontId="0" fillId="0" borderId="61" xfId="2" applyNumberFormat="1" applyFont="1" applyBorder="1" applyAlignment="1" applyProtection="1">
      <alignment horizontal="left"/>
      <protection locked="0"/>
    </xf>
    <xf numFmtId="0" fontId="0" fillId="0" borderId="0" xfId="0" applyBorder="1" applyAlignment="1" applyProtection="1">
      <alignment horizontal="center"/>
      <protection locked="0"/>
    </xf>
    <xf numFmtId="176" fontId="0" fillId="0" borderId="0" xfId="1" applyNumberFormat="1" applyFont="1" applyBorder="1" applyAlignment="1" applyProtection="1">
      <alignment horizontal="center"/>
      <protection locked="0"/>
    </xf>
    <xf numFmtId="179" fontId="6" fillId="0" borderId="0" xfId="1" applyNumberFormat="1" applyFont="1" applyBorder="1" applyProtection="1">
      <protection hidden="1"/>
    </xf>
    <xf numFmtId="0" fontId="1" fillId="0" borderId="0" xfId="0" applyFont="1" applyFill="1" applyBorder="1" applyAlignment="1">
      <alignment horizontal="left" vertical="center"/>
    </xf>
    <xf numFmtId="183" fontId="0" fillId="0" borderId="99" xfId="1" applyNumberFormat="1" applyFont="1" applyFill="1" applyBorder="1" applyAlignment="1" applyProtection="1">
      <protection hidden="1"/>
    </xf>
    <xf numFmtId="169" fontId="0" fillId="0" borderId="0" xfId="1" applyNumberFormat="1" applyFont="1" applyFill="1" applyBorder="1" applyAlignment="1" applyProtection="1">
      <alignment horizontal="center"/>
      <protection hidden="1"/>
    </xf>
    <xf numFmtId="0" fontId="1" fillId="0" borderId="0" xfId="0" applyFont="1" applyBorder="1" applyAlignment="1" applyProtection="1">
      <alignment vertical="top" wrapText="1"/>
      <protection locked="0"/>
    </xf>
    <xf numFmtId="0" fontId="0" fillId="0" borderId="0" xfId="0" applyBorder="1" applyAlignment="1" applyProtection="1">
      <alignment vertical="top" wrapText="1"/>
      <protection locked="0"/>
    </xf>
    <xf numFmtId="0" fontId="3" fillId="0" borderId="0" xfId="0" applyFont="1" applyFill="1" applyBorder="1" applyAlignment="1">
      <alignment horizontal="right"/>
    </xf>
    <xf numFmtId="0" fontId="1" fillId="0" borderId="61" xfId="0" applyFont="1" applyBorder="1" applyAlignment="1" applyProtection="1">
      <alignment horizontal="left"/>
      <protection locked="0"/>
    </xf>
    <xf numFmtId="14" fontId="0" fillId="0" borderId="61" xfId="0" applyNumberFormat="1" applyBorder="1" applyAlignment="1" applyProtection="1">
      <alignment horizontal="left"/>
      <protection locked="0"/>
    </xf>
    <xf numFmtId="183" fontId="0" fillId="0" borderId="61" xfId="0" applyNumberFormat="1" applyBorder="1" applyAlignment="1" applyProtection="1">
      <alignment horizontal="right"/>
      <protection locked="0"/>
    </xf>
    <xf numFmtId="0" fontId="1" fillId="0" borderId="99" xfId="0" applyFont="1" applyBorder="1"/>
    <xf numFmtId="183" fontId="0" fillId="0" borderId="99" xfId="0" applyNumberFormat="1" applyBorder="1"/>
    <xf numFmtId="184" fontId="0" fillId="0" borderId="99" xfId="2" applyNumberFormat="1" applyFont="1" applyBorder="1"/>
    <xf numFmtId="176" fontId="0" fillId="0" borderId="99" xfId="2" applyNumberFormat="1" applyFont="1" applyBorder="1"/>
    <xf numFmtId="183" fontId="1" fillId="0" borderId="99" xfId="0" applyNumberFormat="1" applyFont="1" applyFill="1" applyBorder="1" applyAlignment="1" applyProtection="1">
      <protection hidden="1"/>
    </xf>
    <xf numFmtId="14" fontId="0" fillId="0" borderId="61" xfId="2" applyNumberFormat="1" applyFont="1" applyBorder="1" applyAlignment="1" applyProtection="1">
      <alignment horizontal="left"/>
      <protection locked="0"/>
    </xf>
    <xf numFmtId="0" fontId="38" fillId="0" borderId="0" xfId="0" applyFont="1" applyBorder="1" applyProtection="1">
      <protection hidden="1"/>
    </xf>
    <xf numFmtId="176" fontId="0" fillId="0" borderId="27" xfId="0" applyNumberFormat="1" applyFill="1" applyBorder="1" applyAlignment="1" applyProtection="1">
      <alignment horizontal="right"/>
      <protection hidden="1"/>
    </xf>
    <xf numFmtId="176" fontId="6" fillId="8" borderId="5" xfId="1" applyNumberFormat="1" applyFont="1" applyFill="1" applyBorder="1" applyAlignment="1" applyProtection="1">
      <alignment horizontal="right"/>
      <protection hidden="1"/>
    </xf>
    <xf numFmtId="173" fontId="1" fillId="0" borderId="95" xfId="0" applyNumberFormat="1" applyFont="1" applyFill="1" applyBorder="1" applyAlignment="1" applyProtection="1">
      <alignment horizontal="center"/>
      <protection locked="0"/>
    </xf>
    <xf numFmtId="173" fontId="0" fillId="0" borderId="107" xfId="1" applyNumberFormat="1" applyFont="1" applyFill="1" applyBorder="1" applyAlignment="1" applyProtection="1">
      <alignment horizontal="center"/>
      <protection locked="0"/>
    </xf>
    <xf numFmtId="173" fontId="0" fillId="0" borderId="95" xfId="0" applyNumberFormat="1" applyFill="1" applyBorder="1" applyAlignment="1" applyProtection="1">
      <alignment horizontal="center"/>
      <protection locked="0"/>
    </xf>
    <xf numFmtId="173" fontId="0" fillId="0" borderId="108" xfId="0" applyNumberFormat="1" applyFill="1" applyBorder="1" applyAlignment="1" applyProtection="1">
      <alignment horizontal="center"/>
      <protection locked="0"/>
    </xf>
    <xf numFmtId="167" fontId="6" fillId="0" borderId="0" xfId="0" applyNumberFormat="1" applyFont="1" applyFill="1" applyBorder="1"/>
    <xf numFmtId="174" fontId="6" fillId="0" borderId="0" xfId="0" applyNumberFormat="1" applyFont="1" applyFill="1" applyBorder="1"/>
    <xf numFmtId="176" fontId="0" fillId="0" borderId="27" xfId="0" applyNumberFormat="1" applyFill="1" applyBorder="1"/>
    <xf numFmtId="176" fontId="0" fillId="0" borderId="24" xfId="0" applyNumberFormat="1" applyFill="1" applyBorder="1"/>
    <xf numFmtId="176" fontId="1" fillId="0" borderId="24" xfId="0" applyNumberFormat="1" applyFont="1" applyFill="1" applyBorder="1"/>
    <xf numFmtId="0" fontId="1" fillId="0" borderId="109" xfId="0" applyFont="1" applyFill="1" applyBorder="1" applyAlignment="1" applyProtection="1">
      <alignment horizontal="center"/>
      <protection hidden="1"/>
    </xf>
    <xf numFmtId="0" fontId="1" fillId="0" borderId="110" xfId="0" applyFont="1" applyFill="1" applyBorder="1" applyAlignment="1" applyProtection="1">
      <alignment horizontal="center"/>
      <protection hidden="1"/>
    </xf>
    <xf numFmtId="0" fontId="1" fillId="0" borderId="95" xfId="0" applyFont="1" applyFill="1" applyBorder="1" applyAlignment="1" applyProtection="1">
      <alignment horizontal="center"/>
      <protection locked="0"/>
    </xf>
    <xf numFmtId="0" fontId="38" fillId="0" borderId="0" xfId="0" applyFont="1" applyFill="1" applyBorder="1" applyAlignment="1" applyProtection="1">
      <alignment vertical="top"/>
      <protection hidden="1"/>
    </xf>
    <xf numFmtId="0" fontId="43" fillId="0" borderId="0" xfId="0" applyFont="1" applyBorder="1"/>
    <xf numFmtId="0" fontId="10" fillId="3" borderId="11" xfId="0" applyFont="1" applyFill="1" applyBorder="1" applyAlignment="1" applyProtection="1">
      <alignment vertical="center"/>
      <protection hidden="1"/>
    </xf>
    <xf numFmtId="0" fontId="10" fillId="3" borderId="28" xfId="0" applyFont="1" applyFill="1" applyBorder="1" applyAlignment="1" applyProtection="1">
      <alignment vertical="center"/>
      <protection hidden="1"/>
    </xf>
    <xf numFmtId="0" fontId="0" fillId="0" borderId="99" xfId="0" applyBorder="1"/>
    <xf numFmtId="9" fontId="0" fillId="0" borderId="99" xfId="0" applyNumberFormat="1" applyBorder="1"/>
    <xf numFmtId="0" fontId="0" fillId="0" borderId="99" xfId="0" applyFill="1" applyBorder="1"/>
    <xf numFmtId="0" fontId="43" fillId="0" borderId="0" xfId="0" applyFont="1"/>
    <xf numFmtId="166" fontId="1" fillId="0" borderId="7" xfId="0" applyNumberFormat="1" applyFont="1" applyBorder="1"/>
    <xf numFmtId="0" fontId="14" fillId="0" borderId="0" xfId="0" applyFont="1" applyFill="1" applyBorder="1" applyAlignment="1" applyProtection="1">
      <alignment horizontal="center" vertical="top"/>
      <protection hidden="1"/>
    </xf>
    <xf numFmtId="0" fontId="2" fillId="3" borderId="111" xfId="0" applyFont="1" applyFill="1" applyBorder="1" applyAlignment="1" applyProtection="1">
      <alignment vertical="center"/>
      <protection hidden="1"/>
    </xf>
    <xf numFmtId="0" fontId="0" fillId="0" borderId="81" xfId="0" applyFont="1" applyFill="1" applyBorder="1" applyAlignment="1">
      <alignment horizontal="center" vertical="center" wrapText="1"/>
    </xf>
    <xf numFmtId="0" fontId="1" fillId="0" borderId="79" xfId="0" applyFont="1" applyFill="1" applyBorder="1" applyAlignment="1" applyProtection="1">
      <alignment vertical="center"/>
    </xf>
    <xf numFmtId="0" fontId="2" fillId="3" borderId="111" xfId="0" applyFont="1" applyFill="1" applyBorder="1" applyAlignment="1" applyProtection="1">
      <alignment vertical="center"/>
    </xf>
    <xf numFmtId="0" fontId="1" fillId="0" borderId="81" xfId="0" applyFont="1" applyFill="1" applyBorder="1" applyAlignment="1" applyProtection="1">
      <alignment horizontal="center" vertical="center" wrapText="1"/>
    </xf>
    <xf numFmtId="180" fontId="0" fillId="0" borderId="114" xfId="0" applyNumberFormat="1" applyBorder="1" applyProtection="1">
      <protection locked="0"/>
    </xf>
    <xf numFmtId="180" fontId="0" fillId="0" borderId="95" xfId="0" applyNumberFormat="1" applyBorder="1" applyProtection="1">
      <protection locked="0"/>
    </xf>
    <xf numFmtId="166" fontId="0" fillId="0" borderId="0" xfId="0" applyNumberFormat="1"/>
    <xf numFmtId="0" fontId="1" fillId="0" borderId="99" xfId="0" applyFont="1" applyBorder="1" applyAlignment="1" applyProtection="1"/>
    <xf numFmtId="10" fontId="1" fillId="0" borderId="127" xfId="2" applyNumberFormat="1" applyFont="1" applyFill="1" applyBorder="1" applyAlignment="1" applyProtection="1">
      <alignment horizontal="center"/>
      <protection locked="0"/>
    </xf>
    <xf numFmtId="0" fontId="1" fillId="0" borderId="126" xfId="0" applyFont="1" applyBorder="1" applyAlignment="1" applyProtection="1"/>
    <xf numFmtId="0" fontId="1" fillId="0" borderId="128" xfId="0" applyFont="1" applyBorder="1" applyAlignment="1" applyProtection="1"/>
    <xf numFmtId="180" fontId="1" fillId="0" borderId="114" xfId="0" applyNumberFormat="1" applyFont="1" applyBorder="1" applyProtection="1">
      <protection locked="0"/>
    </xf>
    <xf numFmtId="180" fontId="1" fillId="0" borderId="95" xfId="0" applyNumberFormat="1" applyFont="1" applyBorder="1" applyProtection="1">
      <protection locked="0"/>
    </xf>
    <xf numFmtId="10" fontId="1" fillId="0" borderId="0" xfId="0" applyNumberFormat="1" applyFont="1" applyFill="1" applyBorder="1" applyAlignment="1"/>
    <xf numFmtId="0" fontId="1" fillId="0" borderId="0" xfId="0" applyFont="1" applyFill="1" applyBorder="1" applyAlignment="1">
      <alignment horizontal="left"/>
    </xf>
    <xf numFmtId="10" fontId="1" fillId="0" borderId="0" xfId="0" applyNumberFormat="1" applyFont="1" applyFill="1" applyBorder="1" applyAlignment="1">
      <alignment horizontal="right"/>
    </xf>
    <xf numFmtId="0" fontId="1" fillId="0" borderId="0" xfId="0" applyFont="1" applyBorder="1" applyAlignment="1"/>
    <xf numFmtId="10" fontId="1" fillId="0" borderId="0" xfId="0" applyNumberFormat="1" applyFont="1" applyBorder="1" applyAlignment="1"/>
    <xf numFmtId="0" fontId="1" fillId="0" borderId="99" xfId="0" applyFont="1" applyFill="1" applyBorder="1"/>
    <xf numFmtId="0" fontId="1" fillId="0" borderId="112" xfId="0" applyFont="1" applyFill="1" applyBorder="1" applyAlignment="1" applyProtection="1">
      <alignment horizontal="center"/>
      <protection locked="0"/>
    </xf>
    <xf numFmtId="10" fontId="1" fillId="0" borderId="108" xfId="2" applyNumberFormat="1" applyFont="1" applyFill="1" applyBorder="1" applyAlignment="1" applyProtection="1">
      <alignment horizontal="center"/>
      <protection locked="0"/>
    </xf>
    <xf numFmtId="169" fontId="1" fillId="0" borderId="125" xfId="1" applyNumberFormat="1" applyFont="1" applyFill="1" applyBorder="1" applyProtection="1">
      <protection locked="0"/>
    </xf>
    <xf numFmtId="0" fontId="0" fillId="0" borderId="130" xfId="0" applyFill="1" applyBorder="1" applyAlignment="1">
      <alignment vertical="center"/>
    </xf>
    <xf numFmtId="0" fontId="0" fillId="0" borderId="131" xfId="0" applyFill="1" applyBorder="1" applyAlignment="1">
      <alignment vertical="center"/>
    </xf>
    <xf numFmtId="0" fontId="1" fillId="0" borderId="129" xfId="0" applyFont="1" applyFill="1" applyBorder="1" applyAlignment="1">
      <alignment horizontal="center" vertical="center" wrapText="1"/>
    </xf>
    <xf numFmtId="0" fontId="1" fillId="0" borderId="0" xfId="0" applyFont="1" applyFill="1" applyBorder="1" applyAlignment="1">
      <alignment horizontal="center"/>
    </xf>
    <xf numFmtId="185" fontId="0" fillId="7" borderId="27" xfId="0" applyNumberFormat="1" applyFill="1" applyBorder="1" applyAlignment="1">
      <alignment horizontal="center"/>
    </xf>
    <xf numFmtId="185" fontId="0" fillId="7" borderId="24" xfId="0" applyNumberFormat="1" applyFill="1" applyBorder="1" applyAlignment="1">
      <alignment horizontal="center"/>
    </xf>
    <xf numFmtId="0" fontId="1" fillId="0" borderId="129" xfId="0" applyFont="1" applyBorder="1" applyAlignment="1">
      <alignment horizontal="center"/>
    </xf>
    <xf numFmtId="10" fontId="38" fillId="0" borderId="0" xfId="0" applyNumberFormat="1" applyFont="1" applyProtection="1">
      <protection hidden="1"/>
    </xf>
    <xf numFmtId="10" fontId="38" fillId="0" borderId="0" xfId="2" applyNumberFormat="1" applyFont="1" applyProtection="1">
      <protection hidden="1"/>
    </xf>
    <xf numFmtId="10" fontId="38" fillId="0" borderId="0" xfId="0" applyNumberFormat="1" applyFont="1" applyAlignment="1" applyProtection="1">
      <protection hidden="1"/>
    </xf>
    <xf numFmtId="173" fontId="1" fillId="0" borderId="132" xfId="1" applyNumberFormat="1" applyFont="1" applyFill="1" applyBorder="1" applyAlignment="1" applyProtection="1">
      <alignment horizontal="left"/>
      <protection hidden="1"/>
    </xf>
    <xf numFmtId="173" fontId="1" fillId="0" borderId="110" xfId="1" applyNumberFormat="1" applyFont="1" applyFill="1" applyBorder="1" applyAlignment="1" applyProtection="1">
      <alignment horizontal="left"/>
      <protection hidden="1"/>
    </xf>
    <xf numFmtId="176" fontId="0" fillId="13" borderId="0" xfId="0" applyNumberFormat="1" applyFill="1"/>
    <xf numFmtId="0" fontId="1" fillId="13" borderId="0" xfId="0" applyFont="1" applyFill="1" applyBorder="1"/>
    <xf numFmtId="0" fontId="0" fillId="13" borderId="0" xfId="0" applyFill="1" applyBorder="1"/>
    <xf numFmtId="183" fontId="0" fillId="13" borderId="0" xfId="0" applyNumberFormat="1" applyFill="1" applyBorder="1"/>
    <xf numFmtId="2" fontId="0" fillId="13" borderId="0" xfId="0" applyNumberFormat="1" applyFill="1" applyBorder="1"/>
    <xf numFmtId="0" fontId="6" fillId="0" borderId="0" xfId="0" applyFont="1" applyFill="1" applyBorder="1" applyAlignment="1">
      <alignment horizontal="center"/>
    </xf>
    <xf numFmtId="2" fontId="17" fillId="0" borderId="23" xfId="0" applyNumberFormat="1" applyFont="1" applyFill="1" applyBorder="1" applyAlignment="1" applyProtection="1">
      <alignment horizontal="center" vertical="center"/>
      <protection hidden="1"/>
    </xf>
    <xf numFmtId="176" fontId="0" fillId="0" borderId="0" xfId="0" applyNumberFormat="1" applyFill="1" applyBorder="1"/>
    <xf numFmtId="0" fontId="0" fillId="0" borderId="133" xfId="0" applyBorder="1"/>
    <xf numFmtId="0" fontId="1" fillId="0" borderId="133" xfId="0" applyFont="1" applyBorder="1"/>
    <xf numFmtId="10" fontId="1" fillId="0" borderId="7" xfId="0" applyNumberFormat="1" applyFont="1" applyFill="1" applyBorder="1" applyAlignment="1"/>
    <xf numFmtId="0" fontId="46" fillId="0" borderId="0" xfId="0" applyFont="1" applyBorder="1" applyAlignment="1" applyProtection="1">
      <alignment vertical="center"/>
      <protection hidden="1"/>
    </xf>
    <xf numFmtId="166" fontId="1" fillId="0" borderId="133" xfId="0" applyNumberFormat="1" applyFont="1" applyBorder="1"/>
    <xf numFmtId="165" fontId="1" fillId="0" borderId="133" xfId="0" applyNumberFormat="1" applyFont="1" applyBorder="1"/>
    <xf numFmtId="169" fontId="6" fillId="0" borderId="133" xfId="1" applyNumberFormat="1" applyFont="1" applyFill="1" applyBorder="1" applyProtection="1">
      <protection hidden="1"/>
    </xf>
    <xf numFmtId="0" fontId="1" fillId="0" borderId="0" xfId="0" applyFont="1" applyAlignment="1" applyProtection="1">
      <alignment horizontal="right"/>
    </xf>
    <xf numFmtId="0" fontId="38" fillId="0" borderId="0" xfId="0" applyFont="1" applyProtection="1"/>
    <xf numFmtId="0" fontId="1" fillId="0" borderId="0" xfId="0" applyFont="1" applyAlignment="1" applyProtection="1">
      <alignment horizontal="center" vertical="center"/>
    </xf>
    <xf numFmtId="0" fontId="1" fillId="0" borderId="0" xfId="0" applyFont="1" applyAlignment="1" applyProtection="1">
      <alignment horizontal="right" vertical="top"/>
    </xf>
    <xf numFmtId="0" fontId="1" fillId="0" borderId="6" xfId="0" applyFont="1" applyFill="1" applyBorder="1" applyAlignment="1" applyProtection="1">
      <alignment horizontal="center" vertical="top"/>
      <protection locked="0"/>
    </xf>
    <xf numFmtId="0" fontId="1" fillId="0" borderId="134" xfId="0" applyFont="1" applyFill="1" applyBorder="1" applyAlignment="1" applyProtection="1">
      <alignment vertical="center"/>
    </xf>
    <xf numFmtId="0" fontId="1" fillId="0" borderId="0" xfId="0" applyFont="1" applyBorder="1" applyAlignment="1" applyProtection="1"/>
    <xf numFmtId="0" fontId="1" fillId="0" borderId="0" xfId="0" applyFont="1" applyBorder="1" applyProtection="1"/>
    <xf numFmtId="0" fontId="43" fillId="0" borderId="0" xfId="0" applyFont="1" applyBorder="1" applyProtection="1"/>
    <xf numFmtId="0" fontId="6" fillId="0" borderId="0" xfId="0" applyFont="1" applyBorder="1" applyProtection="1"/>
    <xf numFmtId="0" fontId="3" fillId="0" borderId="0" xfId="0" applyFont="1" applyBorder="1" applyAlignment="1" applyProtection="1"/>
    <xf numFmtId="176" fontId="6" fillId="3" borderId="135" xfId="0" applyNumberFormat="1" applyFont="1" applyFill="1" applyBorder="1" applyAlignment="1" applyProtection="1">
      <alignment vertical="center"/>
    </xf>
    <xf numFmtId="176" fontId="6" fillId="3" borderId="75" xfId="0" applyNumberFormat="1" applyFont="1" applyFill="1" applyBorder="1" applyAlignment="1" applyProtection="1">
      <alignment vertical="center"/>
    </xf>
    <xf numFmtId="0" fontId="1" fillId="3" borderId="75" xfId="0" applyFont="1" applyFill="1" applyBorder="1" applyProtection="1"/>
    <xf numFmtId="0" fontId="1" fillId="14" borderId="75" xfId="0" applyFont="1" applyFill="1" applyBorder="1" applyProtection="1"/>
    <xf numFmtId="0" fontId="1" fillId="14" borderId="76" xfId="0" applyFont="1" applyFill="1" applyBorder="1" applyProtection="1"/>
    <xf numFmtId="0" fontId="6" fillId="3" borderId="75" xfId="0" applyFont="1" applyFill="1" applyBorder="1" applyAlignment="1" applyProtection="1">
      <alignment horizontal="center" vertical="center" wrapText="1"/>
    </xf>
    <xf numFmtId="0" fontId="6" fillId="3" borderId="75" xfId="0" applyFont="1" applyFill="1" applyBorder="1" applyAlignment="1" applyProtection="1">
      <alignment horizontal="center" vertical="center"/>
    </xf>
    <xf numFmtId="0" fontId="1" fillId="0" borderId="136" xfId="0" applyFont="1" applyBorder="1" applyAlignment="1" applyProtection="1"/>
    <xf numFmtId="0" fontId="1" fillId="0" borderId="136" xfId="0" applyFont="1" applyBorder="1" applyProtection="1"/>
    <xf numFmtId="0" fontId="6" fillId="0" borderId="136" xfId="0" applyFont="1" applyBorder="1" applyProtection="1"/>
    <xf numFmtId="0" fontId="3" fillId="0" borderId="136" xfId="0" applyFont="1" applyBorder="1" applyAlignment="1" applyProtection="1"/>
    <xf numFmtId="0" fontId="1" fillId="0" borderId="138" xfId="0" applyFont="1" applyBorder="1" applyAlignment="1" applyProtection="1"/>
    <xf numFmtId="0" fontId="1" fillId="0" borderId="137" xfId="0" applyFont="1" applyBorder="1" applyAlignment="1" applyProtection="1"/>
    <xf numFmtId="0" fontId="1" fillId="0" borderId="139" xfId="0" applyFont="1" applyFill="1" applyBorder="1" applyAlignment="1" applyProtection="1">
      <alignment horizontal="center" vertical="top"/>
      <protection locked="0"/>
    </xf>
    <xf numFmtId="169" fontId="1" fillId="0" borderId="129" xfId="1" applyNumberFormat="1" applyFont="1" applyFill="1" applyBorder="1" applyProtection="1">
      <protection locked="0"/>
    </xf>
    <xf numFmtId="176" fontId="1" fillId="0" borderId="0" xfId="1" applyNumberFormat="1" applyFont="1" applyFill="1" applyBorder="1" applyAlignment="1" applyProtection="1">
      <protection hidden="1"/>
    </xf>
    <xf numFmtId="10" fontId="1" fillId="0" borderId="0" xfId="0" applyNumberFormat="1" applyFont="1" applyFill="1" applyBorder="1" applyAlignment="1" applyProtection="1">
      <protection locked="0"/>
    </xf>
    <xf numFmtId="183" fontId="1" fillId="0" borderId="0" xfId="1" applyNumberFormat="1" applyFont="1" applyFill="1" applyBorder="1" applyAlignment="1" applyProtection="1">
      <protection hidden="1"/>
    </xf>
    <xf numFmtId="10" fontId="1" fillId="0" borderId="0" xfId="2" applyNumberFormat="1" applyFont="1" applyFill="1" applyBorder="1" applyProtection="1">
      <protection locked="0"/>
    </xf>
    <xf numFmtId="0" fontId="0" fillId="0" borderId="96" xfId="0" applyFill="1" applyBorder="1" applyAlignment="1">
      <alignment vertical="center"/>
    </xf>
    <xf numFmtId="0" fontId="1" fillId="0" borderId="133" xfId="0" applyFont="1" applyFill="1" applyBorder="1" applyAlignment="1">
      <alignment horizontal="center" vertical="center" wrapText="1"/>
    </xf>
    <xf numFmtId="0" fontId="1" fillId="0" borderId="0" xfId="0" applyFont="1" applyAlignment="1" applyProtection="1">
      <alignment horizontal="left" vertical="top"/>
    </xf>
    <xf numFmtId="0" fontId="1" fillId="15" borderId="0" xfId="0" applyFont="1" applyFill="1" applyProtection="1"/>
    <xf numFmtId="0" fontId="0" fillId="0" borderId="133" xfId="0" applyFill="1" applyBorder="1"/>
    <xf numFmtId="0" fontId="1" fillId="0" borderId="0" xfId="0" applyFont="1" applyFill="1" applyProtection="1">
      <protection hidden="1"/>
    </xf>
    <xf numFmtId="186" fontId="0" fillId="0" borderId="133" xfId="3" applyNumberFormat="1" applyFont="1" applyBorder="1"/>
    <xf numFmtId="186" fontId="0" fillId="0" borderId="102" xfId="3" applyNumberFormat="1" applyFont="1" applyBorder="1"/>
    <xf numFmtId="186" fontId="0" fillId="0" borderId="131" xfId="3" applyNumberFormat="1" applyFont="1" applyBorder="1"/>
    <xf numFmtId="186" fontId="0" fillId="0" borderId="31" xfId="3" applyNumberFormat="1" applyFont="1" applyBorder="1"/>
    <xf numFmtId="186" fontId="0" fillId="0" borderId="41" xfId="3" applyNumberFormat="1" applyFont="1" applyBorder="1"/>
    <xf numFmtId="186" fontId="0" fillId="0" borderId="40" xfId="3" applyNumberFormat="1" applyFont="1" applyBorder="1"/>
    <xf numFmtId="0" fontId="1" fillId="0" borderId="0" xfId="0" applyFont="1" applyAlignment="1">
      <alignment horizontal="left" wrapText="1"/>
    </xf>
    <xf numFmtId="0" fontId="0" fillId="0" borderId="0" xfId="0" applyAlignment="1">
      <alignment horizontal="left" wrapText="1"/>
    </xf>
    <xf numFmtId="0" fontId="1" fillId="0" borderId="99" xfId="0" applyFont="1" applyFill="1" applyBorder="1" applyAlignment="1">
      <alignment horizontal="left" vertical="center"/>
    </xf>
    <xf numFmtId="0" fontId="0" fillId="0" borderId="99" xfId="0" applyFill="1" applyBorder="1" applyAlignment="1">
      <alignment horizontal="left" vertical="center"/>
    </xf>
    <xf numFmtId="0" fontId="0" fillId="0" borderId="25" xfId="0" applyFill="1" applyBorder="1" applyAlignment="1">
      <alignment vertical="center" wrapText="1"/>
    </xf>
    <xf numFmtId="0" fontId="0" fillId="0" borderId="26" xfId="0" applyFill="1" applyBorder="1" applyAlignment="1">
      <alignment vertical="center" wrapText="1"/>
    </xf>
    <xf numFmtId="0" fontId="0" fillId="0" borderId="37" xfId="0" applyFill="1" applyBorder="1" applyAlignment="1">
      <alignment vertical="center" wrapText="1"/>
    </xf>
    <xf numFmtId="0" fontId="1" fillId="0" borderId="25" xfId="0" applyFont="1" applyFill="1" applyBorder="1" applyAlignment="1">
      <alignment vertical="center" wrapText="1"/>
    </xf>
    <xf numFmtId="0" fontId="1" fillId="0" borderId="26" xfId="0" applyFont="1" applyFill="1" applyBorder="1" applyAlignment="1">
      <alignment vertical="center" wrapText="1"/>
    </xf>
    <xf numFmtId="0" fontId="1" fillId="0" borderId="37" xfId="0" applyFont="1" applyFill="1" applyBorder="1" applyAlignment="1">
      <alignment vertical="center" wrapText="1"/>
    </xf>
    <xf numFmtId="0" fontId="7" fillId="0" borderId="25" xfId="0" applyFont="1" applyFill="1" applyBorder="1" applyAlignment="1">
      <alignment vertical="center" wrapText="1"/>
    </xf>
    <xf numFmtId="0" fontId="7" fillId="0" borderId="26" xfId="0" applyFont="1" applyFill="1" applyBorder="1" applyAlignment="1">
      <alignment vertical="center" wrapText="1"/>
    </xf>
    <xf numFmtId="0" fontId="7" fillId="0" borderId="37" xfId="0" applyFont="1" applyFill="1" applyBorder="1" applyAlignment="1">
      <alignment vertical="center" wrapText="1"/>
    </xf>
    <xf numFmtId="0" fontId="6" fillId="0" borderId="25" xfId="0" applyFont="1" applyFill="1" applyBorder="1" applyAlignment="1">
      <alignment vertical="center" wrapText="1"/>
    </xf>
    <xf numFmtId="0" fontId="6" fillId="0" borderId="26" xfId="0" applyFont="1" applyFill="1" applyBorder="1" applyAlignment="1">
      <alignment vertical="center" wrapText="1"/>
    </xf>
    <xf numFmtId="0" fontId="6" fillId="0" borderId="37" xfId="0" applyFont="1" applyFill="1" applyBorder="1" applyAlignment="1">
      <alignment vertical="center" wrapText="1"/>
    </xf>
    <xf numFmtId="0" fontId="1" fillId="0" borderId="25" xfId="0" applyFont="1" applyFill="1" applyBorder="1" applyAlignment="1">
      <alignment vertical="top" wrapText="1"/>
    </xf>
    <xf numFmtId="0" fontId="1" fillId="0" borderId="26" xfId="0" applyFont="1" applyFill="1" applyBorder="1" applyAlignment="1">
      <alignment vertical="top" wrapText="1"/>
    </xf>
    <xf numFmtId="0" fontId="1" fillId="0" borderId="37" xfId="0" applyFont="1" applyFill="1" applyBorder="1" applyAlignment="1">
      <alignment vertical="top" wrapText="1"/>
    </xf>
    <xf numFmtId="0" fontId="1" fillId="0" borderId="96" xfId="0" applyFont="1" applyFill="1" applyBorder="1" applyAlignment="1">
      <alignment vertical="center" wrapText="1"/>
    </xf>
    <xf numFmtId="0" fontId="1" fillId="0" borderId="130" xfId="0" applyFont="1" applyFill="1" applyBorder="1" applyAlignment="1">
      <alignment vertical="center" wrapText="1"/>
    </xf>
    <xf numFmtId="0" fontId="1" fillId="0" borderId="131" xfId="0" applyFont="1" applyFill="1" applyBorder="1" applyAlignment="1">
      <alignment vertical="center" wrapText="1"/>
    </xf>
    <xf numFmtId="0" fontId="0" fillId="0" borderId="0" xfId="0" applyFill="1" applyBorder="1" applyAlignment="1">
      <alignment wrapText="1"/>
    </xf>
    <xf numFmtId="0" fontId="1" fillId="0" borderId="96" xfId="0" applyFont="1" applyFill="1" applyBorder="1" applyAlignment="1">
      <alignment vertical="top" wrapText="1"/>
    </xf>
    <xf numFmtId="0" fontId="1" fillId="0" borderId="130" xfId="0" applyFont="1" applyFill="1" applyBorder="1" applyAlignment="1">
      <alignment vertical="top" wrapText="1"/>
    </xf>
    <xf numFmtId="0" fontId="1" fillId="0" borderId="131" xfId="0" applyFont="1" applyFill="1" applyBorder="1" applyAlignment="1">
      <alignment vertical="top" wrapText="1"/>
    </xf>
    <xf numFmtId="0" fontId="5" fillId="0" borderId="25" xfId="0" applyFont="1" applyFill="1" applyBorder="1" applyAlignment="1">
      <alignment horizontal="center"/>
    </xf>
    <xf numFmtId="0" fontId="5" fillId="0" borderId="26" xfId="0" applyFont="1" applyFill="1" applyBorder="1" applyAlignment="1">
      <alignment horizontal="center"/>
    </xf>
    <xf numFmtId="0" fontId="5" fillId="0" borderId="37" xfId="0" applyFont="1" applyFill="1" applyBorder="1" applyAlignment="1">
      <alignment horizontal="center"/>
    </xf>
    <xf numFmtId="0" fontId="1" fillId="0" borderId="96" xfId="0" applyFont="1" applyFill="1" applyBorder="1" applyAlignment="1">
      <alignment horizontal="left" vertical="center"/>
    </xf>
    <xf numFmtId="0" fontId="0" fillId="0" borderId="97" xfId="0" applyFill="1" applyBorder="1" applyAlignment="1">
      <alignment horizontal="left" vertical="center"/>
    </xf>
    <xf numFmtId="0" fontId="0" fillId="0" borderId="98" xfId="0" applyFill="1" applyBorder="1" applyAlignment="1">
      <alignment horizontal="left" vertical="center"/>
    </xf>
    <xf numFmtId="0" fontId="1" fillId="0" borderId="99" xfId="0" applyFont="1" applyFill="1" applyBorder="1" applyAlignment="1">
      <alignment horizontal="left" vertical="center" wrapText="1"/>
    </xf>
    <xf numFmtId="0" fontId="0" fillId="0" borderId="99" xfId="0" applyFill="1" applyBorder="1" applyAlignment="1">
      <alignment horizontal="left" vertical="center" wrapText="1"/>
    </xf>
    <xf numFmtId="0" fontId="1" fillId="0" borderId="96" xfId="0" applyFont="1" applyFill="1" applyBorder="1" applyAlignment="1">
      <alignment horizontal="left" vertical="center" wrapText="1"/>
    </xf>
    <xf numFmtId="0" fontId="0" fillId="0" borderId="97" xfId="0" applyFill="1" applyBorder="1" applyAlignment="1">
      <alignment horizontal="left" vertical="center" wrapText="1"/>
    </xf>
    <xf numFmtId="0" fontId="0" fillId="0" borderId="98" xfId="0" applyFill="1" applyBorder="1" applyAlignment="1">
      <alignment horizontal="left" vertical="center" wrapText="1"/>
    </xf>
    <xf numFmtId="0" fontId="1" fillId="0" borderId="99" xfId="0" applyFont="1" applyBorder="1" applyAlignment="1">
      <alignment horizontal="left"/>
    </xf>
    <xf numFmtId="0" fontId="0" fillId="0" borderId="99" xfId="0" applyBorder="1" applyAlignment="1">
      <alignment horizontal="left"/>
    </xf>
    <xf numFmtId="0" fontId="6" fillId="0" borderId="99" xfId="0" applyFont="1" applyFill="1" applyBorder="1" applyAlignment="1">
      <alignment horizontal="center" vertical="center"/>
    </xf>
    <xf numFmtId="0" fontId="6" fillId="0" borderId="96" xfId="0" applyFont="1" applyFill="1" applyBorder="1" applyAlignment="1">
      <alignment horizontal="center" vertical="center"/>
    </xf>
    <xf numFmtId="0" fontId="6" fillId="0" borderId="97" xfId="0" applyFont="1" applyFill="1" applyBorder="1" applyAlignment="1">
      <alignment horizontal="center" vertical="center"/>
    </xf>
    <xf numFmtId="0" fontId="6" fillId="0" borderId="98" xfId="0" applyFont="1" applyFill="1" applyBorder="1" applyAlignment="1">
      <alignment horizontal="center" vertical="center"/>
    </xf>
    <xf numFmtId="0" fontId="1" fillId="0" borderId="0" xfId="0" applyFont="1" applyFill="1" applyBorder="1" applyAlignment="1">
      <alignment wrapText="1"/>
    </xf>
    <xf numFmtId="0" fontId="2" fillId="0" borderId="0" xfId="0" applyFont="1" applyFill="1" applyBorder="1" applyAlignment="1">
      <alignment horizontal="center"/>
    </xf>
    <xf numFmtId="0" fontId="1" fillId="0" borderId="97" xfId="0" applyFont="1" applyFill="1" applyBorder="1" applyAlignment="1">
      <alignment vertical="top" wrapText="1"/>
    </xf>
    <xf numFmtId="0" fontId="1" fillId="0" borderId="98" xfId="0" applyFont="1" applyFill="1" applyBorder="1" applyAlignment="1">
      <alignment vertical="top" wrapText="1"/>
    </xf>
    <xf numFmtId="0" fontId="0" fillId="0" borderId="130" xfId="0" applyBorder="1" applyAlignment="1">
      <alignment vertical="top" wrapText="1"/>
    </xf>
    <xf numFmtId="0" fontId="0" fillId="0" borderId="131" xfId="0" applyBorder="1" applyAlignment="1">
      <alignment vertical="top" wrapText="1"/>
    </xf>
    <xf numFmtId="0" fontId="0" fillId="0" borderId="26" xfId="0" applyFill="1" applyBorder="1" applyAlignment="1">
      <alignment vertical="top" wrapText="1"/>
    </xf>
    <xf numFmtId="0" fontId="0" fillId="0" borderId="37" xfId="0" applyFill="1" applyBorder="1" applyAlignment="1">
      <alignment vertical="top" wrapText="1"/>
    </xf>
    <xf numFmtId="0" fontId="0" fillId="0" borderId="25" xfId="0" applyFill="1" applyBorder="1" applyAlignment="1">
      <alignment wrapText="1"/>
    </xf>
    <xf numFmtId="0" fontId="0" fillId="0" borderId="97" xfId="0" applyFill="1" applyBorder="1" applyAlignment="1">
      <alignment wrapText="1"/>
    </xf>
    <xf numFmtId="0" fontId="0" fillId="0" borderId="26" xfId="0" applyFill="1" applyBorder="1" applyAlignment="1">
      <alignment wrapText="1"/>
    </xf>
    <xf numFmtId="0" fontId="0" fillId="0" borderId="37" xfId="0" applyFill="1" applyBorder="1" applyAlignment="1">
      <alignment wrapText="1"/>
    </xf>
    <xf numFmtId="0" fontId="14" fillId="0" borderId="51" xfId="0" applyFont="1" applyFill="1" applyBorder="1" applyAlignment="1" applyProtection="1">
      <alignment wrapText="1"/>
      <protection hidden="1"/>
    </xf>
    <xf numFmtId="0" fontId="14" fillId="0" borderId="113" xfId="0" applyFont="1" applyFill="1" applyBorder="1" applyAlignment="1" applyProtection="1">
      <alignment wrapText="1"/>
      <protection hidden="1"/>
    </xf>
    <xf numFmtId="0" fontId="0" fillId="0" borderId="96" xfId="0" applyFill="1" applyBorder="1" applyAlignment="1">
      <alignment horizontal="center" vertical="center" wrapText="1"/>
    </xf>
    <xf numFmtId="0" fontId="0" fillId="0" borderId="97" xfId="0" applyBorder="1" applyAlignment="1"/>
    <xf numFmtId="0" fontId="0" fillId="0" borderId="98" xfId="0" applyBorder="1" applyAlignment="1"/>
    <xf numFmtId="0" fontId="8" fillId="0" borderId="119" xfId="0" applyFont="1" applyFill="1" applyBorder="1" applyAlignment="1" applyProtection="1">
      <protection hidden="1"/>
    </xf>
    <xf numFmtId="0" fontId="0" fillId="0" borderId="120" xfId="0" applyBorder="1" applyAlignment="1"/>
    <xf numFmtId="0" fontId="0" fillId="0" borderId="121" xfId="0" applyBorder="1" applyAlignment="1"/>
    <xf numFmtId="0" fontId="0" fillId="0" borderId="123" xfId="0" applyFill="1" applyBorder="1" applyAlignment="1" applyProtection="1">
      <protection locked="0"/>
    </xf>
    <xf numFmtId="0" fontId="0" fillId="0" borderId="124" xfId="0" applyBorder="1" applyAlignment="1" applyProtection="1">
      <protection locked="0"/>
    </xf>
    <xf numFmtId="0" fontId="0" fillId="0" borderId="122" xfId="0" applyBorder="1" applyAlignment="1" applyProtection="1">
      <protection locked="0"/>
    </xf>
    <xf numFmtId="2" fontId="4" fillId="0" borderId="55" xfId="0" applyNumberFormat="1" applyFont="1" applyFill="1" applyBorder="1" applyAlignment="1" applyProtection="1">
      <alignment horizontal="center" vertical="top"/>
      <protection hidden="1"/>
    </xf>
    <xf numFmtId="2" fontId="4" fillId="0" borderId="56" xfId="0" applyNumberFormat="1" applyFont="1" applyFill="1" applyBorder="1" applyAlignment="1" applyProtection="1">
      <alignment horizontal="center" vertical="top"/>
      <protection hidden="1"/>
    </xf>
    <xf numFmtId="0" fontId="0" fillId="0" borderId="0" xfId="0" applyFill="1" applyBorder="1" applyAlignment="1" applyProtection="1">
      <alignment vertical="top" wrapText="1"/>
      <protection hidden="1"/>
    </xf>
    <xf numFmtId="0" fontId="0" fillId="0" borderId="54" xfId="0" applyFill="1" applyBorder="1" applyAlignment="1" applyProtection="1">
      <alignment vertical="top" wrapText="1"/>
      <protection hidden="1"/>
    </xf>
    <xf numFmtId="0" fontId="4" fillId="0" borderId="55" xfId="0" applyFont="1" applyFill="1" applyBorder="1" applyAlignment="1" applyProtection="1">
      <alignment horizontal="center" vertical="center"/>
      <protection hidden="1"/>
    </xf>
    <xf numFmtId="0" fontId="4" fillId="0" borderId="56" xfId="0" applyFont="1" applyFill="1" applyBorder="1" applyAlignment="1" applyProtection="1">
      <alignment horizontal="center" vertical="center"/>
      <protection hidden="1"/>
    </xf>
    <xf numFmtId="0" fontId="6" fillId="0" borderId="52" xfId="0" applyFont="1" applyFill="1" applyBorder="1" applyAlignment="1" applyProtection="1">
      <alignment vertical="top"/>
      <protection locked="0"/>
    </xf>
    <xf numFmtId="0" fontId="6" fillId="0" borderId="19" xfId="0" applyFont="1" applyFill="1" applyBorder="1" applyAlignment="1" applyProtection="1">
      <alignment vertical="top"/>
      <protection locked="0"/>
    </xf>
    <xf numFmtId="0" fontId="6" fillId="0" borderId="52" xfId="0" applyFont="1" applyFill="1" applyBorder="1" applyAlignment="1" applyProtection="1">
      <protection locked="0"/>
    </xf>
    <xf numFmtId="0" fontId="6" fillId="0" borderId="19" xfId="0" applyFont="1" applyFill="1" applyBorder="1" applyAlignment="1" applyProtection="1">
      <protection locked="0"/>
    </xf>
    <xf numFmtId="0" fontId="28" fillId="0" borderId="51" xfId="0" applyFont="1" applyBorder="1" applyAlignment="1" applyProtection="1">
      <alignment horizontal="left" wrapText="1"/>
      <protection hidden="1"/>
    </xf>
    <xf numFmtId="0" fontId="28" fillId="0" borderId="113" xfId="0" applyFont="1" applyBorder="1" applyAlignment="1" applyProtection="1">
      <alignment horizontal="left" wrapText="1"/>
      <protection hidden="1"/>
    </xf>
    <xf numFmtId="0" fontId="43" fillId="0" borderId="0" xfId="0" applyFont="1" applyBorder="1" applyAlignment="1" applyProtection="1">
      <alignment wrapText="1"/>
      <protection hidden="1"/>
    </xf>
    <xf numFmtId="0" fontId="0" fillId="0" borderId="115" xfId="0" applyFill="1" applyBorder="1" applyAlignment="1">
      <alignment horizontal="center" vertical="center" wrapText="1"/>
    </xf>
    <xf numFmtId="0" fontId="0" fillId="0" borderId="118" xfId="0" applyBorder="1" applyAlignment="1">
      <alignment horizontal="center" vertical="center" wrapText="1"/>
    </xf>
    <xf numFmtId="0" fontId="0" fillId="0" borderId="116" xfId="0" applyBorder="1" applyAlignment="1"/>
    <xf numFmtId="0" fontId="1" fillId="0" borderId="112" xfId="0" applyFont="1" applyFill="1" applyBorder="1" applyAlignment="1" applyProtection="1">
      <protection locked="0"/>
    </xf>
    <xf numFmtId="0" fontId="0" fillId="0" borderId="107" xfId="0" applyBorder="1" applyAlignment="1" applyProtection="1">
      <protection locked="0"/>
    </xf>
    <xf numFmtId="0" fontId="0" fillId="0" borderId="108" xfId="0" applyBorder="1" applyAlignment="1" applyProtection="1">
      <protection locked="0"/>
    </xf>
    <xf numFmtId="0" fontId="1" fillId="0" borderId="117" xfId="0" applyFont="1" applyFill="1" applyBorder="1" applyAlignment="1" applyProtection="1">
      <protection locked="0"/>
    </xf>
    <xf numFmtId="0" fontId="0" fillId="0" borderId="0" xfId="0" applyBorder="1" applyAlignment="1" applyProtection="1">
      <protection locked="0"/>
    </xf>
    <xf numFmtId="0" fontId="0" fillId="0" borderId="54" xfId="0" applyBorder="1" applyAlignment="1" applyProtection="1">
      <protection locked="0"/>
    </xf>
    <xf numFmtId="0" fontId="0" fillId="0" borderId="25" xfId="0" applyBorder="1" applyAlignment="1">
      <alignment horizontal="center"/>
    </xf>
    <xf numFmtId="0" fontId="0" fillId="0" borderId="26" xfId="0" applyBorder="1" applyAlignment="1">
      <alignment horizontal="center"/>
    </xf>
    <xf numFmtId="0" fontId="0" fillId="0" borderId="37" xfId="0" applyBorder="1" applyAlignment="1">
      <alignment horizontal="center"/>
    </xf>
    <xf numFmtId="0" fontId="39" fillId="0" borderId="86" xfId="0" quotePrefix="1" applyFont="1" applyBorder="1" applyAlignment="1">
      <alignment wrapText="1"/>
    </xf>
    <xf numFmtId="0" fontId="1" fillId="0" borderId="66" xfId="0" applyFont="1" applyBorder="1" applyAlignment="1">
      <alignment horizontal="center"/>
    </xf>
    <xf numFmtId="0" fontId="1" fillId="0" borderId="67" xfId="0" applyFont="1" applyBorder="1" applyAlignment="1">
      <alignment horizontal="center"/>
    </xf>
    <xf numFmtId="0" fontId="1" fillId="0" borderId="68" xfId="0" applyFont="1" applyBorder="1" applyAlignment="1">
      <alignment horizontal="center"/>
    </xf>
    <xf numFmtId="0" fontId="6" fillId="0" borderId="52" xfId="0" applyFont="1" applyBorder="1" applyAlignment="1" applyProtection="1">
      <protection locked="0"/>
    </xf>
    <xf numFmtId="0" fontId="6" fillId="0" borderId="19" xfId="0" applyFont="1" applyBorder="1" applyAlignment="1" applyProtection="1">
      <protection locked="0"/>
    </xf>
    <xf numFmtId="0" fontId="1" fillId="0" borderId="0" xfId="0" applyFont="1" applyFill="1" applyBorder="1" applyAlignment="1" applyProtection="1">
      <alignment vertical="center" wrapText="1"/>
    </xf>
    <xf numFmtId="0" fontId="1" fillId="0" borderId="54" xfId="0" applyFont="1" applyFill="1" applyBorder="1" applyAlignment="1" applyProtection="1">
      <alignment vertical="center" wrapText="1"/>
    </xf>
    <xf numFmtId="0" fontId="4" fillId="3" borderId="16" xfId="0" applyFont="1" applyFill="1" applyBorder="1" applyAlignment="1" applyProtection="1">
      <alignment horizontal="center" vertical="center"/>
    </xf>
    <xf numFmtId="176" fontId="6" fillId="3" borderId="75" xfId="0" applyNumberFormat="1" applyFont="1" applyFill="1" applyBorder="1" applyAlignment="1" applyProtection="1">
      <alignment horizontal="center" vertical="center"/>
    </xf>
    <xf numFmtId="0" fontId="17" fillId="0" borderId="55" xfId="0" applyFont="1" applyFill="1" applyBorder="1" applyAlignment="1" applyProtection="1">
      <alignment horizontal="center" vertical="center"/>
      <protection hidden="1"/>
    </xf>
    <xf numFmtId="0" fontId="17" fillId="0" borderId="56" xfId="0" applyFont="1" applyFill="1" applyBorder="1" applyAlignment="1" applyProtection="1">
      <alignment horizontal="center" vertical="center"/>
      <protection hidden="1"/>
    </xf>
    <xf numFmtId="0" fontId="0" fillId="0" borderId="25" xfId="0" applyBorder="1" applyAlignment="1">
      <alignment wrapText="1"/>
    </xf>
    <xf numFmtId="0" fontId="0" fillId="0" borderId="97" xfId="0" applyBorder="1" applyAlignment="1">
      <alignment wrapText="1"/>
    </xf>
    <xf numFmtId="0" fontId="0" fillId="0" borderId="26" xfId="0" applyBorder="1" applyAlignment="1">
      <alignment wrapText="1"/>
    </xf>
    <xf numFmtId="0" fontId="0" fillId="0" borderId="37" xfId="0" applyBorder="1" applyAlignment="1">
      <alignment wrapText="1"/>
    </xf>
    <xf numFmtId="0" fontId="14" fillId="0" borderId="51" xfId="0" applyFont="1" applyBorder="1" applyAlignment="1" applyProtection="1">
      <alignment wrapText="1"/>
      <protection hidden="1"/>
    </xf>
    <xf numFmtId="0" fontId="14" fillId="0" borderId="113" xfId="0" applyFont="1" applyBorder="1" applyAlignment="1" applyProtection="1">
      <alignment wrapText="1"/>
      <protection hidden="1"/>
    </xf>
    <xf numFmtId="0" fontId="43" fillId="0" borderId="86" xfId="0" applyFont="1" applyBorder="1" applyAlignment="1" applyProtection="1">
      <alignment vertical="top" wrapText="1"/>
      <protection hidden="1"/>
    </xf>
    <xf numFmtId="0" fontId="1" fillId="0" borderId="25" xfId="0" applyFont="1" applyFill="1" applyBorder="1" applyAlignment="1" applyProtection="1">
      <alignment horizontal="center"/>
    </xf>
    <xf numFmtId="0" fontId="1" fillId="0" borderId="37" xfId="0" applyFont="1" applyFill="1" applyBorder="1" applyAlignment="1" applyProtection="1">
      <alignment horizontal="center"/>
    </xf>
    <xf numFmtId="0" fontId="39" fillId="0" borderId="86" xfId="0" applyFont="1" applyBorder="1"/>
    <xf numFmtId="0" fontId="0" fillId="0" borderId="34" xfId="0" applyFill="1" applyBorder="1" applyAlignment="1">
      <alignment horizontal="center" vertical="center"/>
    </xf>
    <xf numFmtId="0" fontId="0" fillId="0" borderId="39" xfId="0" applyFill="1" applyBorder="1" applyAlignment="1">
      <alignment horizontal="center" vertical="center"/>
    </xf>
    <xf numFmtId="0" fontId="6" fillId="0" borderId="57" xfId="0" applyFont="1" applyFill="1" applyBorder="1" applyAlignment="1">
      <alignment horizontal="center"/>
    </xf>
    <xf numFmtId="0" fontId="6" fillId="0" borderId="58" xfId="0" applyFont="1" applyFill="1" applyBorder="1" applyAlignment="1">
      <alignment horizontal="center"/>
    </xf>
    <xf numFmtId="0" fontId="6" fillId="0" borderId="59" xfId="0" applyFont="1" applyFill="1" applyBorder="1" applyAlignment="1">
      <alignment horizontal="center"/>
    </xf>
    <xf numFmtId="0" fontId="0" fillId="0" borderId="25" xfId="0" applyBorder="1" applyProtection="1">
      <protection locked="0"/>
    </xf>
    <xf numFmtId="0" fontId="0" fillId="0" borderId="26" xfId="0" applyBorder="1" applyProtection="1">
      <protection locked="0"/>
    </xf>
    <xf numFmtId="0" fontId="0" fillId="0" borderId="37" xfId="0" applyBorder="1" applyProtection="1">
      <protection locked="0"/>
    </xf>
    <xf numFmtId="0" fontId="0" fillId="0" borderId="97" xfId="0" applyFill="1" applyBorder="1" applyAlignment="1">
      <alignment vertical="top"/>
    </xf>
    <xf numFmtId="0" fontId="0" fillId="0" borderId="98" xfId="0" applyFill="1" applyBorder="1" applyAlignment="1">
      <alignment vertical="top"/>
    </xf>
    <xf numFmtId="0" fontId="0" fillId="16" borderId="96" xfId="0" applyFill="1" applyBorder="1" applyAlignment="1">
      <alignment horizontal="center"/>
    </xf>
    <xf numFmtId="0" fontId="0" fillId="16" borderId="130" xfId="0" applyFill="1" applyBorder="1" applyAlignment="1">
      <alignment horizontal="center"/>
    </xf>
    <xf numFmtId="0" fontId="0" fillId="16" borderId="131" xfId="0" applyFill="1" applyBorder="1" applyAlignment="1">
      <alignment horizontal="center"/>
    </xf>
    <xf numFmtId="0" fontId="6" fillId="12" borderId="7" xfId="0" applyFont="1" applyFill="1" applyBorder="1" applyAlignment="1">
      <alignment horizontal="center" vertical="center"/>
    </xf>
    <xf numFmtId="0" fontId="25" fillId="7" borderId="25" xfId="0" applyFont="1" applyFill="1" applyBorder="1" applyAlignment="1">
      <alignment horizontal="center"/>
    </xf>
    <xf numFmtId="0" fontId="25" fillId="7" borderId="26" xfId="0" applyFont="1" applyFill="1" applyBorder="1" applyAlignment="1">
      <alignment horizontal="center"/>
    </xf>
    <xf numFmtId="0" fontId="25" fillId="7" borderId="37" xfId="0" applyFont="1" applyFill="1" applyBorder="1" applyAlignment="1">
      <alignment horizontal="center"/>
    </xf>
    <xf numFmtId="0" fontId="6" fillId="0" borderId="0" xfId="0" applyFont="1" applyFill="1" applyBorder="1" applyAlignment="1">
      <alignment horizontal="center"/>
    </xf>
    <xf numFmtId="0" fontId="1" fillId="0" borderId="7" xfId="0" applyFont="1" applyBorder="1" applyAlignment="1"/>
    <xf numFmtId="0" fontId="0" fillId="0" borderId="7" xfId="0" applyBorder="1" applyAlignment="1"/>
    <xf numFmtId="0" fontId="6" fillId="7" borderId="7" xfId="0" applyFont="1" applyFill="1" applyBorder="1" applyAlignment="1">
      <alignment horizontal="center"/>
    </xf>
    <xf numFmtId="0" fontId="6" fillId="5" borderId="25" xfId="0" applyFont="1" applyFill="1" applyBorder="1" applyAlignment="1" applyProtection="1">
      <alignment horizontal="center" vertical="top"/>
      <protection hidden="1"/>
    </xf>
    <xf numFmtId="0" fontId="6" fillId="5" borderId="26" xfId="0" applyFont="1" applyFill="1" applyBorder="1" applyAlignment="1" applyProtection="1">
      <alignment horizontal="center" vertical="top"/>
      <protection hidden="1"/>
    </xf>
    <xf numFmtId="0" fontId="6" fillId="5" borderId="37" xfId="0" applyFont="1" applyFill="1" applyBorder="1" applyAlignment="1" applyProtection="1">
      <alignment horizontal="center" vertical="top"/>
      <protection hidden="1"/>
    </xf>
    <xf numFmtId="0" fontId="6" fillId="5" borderId="7" xfId="0" applyFont="1" applyFill="1" applyBorder="1" applyAlignment="1" applyProtection="1">
      <alignment horizontal="center" vertical="top"/>
      <protection hidden="1"/>
    </xf>
    <xf numFmtId="0" fontId="26" fillId="9" borderId="22" xfId="0" applyFont="1" applyFill="1" applyBorder="1" applyAlignment="1">
      <alignment horizontal="center"/>
    </xf>
    <xf numFmtId="0" fontId="1" fillId="0" borderId="7" xfId="0" applyFont="1" applyBorder="1"/>
    <xf numFmtId="0" fontId="0" fillId="0" borderId="7" xfId="0" applyBorder="1"/>
    <xf numFmtId="0" fontId="6" fillId="2" borderId="0" xfId="0" applyFont="1" applyFill="1" applyAlignment="1">
      <alignment horizontal="center"/>
    </xf>
    <xf numFmtId="0" fontId="1" fillId="0" borderId="104" xfId="0" applyFont="1" applyBorder="1" applyAlignment="1" applyProtection="1">
      <alignment vertical="top" wrapText="1"/>
      <protection locked="0"/>
    </xf>
    <xf numFmtId="0" fontId="0" fillId="0" borderId="105" xfId="0" applyBorder="1" applyAlignment="1" applyProtection="1">
      <alignment vertical="top" wrapText="1"/>
      <protection locked="0"/>
    </xf>
    <xf numFmtId="0" fontId="0" fillId="0" borderId="106" xfId="0" applyBorder="1" applyAlignment="1" applyProtection="1">
      <alignment vertical="top" wrapText="1"/>
      <protection locked="0"/>
    </xf>
    <xf numFmtId="0" fontId="1" fillId="0" borderId="99" xfId="0" applyFont="1" applyBorder="1" applyAlignment="1" applyProtection="1">
      <alignment vertical="top" wrapText="1"/>
      <protection locked="0"/>
    </xf>
    <xf numFmtId="169" fontId="3" fillId="0" borderId="0" xfId="1" applyNumberFormat="1" applyFont="1" applyFill="1" applyBorder="1" applyAlignment="1">
      <alignment horizontal="right" wrapText="1"/>
    </xf>
    <xf numFmtId="0" fontId="0" fillId="0" borderId="0" xfId="0" applyAlignment="1">
      <alignment wrapText="1"/>
    </xf>
  </cellXfs>
  <cellStyles count="4">
    <cellStyle name="Comma" xfId="3" builtinId="3"/>
    <cellStyle name="Currency" xfId="1" builtinId="4"/>
    <cellStyle name="Normal" xfId="0" builtinId="0"/>
    <cellStyle name="Per cent" xfId="2" builtinId="5"/>
  </cellStyles>
  <dxfs count="129">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FF0000"/>
      </font>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5"/>
        </patternFill>
      </fill>
      <border>
        <left style="thin">
          <color indexed="64"/>
        </left>
        <right style="thin">
          <color indexed="64"/>
        </right>
        <top style="thin">
          <color indexed="64"/>
        </top>
        <bottom style="thin">
          <color indexed="64"/>
        </bottom>
      </border>
    </dxf>
    <dxf>
      <fill>
        <patternFill>
          <bgColor indexed="43"/>
        </patternFill>
      </fill>
    </dxf>
    <dxf>
      <fill>
        <patternFill>
          <bgColor indexed="43"/>
        </patternFill>
      </fill>
    </dxf>
    <dxf>
      <fill>
        <patternFill>
          <bgColor indexed="43"/>
        </patternFill>
      </fill>
    </dxf>
    <dxf>
      <fill>
        <patternFill>
          <bgColor rgb="FFFFFF99"/>
        </patternFill>
      </fill>
    </dxf>
    <dxf>
      <fill>
        <patternFill>
          <bgColor indexed="43"/>
        </patternFill>
      </fill>
    </dxf>
    <dxf>
      <font>
        <color theme="9"/>
      </font>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border>
        <left style="thin">
          <color indexed="64"/>
        </left>
        <right style="thin">
          <color indexed="64"/>
        </right>
        <top style="thin">
          <color indexed="64"/>
        </top>
      </border>
    </dxf>
    <dxf>
      <fill>
        <patternFill patternType="none">
          <bgColor indexed="65"/>
        </patternFill>
      </fill>
      <border>
        <left/>
        <right style="thin">
          <color indexed="64"/>
        </right>
        <top style="thin">
          <color indexed="64"/>
        </top>
        <bottom/>
      </border>
    </dxf>
    <dxf>
      <border>
        <right style="thin">
          <color indexed="64"/>
        </right>
        <top style="thin">
          <color indexed="64"/>
        </top>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patternType="none">
          <bgColor indexed="65"/>
        </patternFill>
      </fill>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9"/>
        </patternFill>
      </fill>
      <border>
        <left style="thin">
          <color indexed="12"/>
        </left>
        <right style="thin">
          <color indexed="12"/>
        </right>
        <top style="thin">
          <color indexed="12"/>
        </top>
        <bottom style="thin">
          <color indexed="12"/>
        </bottom>
      </border>
    </dxf>
    <dxf>
      <fill>
        <patternFill>
          <bgColor indexed="9"/>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rgb="FFFFFF99"/>
        </patternFill>
      </fill>
    </dxf>
    <dxf>
      <fill>
        <patternFill>
          <bgColor rgb="FFFFFF99"/>
        </patternFill>
      </fill>
    </dxf>
    <dxf>
      <font>
        <color rgb="FFFF0000"/>
      </font>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ont>
        <b/>
        <i val="0"/>
        <condense val="0"/>
        <extend val="0"/>
        <color indexed="10"/>
      </font>
    </dxf>
    <dxf>
      <fill>
        <patternFill>
          <bgColor indexed="45"/>
        </patternFill>
      </fill>
    </dxf>
    <dxf>
      <fill>
        <patternFill>
          <bgColor indexed="45"/>
        </patternFill>
      </fill>
      <border>
        <left style="thin">
          <color indexed="64"/>
        </left>
        <right style="thin">
          <color indexed="64"/>
        </right>
        <top style="thin">
          <color indexed="64"/>
        </top>
        <bottom style="thin">
          <color indexed="64"/>
        </bottom>
      </border>
    </dxf>
    <dxf>
      <font>
        <b/>
        <i val="0"/>
        <condense val="0"/>
        <extend val="0"/>
        <color indexed="10"/>
      </font>
    </dxf>
    <dxf>
      <font>
        <color theme="9"/>
      </font>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indexed="43"/>
        </patternFill>
      </fill>
    </dxf>
    <dxf>
      <fill>
        <patternFill>
          <bgColor rgb="FFFFFF99"/>
        </patternFill>
      </fill>
    </dxf>
    <dxf>
      <fill>
        <patternFill>
          <bgColor rgb="FFFFFF99"/>
        </patternFill>
      </fill>
    </dxf>
    <dxf>
      <fill>
        <patternFill>
          <bgColor indexed="43"/>
        </patternFill>
      </fill>
    </dxf>
    <dxf>
      <fill>
        <patternFill>
          <bgColor indexed="43"/>
        </patternFill>
      </fill>
    </dxf>
    <dxf>
      <fill>
        <patternFill>
          <bgColor indexed="43"/>
        </patternFill>
      </fill>
    </dxf>
    <dxf>
      <border>
        <right style="thin">
          <color auto="1"/>
        </right>
        <top style="thin">
          <color auto="1"/>
        </top>
        <vertical/>
        <horizontal/>
      </border>
    </dxf>
    <dxf>
      <fill>
        <patternFill>
          <bgColor rgb="FFFFFF99"/>
        </patternFill>
      </fill>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rgb="FFFFFF99"/>
        </patternFill>
      </fill>
      <border>
        <left style="thin">
          <color rgb="FF0000FF"/>
        </left>
        <right style="thin">
          <color rgb="FF0000FF"/>
        </right>
        <top style="thin">
          <color rgb="FF0000FF"/>
        </top>
        <bottom style="thin">
          <color rgb="FF0000FF"/>
        </bottom>
        <vertical/>
        <horizontal/>
      </border>
    </dxf>
    <dxf>
      <fill>
        <patternFill>
          <bgColor indexed="43"/>
        </patternFill>
      </fill>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border>
        <left style="thin">
          <color rgb="FF0000FF"/>
        </left>
        <right style="thin">
          <color rgb="FF0000FF"/>
        </right>
        <top style="thin">
          <color rgb="FF0000FF"/>
        </top>
        <bottom style="thin">
          <color rgb="FF0000FF"/>
        </bottom>
      </border>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indexed="43"/>
        </patternFill>
      </fill>
    </dxf>
    <dxf>
      <fill>
        <patternFill>
          <bgColor indexed="43"/>
        </patternFill>
      </fill>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43"/>
        </patternFill>
      </fill>
    </dxf>
    <dxf>
      <border>
        <right style="thin">
          <color indexed="64"/>
        </right>
        <top style="thin">
          <color indexed="64"/>
        </top>
      </border>
    </dxf>
    <dxf>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border>
        <left style="thin">
          <color indexed="12"/>
        </left>
        <right style="thin">
          <color indexed="12"/>
        </right>
        <top style="thin">
          <color indexed="12"/>
        </top>
        <bottom style="thin">
          <color indexed="12"/>
        </bottom>
      </border>
    </dxf>
    <dxf>
      <border>
        <right style="thin">
          <color indexed="64"/>
        </right>
        <top style="thin">
          <color indexed="64"/>
        </top>
      </border>
    </dxf>
    <dxf>
      <fill>
        <patternFill>
          <bgColor indexed="44"/>
        </patternFill>
      </fill>
    </dxf>
    <dxf>
      <fill>
        <patternFill>
          <bgColor indexed="43"/>
        </patternFill>
      </fill>
    </dxf>
    <dxf>
      <border>
        <left style="thin">
          <color indexed="12"/>
        </left>
        <right style="thin">
          <color indexed="12"/>
        </right>
        <top style="thin">
          <color indexed="12"/>
        </top>
        <bottom style="thin">
          <color indexed="12"/>
        </bottom>
      </border>
    </dxf>
    <dxf>
      <fill>
        <patternFill>
          <bgColor indexed="43"/>
        </patternFill>
      </fill>
      <border>
        <left style="thin">
          <color indexed="12"/>
        </left>
        <right style="thin">
          <color indexed="12"/>
        </right>
        <top style="thin">
          <color indexed="12"/>
        </top>
        <bottom style="thin">
          <color indexed="12"/>
        </bottom>
      </border>
    </dxf>
    <dxf>
      <fill>
        <patternFill>
          <bgColor indexed="44"/>
        </patternFill>
      </fill>
    </dxf>
    <dxf>
      <fill>
        <patternFill>
          <bgColor indexed="44"/>
        </patternFill>
      </fill>
    </dxf>
    <dxf>
      <fill>
        <patternFill>
          <bgColor indexed="44"/>
        </patternFill>
      </fill>
    </dxf>
  </dxfs>
  <tableStyles count="0" defaultTableStyle="TableStyleMedium9" defaultPivotStyle="PivotStyleLight16"/>
  <colors>
    <mruColors>
      <color rgb="FFFFFF99"/>
      <color rgb="FFFF6600"/>
      <color rgb="FFFFCC99"/>
      <color rgb="FF0000FF"/>
      <color rgb="FF82D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257175</xdr:colOff>
      <xdr:row>0</xdr:row>
      <xdr:rowOff>85725</xdr:rowOff>
    </xdr:from>
    <xdr:to>
      <xdr:col>11</xdr:col>
      <xdr:colOff>238125</xdr:colOff>
      <xdr:row>8</xdr:row>
      <xdr:rowOff>85725</xdr:rowOff>
    </xdr:to>
    <xdr:sp macro="" textlink="">
      <xdr:nvSpPr>
        <xdr:cNvPr id="20534" name="AutoShape 1">
          <a:extLst>
            <a:ext uri="{FF2B5EF4-FFF2-40B4-BE49-F238E27FC236}">
              <a16:creationId xmlns:a16="http://schemas.microsoft.com/office/drawing/2014/main" id="{00000000-0008-0000-0000-000036500000}"/>
            </a:ext>
          </a:extLst>
        </xdr:cNvPr>
        <xdr:cNvSpPr>
          <a:spLocks noChangeArrowheads="1"/>
        </xdr:cNvSpPr>
      </xdr:nvSpPr>
      <xdr:spPr bwMode="auto">
        <a:xfrm>
          <a:off x="257175" y="85725"/>
          <a:ext cx="6762750" cy="1295400"/>
        </a:xfrm>
        <a:prstGeom prst="triangle">
          <a:avLst>
            <a:gd name="adj" fmla="val 50000"/>
          </a:avLst>
        </a:prstGeom>
        <a:solidFill>
          <a:srgbClr val="FFCC99"/>
        </a:solidFill>
        <a:ln w="15875">
          <a:solidFill>
            <a:srgbClr val="993300"/>
          </a:solidFill>
          <a:miter lim="800000"/>
          <a:headEnd/>
          <a:tailEnd/>
        </a:ln>
      </xdr:spPr>
    </xdr:sp>
    <xdr:clientData/>
  </xdr:twoCellAnchor>
  <xdr:twoCellAnchor>
    <xdr:from>
      <xdr:col>2</xdr:col>
      <xdr:colOff>0</xdr:colOff>
      <xdr:row>4</xdr:row>
      <xdr:rowOff>142875</xdr:rowOff>
    </xdr:from>
    <xdr:to>
      <xdr:col>10</xdr:col>
      <xdr:colOff>0</xdr:colOff>
      <xdr:row>8</xdr:row>
      <xdr:rowOff>38100</xdr:rowOff>
    </xdr:to>
    <xdr:sp macro="" textlink="">
      <xdr:nvSpPr>
        <xdr:cNvPr id="1026" name="Text Box 2">
          <a:extLst>
            <a:ext uri="{FF2B5EF4-FFF2-40B4-BE49-F238E27FC236}">
              <a16:creationId xmlns:a16="http://schemas.microsoft.com/office/drawing/2014/main" id="{00000000-0008-0000-0000-000002040000}"/>
            </a:ext>
          </a:extLst>
        </xdr:cNvPr>
        <xdr:cNvSpPr txBox="1">
          <a:spLocks noChangeArrowheads="1"/>
        </xdr:cNvSpPr>
      </xdr:nvSpPr>
      <xdr:spPr bwMode="auto">
        <a:xfrm>
          <a:off x="1219200" y="790575"/>
          <a:ext cx="4876800" cy="542925"/>
        </a:xfrm>
        <a:prstGeom prst="rect">
          <a:avLst/>
        </a:prstGeom>
        <a:noFill/>
        <a:ln w="9525">
          <a:noFill/>
          <a:miter lim="800000"/>
          <a:headEnd/>
          <a:tailEnd/>
        </a:ln>
      </xdr:spPr>
      <xdr:txBody>
        <a:bodyPr vertOverflow="clip" wrap="square" lIns="36576" tIns="32004" rIns="36576" bIns="0" anchor="t" upright="1"/>
        <a:lstStyle/>
        <a:p>
          <a:pPr algn="ctr" rtl="0">
            <a:defRPr sz="1000"/>
          </a:pPr>
          <a:r>
            <a:rPr lang="en-AU" sz="1600" b="1" i="0" strike="noStrike">
              <a:solidFill>
                <a:srgbClr val="000000"/>
              </a:solidFill>
              <a:latin typeface="Arial"/>
              <a:cs typeface="Arial"/>
            </a:rPr>
            <a:t>Home Loan, Investment Home Loan</a:t>
          </a:r>
        </a:p>
        <a:p>
          <a:pPr algn="ctr" rtl="0">
            <a:defRPr sz="1000"/>
          </a:pPr>
          <a:r>
            <a:rPr lang="en-AU" sz="1600" b="1" i="0" strike="noStrike">
              <a:solidFill>
                <a:srgbClr val="000000"/>
              </a:solidFill>
              <a:latin typeface="Arial"/>
              <a:cs typeface="Arial"/>
            </a:rPr>
            <a:t>and Line of Credit Calculator</a:t>
          </a:r>
        </a:p>
      </xdr:txBody>
    </xdr:sp>
    <xdr:clientData/>
  </xdr:twoCellAnchor>
  <xdr:twoCellAnchor>
    <xdr:from>
      <xdr:col>1</xdr:col>
      <xdr:colOff>266700</xdr:colOff>
      <xdr:row>19</xdr:row>
      <xdr:rowOff>9525</xdr:rowOff>
    </xdr:from>
    <xdr:to>
      <xdr:col>10</xdr:col>
      <xdr:colOff>266700</xdr:colOff>
      <xdr:row>23</xdr:row>
      <xdr:rowOff>0</xdr:rowOff>
    </xdr:to>
    <xdr:sp macro="[0]!cmdBasic" textlink="">
      <xdr:nvSpPr>
        <xdr:cNvPr id="1027" name="AutoShape 3">
          <a:extLst>
            <a:ext uri="{FF2B5EF4-FFF2-40B4-BE49-F238E27FC236}">
              <a16:creationId xmlns:a16="http://schemas.microsoft.com/office/drawing/2014/main" id="{00000000-0008-0000-0000-000003040000}"/>
            </a:ext>
          </a:extLst>
        </xdr:cNvPr>
        <xdr:cNvSpPr>
          <a:spLocks noChangeArrowheads="1"/>
        </xdr:cNvSpPr>
      </xdr:nvSpPr>
      <xdr:spPr bwMode="auto">
        <a:xfrm>
          <a:off x="876300" y="3086100"/>
          <a:ext cx="5562600" cy="638175"/>
        </a:xfrm>
        <a:prstGeom prst="bevel">
          <a:avLst>
            <a:gd name="adj" fmla="val 12500"/>
          </a:avLst>
        </a:prstGeom>
        <a:solidFill>
          <a:srgbClr val="CCFFCC"/>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Basic Loan Repayment Calculator</a:t>
          </a:r>
        </a:p>
      </xdr:txBody>
    </xdr:sp>
    <xdr:clientData/>
  </xdr:twoCellAnchor>
  <xdr:twoCellAnchor>
    <xdr:from>
      <xdr:col>1</xdr:col>
      <xdr:colOff>257175</xdr:colOff>
      <xdr:row>9</xdr:row>
      <xdr:rowOff>9525</xdr:rowOff>
    </xdr:from>
    <xdr:to>
      <xdr:col>10</xdr:col>
      <xdr:colOff>257175</xdr:colOff>
      <xdr:row>12</xdr:row>
      <xdr:rowOff>152400</xdr:rowOff>
    </xdr:to>
    <xdr:sp macro="[0]!cmdCalculator" textlink="">
      <xdr:nvSpPr>
        <xdr:cNvPr id="1028" name="AutoShape 4">
          <a:extLst>
            <a:ext uri="{FF2B5EF4-FFF2-40B4-BE49-F238E27FC236}">
              <a16:creationId xmlns:a16="http://schemas.microsoft.com/office/drawing/2014/main" id="{00000000-0008-0000-0000-000004040000}"/>
            </a:ext>
          </a:extLst>
        </xdr:cNvPr>
        <xdr:cNvSpPr>
          <a:spLocks noChangeArrowheads="1"/>
        </xdr:cNvSpPr>
      </xdr:nvSpPr>
      <xdr:spPr bwMode="auto">
        <a:xfrm>
          <a:off x="866775" y="1466850"/>
          <a:ext cx="5486400" cy="628650"/>
        </a:xfrm>
        <a:prstGeom prst="bevel">
          <a:avLst>
            <a:gd name="adj" fmla="val 12500"/>
          </a:avLst>
        </a:prstGeom>
        <a:solidFill>
          <a:srgbClr val="FFFF99"/>
        </a:solidFill>
        <a:ln w="9525">
          <a:solidFill>
            <a:srgbClr val="000000"/>
          </a:solidFill>
          <a:miter lim="800000"/>
          <a:headEnd/>
          <a:tailEnd/>
        </a:ln>
      </xdr:spPr>
      <xdr:txBody>
        <a:bodyPr vertOverflow="clip" wrap="square" lIns="36576" tIns="27432" rIns="36576" bIns="0" anchor="t" upright="1"/>
        <a:lstStyle/>
        <a:p>
          <a:pPr algn="ctr" rtl="0">
            <a:defRPr sz="1000"/>
          </a:pPr>
          <a:r>
            <a:rPr lang="en-AU" sz="1400" b="1" i="0" strike="noStrike">
              <a:solidFill>
                <a:srgbClr val="000000"/>
              </a:solidFill>
              <a:latin typeface="Arial"/>
              <a:cs typeface="Arial"/>
            </a:rPr>
            <a:t>Home Loan, Investment Home Loan and Viridian Line of Credit Servicing Calculator</a:t>
          </a:r>
        </a:p>
      </xdr:txBody>
    </xdr:sp>
    <xdr:clientData/>
  </xdr:twoCellAnchor>
  <xdr:twoCellAnchor>
    <xdr:from>
      <xdr:col>1</xdr:col>
      <xdr:colOff>266700</xdr:colOff>
      <xdr:row>24</xdr:row>
      <xdr:rowOff>9525</xdr:rowOff>
    </xdr:from>
    <xdr:to>
      <xdr:col>10</xdr:col>
      <xdr:colOff>266700</xdr:colOff>
      <xdr:row>28</xdr:row>
      <xdr:rowOff>9525</xdr:rowOff>
    </xdr:to>
    <xdr:sp macro="[0]!cmdYTDIncome" textlink="">
      <xdr:nvSpPr>
        <xdr:cNvPr id="1029" name="AutoShape 5">
          <a:extLst>
            <a:ext uri="{FF2B5EF4-FFF2-40B4-BE49-F238E27FC236}">
              <a16:creationId xmlns:a16="http://schemas.microsoft.com/office/drawing/2014/main" id="{00000000-0008-0000-0000-000005040000}"/>
            </a:ext>
          </a:extLst>
        </xdr:cNvPr>
        <xdr:cNvSpPr>
          <a:spLocks noChangeArrowheads="1"/>
        </xdr:cNvSpPr>
      </xdr:nvSpPr>
      <xdr:spPr bwMode="auto">
        <a:xfrm>
          <a:off x="876300" y="3895725"/>
          <a:ext cx="5562600" cy="647700"/>
        </a:xfrm>
        <a:prstGeom prst="bevel">
          <a:avLst>
            <a:gd name="adj" fmla="val 12500"/>
          </a:avLst>
        </a:prstGeom>
        <a:solidFill>
          <a:srgbClr val="CCFFFF"/>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Year to Date Income Calculator</a:t>
          </a:r>
        </a:p>
      </xdr:txBody>
    </xdr:sp>
    <xdr:clientData/>
  </xdr:twoCellAnchor>
  <xdr:twoCellAnchor>
    <xdr:from>
      <xdr:col>1</xdr:col>
      <xdr:colOff>266700</xdr:colOff>
      <xdr:row>14</xdr:row>
      <xdr:rowOff>9525</xdr:rowOff>
    </xdr:from>
    <xdr:to>
      <xdr:col>10</xdr:col>
      <xdr:colOff>266700</xdr:colOff>
      <xdr:row>18</xdr:row>
      <xdr:rowOff>0</xdr:rowOff>
    </xdr:to>
    <xdr:sp macro="[0]!cmdBridging" textlink="">
      <xdr:nvSpPr>
        <xdr:cNvPr id="16" name="AutoShape 3">
          <a:extLst>
            <a:ext uri="{FF2B5EF4-FFF2-40B4-BE49-F238E27FC236}">
              <a16:creationId xmlns:a16="http://schemas.microsoft.com/office/drawing/2014/main" id="{00000000-0008-0000-0000-000010000000}"/>
            </a:ext>
          </a:extLst>
        </xdr:cNvPr>
        <xdr:cNvSpPr>
          <a:spLocks noChangeArrowheads="1"/>
        </xdr:cNvSpPr>
      </xdr:nvSpPr>
      <xdr:spPr bwMode="auto">
        <a:xfrm>
          <a:off x="876300" y="2276475"/>
          <a:ext cx="5562600" cy="638175"/>
        </a:xfrm>
        <a:prstGeom prst="bevel">
          <a:avLst>
            <a:gd name="adj" fmla="val 12500"/>
          </a:avLst>
        </a:prstGeom>
        <a:solidFill>
          <a:schemeClr val="accent2">
            <a:lumMod val="40000"/>
            <a:lumOff val="60000"/>
          </a:schemeClr>
        </a:solidFill>
        <a:ln w="9525">
          <a:solidFill>
            <a:srgbClr val="000000"/>
          </a:solidFill>
          <a:miter lim="800000"/>
          <a:headEnd/>
          <a:tailEnd/>
        </a:ln>
      </xdr:spPr>
      <xdr:txBody>
        <a:bodyPr vertOverflow="clip" wrap="square" lIns="45720" tIns="41148" rIns="45720" bIns="41148" anchor="ctr" upright="1"/>
        <a:lstStyle/>
        <a:p>
          <a:pPr marL="0" marR="0" lvl="0" indent="0" algn="ctr" defTabSz="914400" rtl="0" eaLnBrk="1" fontAlgn="auto" latinLnBrk="0" hangingPunct="1">
            <a:lnSpc>
              <a:spcPct val="100000"/>
            </a:lnSpc>
            <a:spcBef>
              <a:spcPts val="0"/>
            </a:spcBef>
            <a:spcAft>
              <a:spcPts val="0"/>
            </a:spcAft>
            <a:buClrTx/>
            <a:buSzTx/>
            <a:buFontTx/>
            <a:buNone/>
            <a:tabLst/>
            <a:defRPr sz="1000"/>
          </a:pPr>
          <a:r>
            <a:rPr kumimoji="0" lang="en-AU" sz="2000" b="1" i="0" u="none" strike="noStrike" kern="0" cap="none" spc="0" normalizeH="0" baseline="0" noProof="0">
              <a:ln>
                <a:noFill/>
              </a:ln>
              <a:solidFill>
                <a:srgbClr val="000000"/>
              </a:solidFill>
              <a:effectLst/>
              <a:uLnTx/>
              <a:uFillTx/>
              <a:latin typeface="Arial"/>
              <a:cs typeface="Arial"/>
            </a:rPr>
            <a:t>Bridging Calculator</a:t>
          </a:r>
        </a:p>
      </xdr:txBody>
    </xdr:sp>
    <xdr:clientData/>
  </xdr:twoCellAnchor>
  <xdr:twoCellAnchor>
    <xdr:from>
      <xdr:col>1</xdr:col>
      <xdr:colOff>276225</xdr:colOff>
      <xdr:row>33</xdr:row>
      <xdr:rowOff>152400</xdr:rowOff>
    </xdr:from>
    <xdr:to>
      <xdr:col>10</xdr:col>
      <xdr:colOff>276225</xdr:colOff>
      <xdr:row>37</xdr:row>
      <xdr:rowOff>152400</xdr:rowOff>
    </xdr:to>
    <xdr:sp macro="[0]!cmdUSer" textlink="">
      <xdr:nvSpPr>
        <xdr:cNvPr id="8" name="AutoShape 5">
          <a:extLst>
            <a:ext uri="{FF2B5EF4-FFF2-40B4-BE49-F238E27FC236}">
              <a16:creationId xmlns:a16="http://schemas.microsoft.com/office/drawing/2014/main" id="{00000000-0008-0000-0000-000008000000}"/>
            </a:ext>
          </a:extLst>
        </xdr:cNvPr>
        <xdr:cNvSpPr>
          <a:spLocks noChangeArrowheads="1"/>
        </xdr:cNvSpPr>
      </xdr:nvSpPr>
      <xdr:spPr bwMode="auto">
        <a:xfrm>
          <a:off x="885825" y="5495925"/>
          <a:ext cx="5562600" cy="647700"/>
        </a:xfrm>
        <a:prstGeom prst="bevel">
          <a:avLst>
            <a:gd name="adj" fmla="val 12500"/>
          </a:avLst>
        </a:prstGeom>
        <a:solidFill>
          <a:schemeClr val="bg1">
            <a:lumMod val="85000"/>
          </a:schemeClr>
        </a:solidFill>
        <a:ln w="9525">
          <a:solidFill>
            <a:srgbClr val="000000"/>
          </a:solidFill>
          <a:miter lim="800000"/>
          <a:headEnd/>
          <a:tailEnd/>
        </a:ln>
      </xdr:spPr>
      <xdr:txBody>
        <a:bodyPr vertOverflow="clip" wrap="square" lIns="45720" tIns="41148" rIns="45720" bIns="41148" anchor="ctr" upright="1"/>
        <a:lstStyle/>
        <a:p>
          <a:pPr algn="ctr" rtl="0">
            <a:defRPr sz="1000"/>
          </a:pPr>
          <a:r>
            <a:rPr lang="en-AU" sz="2000" b="1" i="0" strike="noStrike">
              <a:solidFill>
                <a:srgbClr val="000000"/>
              </a:solidFill>
              <a:latin typeface="Arial"/>
              <a:cs typeface="Arial"/>
            </a:rPr>
            <a:t>User Guide</a:t>
          </a:r>
        </a:p>
      </xdr:txBody>
    </xdr:sp>
    <xdr:clientData/>
  </xdr:twoCellAnchor>
  <xdr:twoCellAnchor>
    <xdr:from>
      <xdr:col>1</xdr:col>
      <xdr:colOff>285750</xdr:colOff>
      <xdr:row>29</xdr:row>
      <xdr:rowOff>0</xdr:rowOff>
    </xdr:from>
    <xdr:to>
      <xdr:col>10</xdr:col>
      <xdr:colOff>266700</xdr:colOff>
      <xdr:row>33</xdr:row>
      <xdr:rowOff>0</xdr:rowOff>
    </xdr:to>
    <xdr:sp macro="[0]!cmdNetToGross" textlink="">
      <xdr:nvSpPr>
        <xdr:cNvPr id="9" name="AutoShape 4">
          <a:extLst>
            <a:ext uri="{FF2B5EF4-FFF2-40B4-BE49-F238E27FC236}">
              <a16:creationId xmlns:a16="http://schemas.microsoft.com/office/drawing/2014/main" id="{00000000-0008-0000-0000-000009000000}"/>
            </a:ext>
          </a:extLst>
        </xdr:cNvPr>
        <xdr:cNvSpPr>
          <a:spLocks noChangeArrowheads="1"/>
        </xdr:cNvSpPr>
      </xdr:nvSpPr>
      <xdr:spPr bwMode="auto">
        <a:xfrm>
          <a:off x="895350" y="4695825"/>
          <a:ext cx="5543550" cy="647700"/>
        </a:xfrm>
        <a:prstGeom prst="bevel">
          <a:avLst>
            <a:gd name="adj" fmla="val 12500"/>
          </a:avLst>
        </a:prstGeom>
        <a:solidFill>
          <a:srgbClr val="FFCC99"/>
        </a:solidFill>
        <a:ln w="9525">
          <a:solidFill>
            <a:srgbClr val="000000"/>
          </a:solidFill>
          <a:miter lim="800000"/>
          <a:headEnd/>
          <a:tailEnd/>
        </a:ln>
      </xdr:spPr>
      <xdr:txBody>
        <a:bodyPr vertOverflow="clip" wrap="square" lIns="36576" tIns="32004" rIns="36576" bIns="32004" anchor="ctr" upright="1"/>
        <a:lstStyle/>
        <a:p>
          <a:pPr marL="0" indent="0" algn="ctr" rtl="0">
            <a:defRPr sz="1000"/>
          </a:pPr>
          <a:r>
            <a:rPr lang="en-AU" sz="2000" b="1" i="0" strike="noStrike">
              <a:solidFill>
                <a:srgbClr val="000000"/>
              </a:solidFill>
              <a:latin typeface="Arial"/>
              <a:ea typeface="+mn-ea"/>
              <a:cs typeface="Arial"/>
            </a:rPr>
            <a:t>Net To Gross Calculator</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165100</xdr:colOff>
          <xdr:row>2</xdr:row>
          <xdr:rowOff>0</xdr:rowOff>
        </xdr:from>
        <xdr:to>
          <xdr:col>14</xdr:col>
          <xdr:colOff>0</xdr:colOff>
          <xdr:row>3</xdr:row>
          <xdr:rowOff>177800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143</xdr:row>
          <xdr:rowOff>76200</xdr:rowOff>
        </xdr:from>
        <xdr:to>
          <xdr:col>2</xdr:col>
          <xdr:colOff>444500</xdr:colOff>
          <xdr:row>145</xdr:row>
          <xdr:rowOff>88900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2</xdr:row>
          <xdr:rowOff>215900</xdr:rowOff>
        </xdr:from>
        <xdr:to>
          <xdr:col>1</xdr:col>
          <xdr:colOff>787400</xdr:colOff>
          <xdr:row>4</xdr:row>
          <xdr:rowOff>139700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939800</xdr:colOff>
          <xdr:row>3</xdr:row>
          <xdr:rowOff>0</xdr:rowOff>
        </xdr:from>
        <xdr:to>
          <xdr:col>1</xdr:col>
          <xdr:colOff>1727200</xdr:colOff>
          <xdr:row>4</xdr:row>
          <xdr:rowOff>139700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70</xdr:row>
          <xdr:rowOff>0</xdr:rowOff>
        </xdr:from>
        <xdr:to>
          <xdr:col>2</xdr:col>
          <xdr:colOff>914400</xdr:colOff>
          <xdr:row>71</xdr:row>
          <xdr:rowOff>114300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127000</xdr:colOff>
          <xdr:row>70</xdr:row>
          <xdr:rowOff>0</xdr:rowOff>
        </xdr:from>
        <xdr:to>
          <xdr:col>4</xdr:col>
          <xdr:colOff>609600</xdr:colOff>
          <xdr:row>71</xdr:row>
          <xdr:rowOff>127000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46</xdr:row>
          <xdr:rowOff>114300</xdr:rowOff>
        </xdr:from>
        <xdr:to>
          <xdr:col>12</xdr:col>
          <xdr:colOff>0</xdr:colOff>
          <xdr:row>47</xdr:row>
          <xdr:rowOff>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24</xdr:row>
          <xdr:rowOff>12700</xdr:rowOff>
        </xdr:from>
        <xdr:to>
          <xdr:col>5</xdr:col>
          <xdr:colOff>711200</xdr:colOff>
          <xdr:row>25</xdr:row>
          <xdr:rowOff>25400</xdr:rowOff>
        </xdr:to>
        <xdr:sp macro="" textlink="">
          <xdr:nvSpPr>
            <xdr:cNvPr id="3078" name="Object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24</xdr:row>
          <xdr:rowOff>12700</xdr:rowOff>
        </xdr:from>
        <xdr:to>
          <xdr:col>10</xdr:col>
          <xdr:colOff>292100</xdr:colOff>
          <xdr:row>25</xdr:row>
          <xdr:rowOff>25400</xdr:rowOff>
        </xdr:to>
        <xdr:sp macro="" textlink="">
          <xdr:nvSpPr>
            <xdr:cNvPr id="3079" name="Object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58</xdr:row>
          <xdr:rowOff>165100</xdr:rowOff>
        </xdr:from>
        <xdr:to>
          <xdr:col>12</xdr:col>
          <xdr:colOff>0</xdr:colOff>
          <xdr:row>60</xdr:row>
          <xdr:rowOff>25400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215900</xdr:colOff>
          <xdr:row>2</xdr:row>
          <xdr:rowOff>215900</xdr:rowOff>
        </xdr:from>
        <xdr:to>
          <xdr:col>11</xdr:col>
          <xdr:colOff>1016000</xdr:colOff>
          <xdr:row>4</xdr:row>
          <xdr:rowOff>152400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Arial" pitchFamily="2" charset="0"/>
                  <a:cs typeface="Arial"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863600</xdr:colOff>
          <xdr:row>70</xdr:row>
          <xdr:rowOff>0</xdr:rowOff>
        </xdr:from>
        <xdr:to>
          <xdr:col>5</xdr:col>
          <xdr:colOff>558800</xdr:colOff>
          <xdr:row>71</xdr:row>
          <xdr:rowOff>127000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400" b="1" i="0" u="none" strike="noStrike" baseline="0">
                  <a:solidFill>
                    <a:srgbClr val="000000"/>
                  </a:solidFill>
                  <a:latin typeface="Arial" pitchFamily="2" charset="0"/>
                  <a:cs typeface="Arial"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xdr:row>
          <xdr:rowOff>12700</xdr:rowOff>
        </xdr:from>
        <xdr:to>
          <xdr:col>12</xdr:col>
          <xdr:colOff>0</xdr:colOff>
          <xdr:row>2</xdr:row>
          <xdr:rowOff>76200</xdr:rowOff>
        </xdr:to>
        <xdr:sp macro="" textlink="">
          <xdr:nvSpPr>
            <xdr:cNvPr id="3135" name="Object 63"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19</xdr:row>
          <xdr:rowOff>63500</xdr:rowOff>
        </xdr:from>
        <xdr:to>
          <xdr:col>5</xdr:col>
          <xdr:colOff>711200</xdr:colOff>
          <xdr:row>20</xdr:row>
          <xdr:rowOff>76200</xdr:rowOff>
        </xdr:to>
        <xdr:sp macro="" textlink="">
          <xdr:nvSpPr>
            <xdr:cNvPr id="3136" name="Object 64"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63500</xdr:colOff>
          <xdr:row>19</xdr:row>
          <xdr:rowOff>76200</xdr:rowOff>
        </xdr:from>
        <xdr:to>
          <xdr:col>10</xdr:col>
          <xdr:colOff>292100</xdr:colOff>
          <xdr:row>20</xdr:row>
          <xdr:rowOff>88900</xdr:rowOff>
        </xdr:to>
        <xdr:sp macro="" textlink="">
          <xdr:nvSpPr>
            <xdr:cNvPr id="3137" name="Object 65"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12700</xdr:colOff>
          <xdr:row>5</xdr:row>
          <xdr:rowOff>63500</xdr:rowOff>
        </xdr:from>
        <xdr:to>
          <xdr:col>9</xdr:col>
          <xdr:colOff>850900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50800</xdr:colOff>
          <xdr:row>83</xdr:row>
          <xdr:rowOff>76200</xdr:rowOff>
        </xdr:from>
        <xdr:to>
          <xdr:col>2</xdr:col>
          <xdr:colOff>609600</xdr:colOff>
          <xdr:row>85</xdr:row>
          <xdr:rowOff>50800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1016000</xdr:colOff>
          <xdr:row>5</xdr:row>
          <xdr:rowOff>63500</xdr:rowOff>
        </xdr:from>
        <xdr:to>
          <xdr:col>11</xdr:col>
          <xdr:colOff>1016000</xdr:colOff>
          <xdr:row>6</xdr:row>
          <xdr:rowOff>152400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711200</xdr:colOff>
          <xdr:row>83</xdr:row>
          <xdr:rowOff>76200</xdr:rowOff>
        </xdr:from>
        <xdr:to>
          <xdr:col>4</xdr:col>
          <xdr:colOff>190500</xdr:colOff>
          <xdr:row>85</xdr:row>
          <xdr:rowOff>50800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330200</xdr:colOff>
          <xdr:row>1</xdr:row>
          <xdr:rowOff>12700</xdr:rowOff>
        </xdr:from>
        <xdr:to>
          <xdr:col>12</xdr:col>
          <xdr:colOff>0</xdr:colOff>
          <xdr:row>2</xdr:row>
          <xdr:rowOff>215900</xdr:rowOff>
        </xdr:to>
        <xdr:sp macro="" textlink="">
          <xdr:nvSpPr>
            <xdr:cNvPr id="4104" name="Object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660400</xdr:colOff>
          <xdr:row>2</xdr:row>
          <xdr:rowOff>101600</xdr:rowOff>
        </xdr:from>
        <xdr:to>
          <xdr:col>6</xdr:col>
          <xdr:colOff>520700</xdr:colOff>
          <xdr:row>2</xdr:row>
          <xdr:rowOff>406400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584200</xdr:colOff>
          <xdr:row>2</xdr:row>
          <xdr:rowOff>88900</xdr:rowOff>
        </xdr:from>
        <xdr:to>
          <xdr:col>8</xdr:col>
          <xdr:colOff>0</xdr:colOff>
          <xdr:row>2</xdr:row>
          <xdr:rowOff>406400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50800</xdr:colOff>
          <xdr:row>27</xdr:row>
          <xdr:rowOff>0</xdr:rowOff>
        </xdr:from>
        <xdr:to>
          <xdr:col>8</xdr:col>
          <xdr:colOff>0</xdr:colOff>
          <xdr:row>28</xdr:row>
          <xdr:rowOff>152400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63500</xdr:colOff>
          <xdr:row>29</xdr:row>
          <xdr:rowOff>50800</xdr:rowOff>
        </xdr:from>
        <xdr:to>
          <xdr:col>8</xdr:col>
          <xdr:colOff>0</xdr:colOff>
          <xdr:row>31</xdr:row>
          <xdr:rowOff>139700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127000</xdr:colOff>
          <xdr:row>1</xdr:row>
          <xdr:rowOff>12700</xdr:rowOff>
        </xdr:from>
        <xdr:to>
          <xdr:col>7</xdr:col>
          <xdr:colOff>939800</xdr:colOff>
          <xdr:row>2</xdr:row>
          <xdr:rowOff>25400</xdr:rowOff>
        </xdr:to>
        <xdr:sp macro="" textlink="">
          <xdr:nvSpPr>
            <xdr:cNvPr id="5130" name="Object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139700</xdr:colOff>
          <xdr:row>1</xdr:row>
          <xdr:rowOff>12700</xdr:rowOff>
        </xdr:from>
        <xdr:to>
          <xdr:col>10</xdr:col>
          <xdr:colOff>1066800</xdr:colOff>
          <xdr:row>2</xdr:row>
          <xdr:rowOff>76200</xdr:rowOff>
        </xdr:to>
        <xdr:sp macro="" textlink="">
          <xdr:nvSpPr>
            <xdr:cNvPr id="20481" name="Object 1" hidden="1">
              <a:extLst>
                <a:ext uri="{63B3BB69-23CF-44E3-9099-C40C66FF867C}">
                  <a14:compatExt spid="_x0000_s20481"/>
                </a:ext>
                <a:ext uri="{FF2B5EF4-FFF2-40B4-BE49-F238E27FC236}">
                  <a16:creationId xmlns:a16="http://schemas.microsoft.com/office/drawing/2014/main" id="{00000000-0008-0000-0500-0000015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56</xdr:row>
          <xdr:rowOff>12700</xdr:rowOff>
        </xdr:from>
        <xdr:to>
          <xdr:col>7</xdr:col>
          <xdr:colOff>330200</xdr:colOff>
          <xdr:row>57</xdr:row>
          <xdr:rowOff>114300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500-000002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56</xdr:row>
          <xdr:rowOff>0</xdr:rowOff>
        </xdr:from>
        <xdr:to>
          <xdr:col>5</xdr:col>
          <xdr:colOff>762000</xdr:colOff>
          <xdr:row>57</xdr:row>
          <xdr:rowOff>101600</xdr:rowOff>
        </xdr:to>
        <xdr:sp macro="" textlink="">
          <xdr:nvSpPr>
            <xdr:cNvPr id="20483" name="Button 3" hidden="1">
              <a:extLst>
                <a:ext uri="{63B3BB69-23CF-44E3-9099-C40C66FF867C}">
                  <a14:compatExt spid="_x0000_s20483"/>
                </a:ext>
                <a:ext uri="{FF2B5EF4-FFF2-40B4-BE49-F238E27FC236}">
                  <a16:creationId xmlns:a16="http://schemas.microsoft.com/office/drawing/2014/main" id="{00000000-0008-0000-0500-000003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2</xdr:row>
          <xdr:rowOff>25400</xdr:rowOff>
        </xdr:from>
        <xdr:to>
          <xdr:col>5</xdr:col>
          <xdr:colOff>774700</xdr:colOff>
          <xdr:row>2</xdr:row>
          <xdr:rowOff>292100</xdr:rowOff>
        </xdr:to>
        <xdr:sp macro="" textlink="">
          <xdr:nvSpPr>
            <xdr:cNvPr id="20484" name="Button 4" hidden="1">
              <a:extLst>
                <a:ext uri="{63B3BB69-23CF-44E3-9099-C40C66FF867C}">
                  <a14:compatExt spid="_x0000_s20484"/>
                </a:ext>
                <a:ext uri="{FF2B5EF4-FFF2-40B4-BE49-F238E27FC236}">
                  <a16:creationId xmlns:a16="http://schemas.microsoft.com/office/drawing/2014/main" id="{00000000-0008-0000-0500-000004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25400</xdr:rowOff>
        </xdr:from>
        <xdr:to>
          <xdr:col>7</xdr:col>
          <xdr:colOff>330200</xdr:colOff>
          <xdr:row>2</xdr:row>
          <xdr:rowOff>292100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500-0000055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Calculator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63500</xdr:colOff>
          <xdr:row>24</xdr:row>
          <xdr:rowOff>25400</xdr:rowOff>
        </xdr:from>
        <xdr:to>
          <xdr:col>9</xdr:col>
          <xdr:colOff>292100</xdr:colOff>
          <xdr:row>25</xdr:row>
          <xdr:rowOff>38100</xdr:rowOff>
        </xdr:to>
        <xdr:sp macro="" textlink="">
          <xdr:nvSpPr>
            <xdr:cNvPr id="13313" name="Object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990600</xdr:colOff>
          <xdr:row>46</xdr:row>
          <xdr:rowOff>76200</xdr:rowOff>
        </xdr:from>
        <xdr:to>
          <xdr:col>12</xdr:col>
          <xdr:colOff>0</xdr:colOff>
          <xdr:row>46</xdr:row>
          <xdr:rowOff>355600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600-000002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xdr:row>
          <xdr:rowOff>139700</xdr:rowOff>
        </xdr:from>
        <xdr:to>
          <xdr:col>1</xdr:col>
          <xdr:colOff>850900</xdr:colOff>
          <xdr:row>4</xdr:row>
          <xdr:rowOff>0</xdr:rowOff>
        </xdr:to>
        <xdr:sp macro="" textlink="">
          <xdr:nvSpPr>
            <xdr:cNvPr id="13316" name="Button 4" hidden="1">
              <a:extLst>
                <a:ext uri="{63B3BB69-23CF-44E3-9099-C40C66FF867C}">
                  <a14:compatExt spid="_x0000_s13316"/>
                </a:ext>
                <a:ext uri="{FF2B5EF4-FFF2-40B4-BE49-F238E27FC236}">
                  <a16:creationId xmlns:a16="http://schemas.microsoft.com/office/drawing/2014/main" id="{00000000-0008-0000-0600-000004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215900</xdr:colOff>
          <xdr:row>2</xdr:row>
          <xdr:rowOff>215900</xdr:rowOff>
        </xdr:from>
        <xdr:to>
          <xdr:col>11</xdr:col>
          <xdr:colOff>1054100</xdr:colOff>
          <xdr:row>4</xdr:row>
          <xdr:rowOff>63500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600-000005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1041400</xdr:colOff>
          <xdr:row>2</xdr:row>
          <xdr:rowOff>139700</xdr:rowOff>
        </xdr:from>
        <xdr:to>
          <xdr:col>1</xdr:col>
          <xdr:colOff>1828800</xdr:colOff>
          <xdr:row>4</xdr:row>
          <xdr:rowOff>0</xdr:rowOff>
        </xdr:to>
        <xdr:sp macro="" textlink="">
          <xdr:nvSpPr>
            <xdr:cNvPr id="13318" name="Button 6" hidden="1">
              <a:extLst>
                <a:ext uri="{63B3BB69-23CF-44E3-9099-C40C66FF867C}">
                  <a14:compatExt spid="_x0000_s13318"/>
                </a:ext>
                <a:ext uri="{FF2B5EF4-FFF2-40B4-BE49-F238E27FC236}">
                  <a16:creationId xmlns:a16="http://schemas.microsoft.com/office/drawing/2014/main" id="{00000000-0008-0000-0600-000006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77</xdr:row>
          <xdr:rowOff>101600</xdr:rowOff>
        </xdr:from>
        <xdr:to>
          <xdr:col>1</xdr:col>
          <xdr:colOff>838200</xdr:colOff>
          <xdr:row>79</xdr:row>
          <xdr:rowOff>76200</xdr:rowOff>
        </xdr:to>
        <xdr:sp macro="" textlink="">
          <xdr:nvSpPr>
            <xdr:cNvPr id="13319" name="Button 7" hidden="1">
              <a:extLst>
                <a:ext uri="{63B3BB69-23CF-44E3-9099-C40C66FF867C}">
                  <a14:compatExt spid="_x0000_s13319"/>
                </a:ext>
                <a:ext uri="{FF2B5EF4-FFF2-40B4-BE49-F238E27FC236}">
                  <a16:creationId xmlns:a16="http://schemas.microsoft.com/office/drawing/2014/main" id="{00000000-0008-0000-0600-000007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77</xdr:row>
          <xdr:rowOff>101600</xdr:rowOff>
        </xdr:from>
        <xdr:to>
          <xdr:col>3</xdr:col>
          <xdr:colOff>850900</xdr:colOff>
          <xdr:row>79</xdr:row>
          <xdr:rowOff>76200</xdr:rowOff>
        </xdr:to>
        <xdr:sp macro="" textlink="">
          <xdr:nvSpPr>
            <xdr:cNvPr id="13320" name="Button 8" hidden="1">
              <a:extLst>
                <a:ext uri="{63B3BB69-23CF-44E3-9099-C40C66FF867C}">
                  <a14:compatExt spid="_x0000_s13320"/>
                </a:ext>
                <a:ext uri="{FF2B5EF4-FFF2-40B4-BE49-F238E27FC236}">
                  <a16:creationId xmlns:a16="http://schemas.microsoft.com/office/drawing/2014/main" id="{00000000-0008-0000-0600-000008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1" i="0" u="none" strike="noStrike" baseline="0">
                  <a:solidFill>
                    <a:srgbClr val="000000"/>
                  </a:solidFill>
                  <a:latin typeface="Arial" pitchFamily="2" charset="0"/>
                  <a:cs typeface="Arial" pitchFamily="2" charset="0"/>
                </a:rPr>
                <a:t>Print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952500</xdr:colOff>
          <xdr:row>77</xdr:row>
          <xdr:rowOff>101600</xdr:rowOff>
        </xdr:from>
        <xdr:to>
          <xdr:col>1</xdr:col>
          <xdr:colOff>1790700</xdr:colOff>
          <xdr:row>79</xdr:row>
          <xdr:rowOff>76200</xdr:rowOff>
        </xdr:to>
        <xdr:sp macro="" textlink="">
          <xdr:nvSpPr>
            <xdr:cNvPr id="13321" name="Button 9" hidden="1">
              <a:extLst>
                <a:ext uri="{63B3BB69-23CF-44E3-9099-C40C66FF867C}">
                  <a14:compatExt spid="_x0000_s13321"/>
                </a:ext>
                <a:ext uri="{FF2B5EF4-FFF2-40B4-BE49-F238E27FC236}">
                  <a16:creationId xmlns:a16="http://schemas.microsoft.com/office/drawing/2014/main" id="{00000000-0008-0000-0600-000009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70</xdr:row>
          <xdr:rowOff>63500</xdr:rowOff>
        </xdr:from>
        <xdr:to>
          <xdr:col>7</xdr:col>
          <xdr:colOff>215900</xdr:colOff>
          <xdr:row>71</xdr:row>
          <xdr:rowOff>165100</xdr:rowOff>
        </xdr:to>
        <xdr:sp macro="" textlink="">
          <xdr:nvSpPr>
            <xdr:cNvPr id="13322" name="Button 10" hidden="1">
              <a:extLst>
                <a:ext uri="{63B3BB69-23CF-44E3-9099-C40C66FF867C}">
                  <a14:compatExt spid="_x0000_s13322"/>
                </a:ext>
                <a:ext uri="{FF2B5EF4-FFF2-40B4-BE49-F238E27FC236}">
                  <a16:creationId xmlns:a16="http://schemas.microsoft.com/office/drawing/2014/main" id="{00000000-0008-0000-0600-00000A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Negative Gearing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1</xdr:row>
          <xdr:rowOff>12700</xdr:rowOff>
        </xdr:from>
        <xdr:to>
          <xdr:col>11</xdr:col>
          <xdr:colOff>1054100</xdr:colOff>
          <xdr:row>2</xdr:row>
          <xdr:rowOff>63500</xdr:rowOff>
        </xdr:to>
        <xdr:sp macro="" textlink="">
          <xdr:nvSpPr>
            <xdr:cNvPr id="13324" name="Object 12" hidden="1">
              <a:extLst>
                <a:ext uri="{63B3BB69-23CF-44E3-9099-C40C66FF867C}">
                  <a14:compatExt spid="_x0000_s13324"/>
                </a:ext>
                <a:ext uri="{FF2B5EF4-FFF2-40B4-BE49-F238E27FC236}">
                  <a16:creationId xmlns:a16="http://schemas.microsoft.com/office/drawing/2014/main" id="{00000000-0008-0000-0600-00000C3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24</xdr:row>
          <xdr:rowOff>25400</xdr:rowOff>
        </xdr:from>
        <xdr:to>
          <xdr:col>4</xdr:col>
          <xdr:colOff>762000</xdr:colOff>
          <xdr:row>25</xdr:row>
          <xdr:rowOff>38100</xdr:rowOff>
        </xdr:to>
        <xdr:sp macro="" textlink="">
          <xdr:nvSpPr>
            <xdr:cNvPr id="13325" name="Object 13" hidden="1">
              <a:extLst>
                <a:ext uri="{63B3BB69-23CF-44E3-9099-C40C66FF867C}">
                  <a14:compatExt spid="_x0000_s13325"/>
                </a:ext>
                <a:ext uri="{FF2B5EF4-FFF2-40B4-BE49-F238E27FC236}">
                  <a16:creationId xmlns:a16="http://schemas.microsoft.com/office/drawing/2014/main" id="{00000000-0008-0000-0600-00000D3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533400</xdr:colOff>
          <xdr:row>19</xdr:row>
          <xdr:rowOff>76200</xdr:rowOff>
        </xdr:from>
        <xdr:to>
          <xdr:col>4</xdr:col>
          <xdr:colOff>762000</xdr:colOff>
          <xdr:row>20</xdr:row>
          <xdr:rowOff>88900</xdr:rowOff>
        </xdr:to>
        <xdr:sp macro="" textlink="">
          <xdr:nvSpPr>
            <xdr:cNvPr id="13326" name="Object 14" hidden="1">
              <a:extLst>
                <a:ext uri="{63B3BB69-23CF-44E3-9099-C40C66FF867C}">
                  <a14:compatExt spid="_x0000_s13326"/>
                </a:ext>
                <a:ext uri="{FF2B5EF4-FFF2-40B4-BE49-F238E27FC236}">
                  <a16:creationId xmlns:a16="http://schemas.microsoft.com/office/drawing/2014/main" id="{00000000-0008-0000-0600-00000E3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63500</xdr:colOff>
          <xdr:row>19</xdr:row>
          <xdr:rowOff>76200</xdr:rowOff>
        </xdr:from>
        <xdr:to>
          <xdr:col>9</xdr:col>
          <xdr:colOff>292100</xdr:colOff>
          <xdr:row>20</xdr:row>
          <xdr:rowOff>88900</xdr:rowOff>
        </xdr:to>
        <xdr:sp macro="" textlink="">
          <xdr:nvSpPr>
            <xdr:cNvPr id="13327" name="Object 15" hidden="1">
              <a:extLst>
                <a:ext uri="{63B3BB69-23CF-44E3-9099-C40C66FF867C}">
                  <a14:compatExt spid="_x0000_s13327"/>
                </a:ext>
                <a:ext uri="{FF2B5EF4-FFF2-40B4-BE49-F238E27FC236}">
                  <a16:creationId xmlns:a16="http://schemas.microsoft.com/office/drawing/2014/main" id="{00000000-0008-0000-0600-00000F3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7</xdr:row>
          <xdr:rowOff>63500</xdr:rowOff>
        </xdr:from>
        <xdr:to>
          <xdr:col>1</xdr:col>
          <xdr:colOff>889000</xdr:colOff>
          <xdr:row>9</xdr:row>
          <xdr:rowOff>50800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700-000001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5</xdr:row>
          <xdr:rowOff>12700</xdr:rowOff>
        </xdr:from>
        <xdr:to>
          <xdr:col>1</xdr:col>
          <xdr:colOff>1320800</xdr:colOff>
          <xdr:row>7</xdr:row>
          <xdr:rowOff>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700-000002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1397000</xdr:colOff>
          <xdr:row>40</xdr:row>
          <xdr:rowOff>63500</xdr:rowOff>
        </xdr:from>
        <xdr:to>
          <xdr:col>1</xdr:col>
          <xdr:colOff>2273300</xdr:colOff>
          <xdr:row>42</xdr:row>
          <xdr:rowOff>76200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700-000003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40</xdr:row>
          <xdr:rowOff>63500</xdr:rowOff>
        </xdr:from>
        <xdr:to>
          <xdr:col>1</xdr:col>
          <xdr:colOff>1320800</xdr:colOff>
          <xdr:row>42</xdr:row>
          <xdr:rowOff>76200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700-0000042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520700</xdr:colOff>
          <xdr:row>0</xdr:row>
          <xdr:rowOff>177800</xdr:rowOff>
        </xdr:from>
        <xdr:to>
          <xdr:col>6</xdr:col>
          <xdr:colOff>1130300</xdr:colOff>
          <xdr:row>1</xdr:row>
          <xdr:rowOff>292100</xdr:rowOff>
        </xdr:to>
        <xdr:sp macro="" textlink="">
          <xdr:nvSpPr>
            <xdr:cNvPr id="11270" name="Object 6" hidden="1">
              <a:extLst>
                <a:ext uri="{63B3BB69-23CF-44E3-9099-C40C66FF867C}">
                  <a14:compatExt spid="_x0000_s11270"/>
                </a:ext>
                <a:ext uri="{FF2B5EF4-FFF2-40B4-BE49-F238E27FC236}">
                  <a16:creationId xmlns:a16="http://schemas.microsoft.com/office/drawing/2014/main" id="{00000000-0008-0000-0700-0000062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266700</xdr:colOff>
          <xdr:row>2</xdr:row>
          <xdr:rowOff>50800</xdr:rowOff>
        </xdr:from>
        <xdr:to>
          <xdr:col>2</xdr:col>
          <xdr:colOff>1016000</xdr:colOff>
          <xdr:row>2</xdr:row>
          <xdr:rowOff>317500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1092200</xdr:colOff>
          <xdr:row>2</xdr:row>
          <xdr:rowOff>50800</xdr:rowOff>
        </xdr:from>
        <xdr:to>
          <xdr:col>3</xdr:col>
          <xdr:colOff>1130300</xdr:colOff>
          <xdr:row>2</xdr:row>
          <xdr:rowOff>317500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800-000002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241300</xdr:colOff>
          <xdr:row>45</xdr:row>
          <xdr:rowOff>38100</xdr:rowOff>
        </xdr:from>
        <xdr:to>
          <xdr:col>1</xdr:col>
          <xdr:colOff>990600</xdr:colOff>
          <xdr:row>47</xdr:row>
          <xdr:rowOff>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800-000003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45</xdr:row>
          <xdr:rowOff>25400</xdr:rowOff>
        </xdr:from>
        <xdr:to>
          <xdr:col>3</xdr:col>
          <xdr:colOff>0</xdr:colOff>
          <xdr:row>46</xdr:row>
          <xdr:rowOff>139700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800-0000043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266700</xdr:colOff>
          <xdr:row>1</xdr:row>
          <xdr:rowOff>12700</xdr:rowOff>
        </xdr:from>
        <xdr:to>
          <xdr:col>5</xdr:col>
          <xdr:colOff>1130300</xdr:colOff>
          <xdr:row>2</xdr:row>
          <xdr:rowOff>63500</xdr:rowOff>
        </xdr:to>
        <xdr:sp macro="" textlink="">
          <xdr:nvSpPr>
            <xdr:cNvPr id="12295" name="Object 7" hidden="1">
              <a:extLst>
                <a:ext uri="{63B3BB69-23CF-44E3-9099-C40C66FF867C}">
                  <a14:compatExt spid="_x0000_s12295"/>
                </a:ext>
                <a:ext uri="{FF2B5EF4-FFF2-40B4-BE49-F238E27FC236}">
                  <a16:creationId xmlns:a16="http://schemas.microsoft.com/office/drawing/2014/main" id="{00000000-0008-0000-0800-0000073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787400</xdr:colOff>
          <xdr:row>1</xdr:row>
          <xdr:rowOff>12700</xdr:rowOff>
        </xdr:from>
        <xdr:to>
          <xdr:col>11</xdr:col>
          <xdr:colOff>939800</xdr:colOff>
          <xdr:row>2</xdr:row>
          <xdr:rowOff>76200</xdr:rowOff>
        </xdr:to>
        <xdr:sp macro="" textlink="">
          <xdr:nvSpPr>
            <xdr:cNvPr id="21505" name="Object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12700</xdr:colOff>
          <xdr:row>62</xdr:row>
          <xdr:rowOff>12700</xdr:rowOff>
        </xdr:from>
        <xdr:to>
          <xdr:col>4</xdr:col>
          <xdr:colOff>774700</xdr:colOff>
          <xdr:row>63</xdr:row>
          <xdr:rowOff>114300</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900-000002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62</xdr:row>
          <xdr:rowOff>12700</xdr:rowOff>
        </xdr:from>
        <xdr:to>
          <xdr:col>6</xdr:col>
          <xdr:colOff>381000</xdr:colOff>
          <xdr:row>63</xdr:row>
          <xdr:rowOff>114300</xdr:rowOff>
        </xdr:to>
        <xdr:sp macro="" textlink="">
          <xdr:nvSpPr>
            <xdr:cNvPr id="21507" name="Button 3" hidden="1">
              <a:extLst>
                <a:ext uri="{63B3BB69-23CF-44E3-9099-C40C66FF867C}">
                  <a14:compatExt spid="_x0000_s21507"/>
                </a:ext>
                <a:ext uri="{FF2B5EF4-FFF2-40B4-BE49-F238E27FC236}">
                  <a16:creationId xmlns:a16="http://schemas.microsoft.com/office/drawing/2014/main" id="{00000000-0008-0000-0900-000003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12700</xdr:colOff>
          <xdr:row>2</xdr:row>
          <xdr:rowOff>25400</xdr:rowOff>
        </xdr:from>
        <xdr:to>
          <xdr:col>7</xdr:col>
          <xdr:colOff>406400</xdr:colOff>
          <xdr:row>2</xdr:row>
          <xdr:rowOff>292100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900-000004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Bridging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25400</xdr:rowOff>
        </xdr:from>
        <xdr:to>
          <xdr:col>5</xdr:col>
          <xdr:colOff>762000</xdr:colOff>
          <xdr:row>2</xdr:row>
          <xdr:rowOff>292100</xdr:rowOff>
        </xdr:to>
        <xdr:sp macro="" textlink="">
          <xdr:nvSpPr>
            <xdr:cNvPr id="21509" name="Button 5" hidden="1">
              <a:extLst>
                <a:ext uri="{63B3BB69-23CF-44E3-9099-C40C66FF867C}">
                  <a14:compatExt spid="_x0000_s21509"/>
                </a:ext>
                <a:ext uri="{FF2B5EF4-FFF2-40B4-BE49-F238E27FC236}">
                  <a16:creationId xmlns:a16="http://schemas.microsoft.com/office/drawing/2014/main" id="{00000000-0008-0000-0900-0000055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177800</xdr:colOff>
          <xdr:row>14</xdr:row>
          <xdr:rowOff>101600</xdr:rowOff>
        </xdr:from>
        <xdr:to>
          <xdr:col>10</xdr:col>
          <xdr:colOff>139700</xdr:colOff>
          <xdr:row>14</xdr:row>
          <xdr:rowOff>368300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A00-000001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774700</xdr:colOff>
          <xdr:row>14</xdr:row>
          <xdr:rowOff>101600</xdr:rowOff>
        </xdr:from>
        <xdr:to>
          <xdr:col>9</xdr:col>
          <xdr:colOff>139700</xdr:colOff>
          <xdr:row>14</xdr:row>
          <xdr:rowOff>368300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A00-000002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46</xdr:row>
          <xdr:rowOff>101600</xdr:rowOff>
        </xdr:from>
        <xdr:to>
          <xdr:col>3</xdr:col>
          <xdr:colOff>38100</xdr:colOff>
          <xdr:row>48</xdr:row>
          <xdr:rowOff>25400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A00-000003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46</xdr:row>
          <xdr:rowOff>88900</xdr:rowOff>
        </xdr:from>
        <xdr:to>
          <xdr:col>4</xdr:col>
          <xdr:colOff>63500</xdr:colOff>
          <xdr:row>48</xdr:row>
          <xdr:rowOff>25400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A00-0000041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635000</xdr:colOff>
          <xdr:row>1</xdr:row>
          <xdr:rowOff>12700</xdr:rowOff>
        </xdr:from>
        <xdr:to>
          <xdr:col>11</xdr:col>
          <xdr:colOff>0</xdr:colOff>
          <xdr:row>2</xdr:row>
          <xdr:rowOff>76200</xdr:rowOff>
        </xdr:to>
        <xdr:sp macro="" textlink="">
          <xdr:nvSpPr>
            <xdr:cNvPr id="6157" name="Object 13" hidden="1">
              <a:extLst>
                <a:ext uri="{63B3BB69-23CF-44E3-9099-C40C66FF867C}">
                  <a14:compatExt spid="_x0000_s6157"/>
                </a:ext>
                <a:ext uri="{FF2B5EF4-FFF2-40B4-BE49-F238E27FC236}">
                  <a16:creationId xmlns:a16="http://schemas.microsoft.com/office/drawing/2014/main" id="{00000000-0008-0000-0A00-00000D18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444500</xdr:colOff>
          <xdr:row>3</xdr:row>
          <xdr:rowOff>0</xdr:rowOff>
        </xdr:from>
        <xdr:to>
          <xdr:col>8</xdr:col>
          <xdr:colOff>0</xdr:colOff>
          <xdr:row>4</xdr:row>
          <xdr:rowOff>152400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B00-000001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431800</xdr:colOff>
          <xdr:row>6</xdr:row>
          <xdr:rowOff>0</xdr:rowOff>
        </xdr:from>
        <xdr:to>
          <xdr:col>8</xdr:col>
          <xdr:colOff>0</xdr:colOff>
          <xdr:row>7</xdr:row>
          <xdr:rowOff>139700</xdr:rowOff>
        </xdr:to>
        <xdr:sp macro="" textlink="">
          <xdr:nvSpPr>
            <xdr:cNvPr id="28674" name="Button 2" hidden="1">
              <a:extLst>
                <a:ext uri="{63B3BB69-23CF-44E3-9099-C40C66FF867C}">
                  <a14:compatExt spid="_x0000_s28674"/>
                </a:ext>
                <a:ext uri="{FF2B5EF4-FFF2-40B4-BE49-F238E27FC236}">
                  <a16:creationId xmlns:a16="http://schemas.microsoft.com/office/drawing/2014/main" id="{00000000-0008-0000-0B00-0000027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xdr:row>
          <xdr:rowOff>12700</xdr:rowOff>
        </xdr:from>
        <xdr:to>
          <xdr:col>7</xdr:col>
          <xdr:colOff>596900</xdr:colOff>
          <xdr:row>2</xdr:row>
          <xdr:rowOff>76200</xdr:rowOff>
        </xdr:to>
        <xdr:sp macro="" textlink="">
          <xdr:nvSpPr>
            <xdr:cNvPr id="28675" name="Object 3" hidden="1">
              <a:extLst>
                <a:ext uri="{63B3BB69-23CF-44E3-9099-C40C66FF867C}">
                  <a14:compatExt spid="_x0000_s28675"/>
                </a:ext>
                <a:ext uri="{FF2B5EF4-FFF2-40B4-BE49-F238E27FC236}">
                  <a16:creationId xmlns:a16="http://schemas.microsoft.com/office/drawing/2014/main" id="{00000000-0008-0000-0B00-0000037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24</xdr:row>
          <xdr:rowOff>12700</xdr:rowOff>
        </xdr:from>
        <xdr:to>
          <xdr:col>3</xdr:col>
          <xdr:colOff>165100</xdr:colOff>
          <xdr:row>26</xdr:row>
          <xdr:rowOff>76200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C00-00000C2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Update Version</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1130300</xdr:colOff>
          <xdr:row>34</xdr:row>
          <xdr:rowOff>12700</xdr:rowOff>
        </xdr:from>
        <xdr:to>
          <xdr:col>2</xdr:col>
          <xdr:colOff>596900</xdr:colOff>
          <xdr:row>35</xdr:row>
          <xdr:rowOff>101600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Return to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127000</xdr:colOff>
          <xdr:row>34</xdr:row>
          <xdr:rowOff>12700</xdr:rowOff>
        </xdr:from>
        <xdr:to>
          <xdr:col>1</xdr:col>
          <xdr:colOff>1003300</xdr:colOff>
          <xdr:row>35</xdr:row>
          <xdr:rowOff>114300</xdr:rowOff>
        </xdr:to>
        <xdr:sp macro="" textlink="">
          <xdr:nvSpPr>
            <xdr:cNvPr id="32770" name="Button 2" hidden="1">
              <a:extLst>
                <a:ext uri="{63B3BB69-23CF-44E3-9099-C40C66FF867C}">
                  <a14:compatExt spid="_x0000_s32770"/>
                </a:ext>
                <a:ext uri="{FF2B5EF4-FFF2-40B4-BE49-F238E27FC236}">
                  <a16:creationId xmlns:a16="http://schemas.microsoft.com/office/drawing/2014/main" id="{00000000-0008-0000-0F00-0000028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GB" sz="1000" b="0" i="0" u="none" strike="noStrike" baseline="0">
                  <a:solidFill>
                    <a:srgbClr val="000000"/>
                  </a:solidFill>
                  <a:latin typeface="Arial" pitchFamily="2" charset="0"/>
                  <a:cs typeface="Arial" pitchFamily="2" charset="0"/>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76200</xdr:colOff>
          <xdr:row>1</xdr:row>
          <xdr:rowOff>12700</xdr:rowOff>
        </xdr:from>
        <xdr:to>
          <xdr:col>5</xdr:col>
          <xdr:colOff>977900</xdr:colOff>
          <xdr:row>2</xdr:row>
          <xdr:rowOff>63500</xdr:rowOff>
        </xdr:to>
        <xdr:sp macro="" textlink="">
          <xdr:nvSpPr>
            <xdr:cNvPr id="32771" name="Object 3" hidden="1">
              <a:extLst>
                <a:ext uri="{63B3BB69-23CF-44E3-9099-C40C66FF867C}">
                  <a14:compatExt spid="_x0000_s32771"/>
                </a:ext>
                <a:ext uri="{FF2B5EF4-FFF2-40B4-BE49-F238E27FC236}">
                  <a16:creationId xmlns:a16="http://schemas.microsoft.com/office/drawing/2014/main" id="{00000000-0008-0000-0F00-00000380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5.bin"/><Relationship Id="rId7" Type="http://schemas.openxmlformats.org/officeDocument/2006/relationships/ctrlProp" Target="../ctrlProps/ctrlProp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oleObject" Target="../embeddings/oleObject2.bin"/><Relationship Id="rId13" Type="http://schemas.openxmlformats.org/officeDocument/2006/relationships/ctrlProp" Target="../ctrlProps/ctrlProp3.xml"/><Relationship Id="rId18" Type="http://schemas.openxmlformats.org/officeDocument/2006/relationships/ctrlProp" Target="../ctrlProps/ctrlProp8.xml"/><Relationship Id="rId3" Type="http://schemas.openxmlformats.org/officeDocument/2006/relationships/printerSettings" Target="../printerSettings/printerSettings8.bin"/><Relationship Id="rId7" Type="http://schemas.openxmlformats.org/officeDocument/2006/relationships/image" Target="../media/image1.emf"/><Relationship Id="rId12" Type="http://schemas.openxmlformats.org/officeDocument/2006/relationships/oleObject" Target="../embeddings/oleObject5.bin"/><Relationship Id="rId17" Type="http://schemas.openxmlformats.org/officeDocument/2006/relationships/ctrlProp" Target="../ctrlProps/ctrlProp7.xml"/><Relationship Id="rId2" Type="http://schemas.openxmlformats.org/officeDocument/2006/relationships/printerSettings" Target="../printerSettings/printerSettings7.bin"/><Relationship Id="rId16" Type="http://schemas.openxmlformats.org/officeDocument/2006/relationships/ctrlProp" Target="../ctrlProps/ctrlProp6.xml"/><Relationship Id="rId20" Type="http://schemas.openxmlformats.org/officeDocument/2006/relationships/ctrlProp" Target="../ctrlProps/ctrlProp10.xml"/><Relationship Id="rId1" Type="http://schemas.openxmlformats.org/officeDocument/2006/relationships/printerSettings" Target="../printerSettings/printerSettings6.bin"/><Relationship Id="rId6" Type="http://schemas.openxmlformats.org/officeDocument/2006/relationships/oleObject" Target="../embeddings/oleObject1.bin"/><Relationship Id="rId11" Type="http://schemas.openxmlformats.org/officeDocument/2006/relationships/oleObject" Target="../embeddings/oleObject4.bin"/><Relationship Id="rId5" Type="http://schemas.openxmlformats.org/officeDocument/2006/relationships/vmlDrawing" Target="../drawings/vmlDrawing2.vml"/><Relationship Id="rId15" Type="http://schemas.openxmlformats.org/officeDocument/2006/relationships/ctrlProp" Target="../ctrlProps/ctrlProp5.xml"/><Relationship Id="rId10" Type="http://schemas.openxmlformats.org/officeDocument/2006/relationships/image" Target="../media/image2.emf"/><Relationship Id="rId19" Type="http://schemas.openxmlformats.org/officeDocument/2006/relationships/ctrlProp" Target="../ctrlProps/ctrlProp9.xml"/><Relationship Id="rId4" Type="http://schemas.openxmlformats.org/officeDocument/2006/relationships/drawing" Target="../drawings/drawing3.xml"/><Relationship Id="rId9" Type="http://schemas.openxmlformats.org/officeDocument/2006/relationships/oleObject" Target="../embeddings/oleObject3.bin"/><Relationship Id="rId1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printerSettings" Target="../printerSettings/printerSettings11.bin"/><Relationship Id="rId7" Type="http://schemas.openxmlformats.org/officeDocument/2006/relationships/image" Target="../media/image2.emf"/><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oleObject" Target="../embeddings/oleObject6.bin"/><Relationship Id="rId11" Type="http://schemas.openxmlformats.org/officeDocument/2006/relationships/ctrlProp" Target="../ctrlProps/ctrlProp14.xml"/><Relationship Id="rId5" Type="http://schemas.openxmlformats.org/officeDocument/2006/relationships/vmlDrawing" Target="../drawings/vmlDrawing3.vml"/><Relationship Id="rId10" Type="http://schemas.openxmlformats.org/officeDocument/2006/relationships/ctrlProp" Target="../ctrlProps/ctrlProp13.xml"/><Relationship Id="rId4" Type="http://schemas.openxmlformats.org/officeDocument/2006/relationships/drawing" Target="../drawings/drawing4.xml"/><Relationship Id="rId9"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printerSettings" Target="../printerSettings/printerSettings14.bin"/><Relationship Id="rId7" Type="http://schemas.openxmlformats.org/officeDocument/2006/relationships/image" Target="../media/image2.emf"/><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 Id="rId6" Type="http://schemas.openxmlformats.org/officeDocument/2006/relationships/oleObject" Target="../embeddings/oleObject7.bin"/><Relationship Id="rId11" Type="http://schemas.openxmlformats.org/officeDocument/2006/relationships/ctrlProp" Target="../ctrlProps/ctrlProp18.xml"/><Relationship Id="rId5" Type="http://schemas.openxmlformats.org/officeDocument/2006/relationships/vmlDrawing" Target="../drawings/vmlDrawing4.vml"/><Relationship Id="rId10" Type="http://schemas.openxmlformats.org/officeDocument/2006/relationships/ctrlProp" Target="../ctrlProps/ctrlProp17.xml"/><Relationship Id="rId4" Type="http://schemas.openxmlformats.org/officeDocument/2006/relationships/drawing" Target="../drawings/drawing5.xml"/><Relationship Id="rId9"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20.xml"/><Relationship Id="rId2" Type="http://schemas.openxmlformats.org/officeDocument/2006/relationships/drawing" Target="../drawings/drawing6.xml"/><Relationship Id="rId1" Type="http://schemas.openxmlformats.org/officeDocument/2006/relationships/printerSettings" Target="../printerSettings/printerSettings15.bin"/><Relationship Id="rId6" Type="http://schemas.openxmlformats.org/officeDocument/2006/relationships/ctrlProp" Target="../ctrlProps/ctrlProp19.xml"/><Relationship Id="rId5" Type="http://schemas.openxmlformats.org/officeDocument/2006/relationships/image" Target="../media/image2.emf"/><Relationship Id="rId4" Type="http://schemas.openxmlformats.org/officeDocument/2006/relationships/oleObject" Target="../embeddings/oleObject8.bin"/><Relationship Id="rId9"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oleObject" Target="../embeddings/oleObject11.bin"/><Relationship Id="rId13" Type="http://schemas.openxmlformats.org/officeDocument/2006/relationships/ctrlProp" Target="../ctrlProps/ctrlProp25.xml"/><Relationship Id="rId1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image" Target="../media/image2.emf"/><Relationship Id="rId12" Type="http://schemas.openxmlformats.org/officeDocument/2006/relationships/ctrlProp" Target="../ctrlProps/ctrlProp24.xml"/><Relationship Id="rId17" Type="http://schemas.openxmlformats.org/officeDocument/2006/relationships/ctrlProp" Target="../ctrlProps/ctrlProp29.xml"/><Relationship Id="rId2" Type="http://schemas.openxmlformats.org/officeDocument/2006/relationships/drawing" Target="../drawings/drawing7.xml"/><Relationship Id="rId16" Type="http://schemas.openxmlformats.org/officeDocument/2006/relationships/ctrlProp" Target="../ctrlProps/ctrlProp28.xml"/><Relationship Id="rId1" Type="http://schemas.openxmlformats.org/officeDocument/2006/relationships/printerSettings" Target="../printerSettings/printerSettings16.bin"/><Relationship Id="rId6" Type="http://schemas.openxmlformats.org/officeDocument/2006/relationships/oleObject" Target="../embeddings/oleObject10.bin"/><Relationship Id="rId11"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27.xml"/><Relationship Id="rId10" Type="http://schemas.openxmlformats.org/officeDocument/2006/relationships/oleObject" Target="../embeddings/oleObject13.bin"/><Relationship Id="rId4" Type="http://schemas.openxmlformats.org/officeDocument/2006/relationships/oleObject" Target="../embeddings/oleObject9.bin"/><Relationship Id="rId9" Type="http://schemas.openxmlformats.org/officeDocument/2006/relationships/oleObject" Target="../embeddings/oleObject12.bin"/><Relationship Id="rId1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3.xml"/><Relationship Id="rId3" Type="http://schemas.openxmlformats.org/officeDocument/2006/relationships/vmlDrawing" Target="../drawings/vmlDrawing7.vml"/><Relationship Id="rId7" Type="http://schemas.openxmlformats.org/officeDocument/2006/relationships/ctrlProp" Target="../ctrlProps/ctrlProp32.xml"/><Relationship Id="rId2" Type="http://schemas.openxmlformats.org/officeDocument/2006/relationships/drawing" Target="../drawings/drawing8.xml"/><Relationship Id="rId1" Type="http://schemas.openxmlformats.org/officeDocument/2006/relationships/printerSettings" Target="../printerSettings/printerSettings17.bin"/><Relationship Id="rId6" Type="http://schemas.openxmlformats.org/officeDocument/2006/relationships/ctrlProp" Target="../ctrlProps/ctrlProp31.xml"/><Relationship Id="rId5" Type="http://schemas.openxmlformats.org/officeDocument/2006/relationships/image" Target="../media/image2.emf"/><Relationship Id="rId4" Type="http://schemas.openxmlformats.org/officeDocument/2006/relationships/oleObject" Target="../embeddings/oleObject14.bin"/><Relationship Id="rId9" Type="http://schemas.openxmlformats.org/officeDocument/2006/relationships/ctrlProp" Target="../ctrlProps/ctrlProp34.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7.xml"/><Relationship Id="rId3" Type="http://schemas.openxmlformats.org/officeDocument/2006/relationships/vmlDrawing" Target="../drawings/vmlDrawing8.vml"/><Relationship Id="rId7" Type="http://schemas.openxmlformats.org/officeDocument/2006/relationships/ctrlProp" Target="../ctrlProps/ctrlProp36.xml"/><Relationship Id="rId2" Type="http://schemas.openxmlformats.org/officeDocument/2006/relationships/drawing" Target="../drawings/drawing9.xml"/><Relationship Id="rId1" Type="http://schemas.openxmlformats.org/officeDocument/2006/relationships/printerSettings" Target="../printerSettings/printerSettings18.bin"/><Relationship Id="rId6" Type="http://schemas.openxmlformats.org/officeDocument/2006/relationships/ctrlProp" Target="../ctrlProps/ctrlProp35.xml"/><Relationship Id="rId5" Type="http://schemas.openxmlformats.org/officeDocument/2006/relationships/image" Target="../media/image2.emf"/><Relationship Id="rId4" Type="http://schemas.openxmlformats.org/officeDocument/2006/relationships/oleObject" Target="../embeddings/oleObject15.bin"/><Relationship Id="rId9" Type="http://schemas.openxmlformats.org/officeDocument/2006/relationships/ctrlProp" Target="../ctrlProps/ctrlProp3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9.vml"/><Relationship Id="rId7" Type="http://schemas.openxmlformats.org/officeDocument/2006/relationships/ctrlProp" Target="../ctrlProps/ctrlProp40.xml"/><Relationship Id="rId2" Type="http://schemas.openxmlformats.org/officeDocument/2006/relationships/drawing" Target="../drawings/drawing10.xml"/><Relationship Id="rId1" Type="http://schemas.openxmlformats.org/officeDocument/2006/relationships/printerSettings" Target="../printerSettings/printerSettings19.bin"/><Relationship Id="rId6" Type="http://schemas.openxmlformats.org/officeDocument/2006/relationships/ctrlProp" Target="../ctrlProps/ctrlProp39.xml"/><Relationship Id="rId5" Type="http://schemas.openxmlformats.org/officeDocument/2006/relationships/image" Target="../media/image2.emf"/><Relationship Id="rId4" Type="http://schemas.openxmlformats.org/officeDocument/2006/relationships/oleObject" Target="../embeddings/oleObject16.bin"/><Relationship Id="rId9"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printerSettings" Target="../printerSettings/printerSettings22.bin"/><Relationship Id="rId7" Type="http://schemas.openxmlformats.org/officeDocument/2006/relationships/image" Target="../media/image2.emf"/><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oleObject" Target="../embeddings/oleObject17.bin"/><Relationship Id="rId11" Type="http://schemas.openxmlformats.org/officeDocument/2006/relationships/ctrlProp" Target="../ctrlProps/ctrlProp46.xml"/><Relationship Id="rId5" Type="http://schemas.openxmlformats.org/officeDocument/2006/relationships/vmlDrawing" Target="../drawings/vmlDrawing10.vml"/><Relationship Id="rId10" Type="http://schemas.openxmlformats.org/officeDocument/2006/relationships/ctrlProp" Target="../ctrlProps/ctrlProp45.xml"/><Relationship Id="rId4" Type="http://schemas.openxmlformats.org/officeDocument/2006/relationships/drawing" Target="../drawings/drawing11.xml"/><Relationship Id="rId9" Type="http://schemas.openxmlformats.org/officeDocument/2006/relationships/ctrlProp" Target="../ctrlProps/ctrlProp4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7" Type="http://schemas.openxmlformats.org/officeDocument/2006/relationships/ctrlProp" Target="../ctrlProps/ctrlProp48.xml"/><Relationship Id="rId2" Type="http://schemas.openxmlformats.org/officeDocument/2006/relationships/drawing" Target="../drawings/drawing12.xml"/><Relationship Id="rId1" Type="http://schemas.openxmlformats.org/officeDocument/2006/relationships/printerSettings" Target="../printerSettings/printerSettings23.bin"/><Relationship Id="rId6" Type="http://schemas.openxmlformats.org/officeDocument/2006/relationships/ctrlProp" Target="../ctrlProps/ctrlProp47.xml"/><Relationship Id="rId5" Type="http://schemas.openxmlformats.org/officeDocument/2006/relationships/image" Target="../media/image2.emf"/><Relationship Id="rId4" Type="http://schemas.openxmlformats.org/officeDocument/2006/relationships/oleObject" Target="../embeddings/oleObject18.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24.bin"/><Relationship Id="rId5" Type="http://schemas.openxmlformats.org/officeDocument/2006/relationships/comments" Target="../comments1.xml"/><Relationship Id="rId4" Type="http://schemas.openxmlformats.org/officeDocument/2006/relationships/ctrlProp" Target="../ctrlProps/ctrlProp49.xm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5" Type="http://schemas.openxmlformats.org/officeDocument/2006/relationships/comments" Target="../comments2.xml"/><Relationship Id="rId4" Type="http://schemas.openxmlformats.org/officeDocument/2006/relationships/vmlDrawing" Target="../drawings/vmlDrawing13.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51.xml"/><Relationship Id="rId2" Type="http://schemas.openxmlformats.org/officeDocument/2006/relationships/drawing" Target="../drawings/drawing14.xml"/><Relationship Id="rId1" Type="http://schemas.openxmlformats.org/officeDocument/2006/relationships/printerSettings" Target="../printerSettings/printerSettings29.bin"/><Relationship Id="rId6" Type="http://schemas.openxmlformats.org/officeDocument/2006/relationships/ctrlProp" Target="../ctrlProps/ctrlProp50.xml"/><Relationship Id="rId5" Type="http://schemas.openxmlformats.org/officeDocument/2006/relationships/image" Target="../media/image2.emf"/><Relationship Id="rId4" Type="http://schemas.openxmlformats.org/officeDocument/2006/relationships/oleObject" Target="../embeddings/oleObject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L40"/>
  <sheetViews>
    <sheetView showGridLines="0" showRowColHeaders="0" zoomScaleNormal="100" workbookViewId="0">
      <selection activeCell="K12" sqref="K12"/>
    </sheetView>
  </sheetViews>
  <sheetFormatPr baseColWidth="10" defaultColWidth="8.83203125" defaultRowHeight="13" x14ac:dyDescent="0.15"/>
  <cols>
    <col min="10" max="10" width="10.33203125" customWidth="1"/>
    <col min="12" max="12" width="7.6640625" customWidth="1"/>
  </cols>
  <sheetData>
    <row r="1" spans="1:12" x14ac:dyDescent="0.15">
      <c r="A1" s="1"/>
      <c r="B1" s="1"/>
      <c r="C1" s="1"/>
      <c r="D1" s="1"/>
      <c r="E1" s="1"/>
      <c r="F1" s="1"/>
      <c r="G1" s="1"/>
      <c r="H1" s="1"/>
      <c r="I1" s="1"/>
      <c r="J1" s="1"/>
      <c r="K1" s="2"/>
      <c r="L1" s="1"/>
    </row>
    <row r="2" spans="1:12" x14ac:dyDescent="0.15">
      <c r="A2" s="1"/>
      <c r="B2" s="1"/>
      <c r="C2" s="1"/>
      <c r="D2" s="1"/>
      <c r="E2" s="1"/>
      <c r="F2" s="1"/>
      <c r="G2" s="1"/>
      <c r="H2" s="1"/>
      <c r="I2" s="1"/>
      <c r="J2" s="1"/>
      <c r="K2" s="3"/>
      <c r="L2" s="1"/>
    </row>
    <row r="3" spans="1:12" x14ac:dyDescent="0.15">
      <c r="A3" s="1"/>
      <c r="B3" s="1"/>
      <c r="C3" s="1"/>
      <c r="D3" s="1"/>
      <c r="E3" s="1"/>
      <c r="F3" s="1"/>
      <c r="G3" s="1"/>
      <c r="H3" s="1"/>
      <c r="I3" s="3" t="s">
        <v>250</v>
      </c>
      <c r="J3" s="368">
        <f>Data!A25</f>
        <v>44232</v>
      </c>
      <c r="K3" s="1"/>
      <c r="L3" s="1"/>
    </row>
    <row r="4" spans="1:12" x14ac:dyDescent="0.15">
      <c r="A4" s="1"/>
      <c r="B4" s="1"/>
      <c r="C4" s="1"/>
      <c r="D4" s="1"/>
      <c r="E4" s="1"/>
      <c r="F4" s="1"/>
      <c r="G4" s="1"/>
      <c r="H4" s="1"/>
      <c r="I4" s="1"/>
      <c r="J4" s="1"/>
      <c r="K4" s="1"/>
      <c r="L4" s="1"/>
    </row>
    <row r="5" spans="1:12" x14ac:dyDescent="0.15">
      <c r="A5" s="1"/>
      <c r="B5" s="1"/>
      <c r="C5" s="1"/>
      <c r="D5" s="1"/>
      <c r="E5" s="1"/>
      <c r="F5" s="1"/>
      <c r="G5" s="1"/>
      <c r="H5" s="1"/>
      <c r="I5" s="1"/>
      <c r="J5" s="1"/>
      <c r="K5" s="1"/>
      <c r="L5" s="1"/>
    </row>
    <row r="6" spans="1:12" x14ac:dyDescent="0.15">
      <c r="A6" s="1"/>
      <c r="B6" s="1"/>
      <c r="C6" s="1"/>
      <c r="D6" s="1"/>
      <c r="E6" s="1"/>
      <c r="F6" s="1"/>
      <c r="G6" s="1"/>
      <c r="H6" s="1"/>
      <c r="I6" s="1"/>
      <c r="J6" s="1"/>
      <c r="K6" s="1"/>
      <c r="L6" s="1"/>
    </row>
    <row r="7" spans="1:12" x14ac:dyDescent="0.15">
      <c r="A7" s="1"/>
      <c r="B7" s="1"/>
      <c r="C7" s="1"/>
      <c r="D7" s="1"/>
      <c r="E7" s="1"/>
      <c r="F7" s="1"/>
      <c r="G7" s="1"/>
      <c r="H7" s="1"/>
      <c r="I7" s="1"/>
      <c r="J7" s="1"/>
      <c r="K7" s="1"/>
      <c r="L7" s="1"/>
    </row>
    <row r="8" spans="1:12" x14ac:dyDescent="0.15">
      <c r="A8" s="1"/>
      <c r="B8" s="1"/>
      <c r="C8" s="1"/>
      <c r="D8" s="1"/>
      <c r="E8" s="1"/>
      <c r="F8" s="1"/>
      <c r="G8" s="1"/>
      <c r="H8" s="1"/>
      <c r="I8" s="1"/>
      <c r="J8" s="1"/>
      <c r="K8" s="1"/>
      <c r="L8" s="1"/>
    </row>
    <row r="9" spans="1:12" x14ac:dyDescent="0.15">
      <c r="A9" s="1"/>
      <c r="B9" s="1"/>
      <c r="C9" s="1"/>
      <c r="D9" s="1"/>
      <c r="E9" s="1"/>
      <c r="F9" s="1"/>
      <c r="G9" s="1"/>
      <c r="H9" s="1"/>
      <c r="I9" s="1"/>
      <c r="J9" s="1"/>
      <c r="K9" s="1"/>
      <c r="L9" s="1"/>
    </row>
    <row r="10" spans="1:12" x14ac:dyDescent="0.15">
      <c r="A10" s="1"/>
      <c r="B10" s="1"/>
      <c r="C10" s="1"/>
      <c r="D10" s="1"/>
      <c r="E10" s="1"/>
      <c r="F10" s="1"/>
      <c r="G10" s="1"/>
      <c r="H10" s="1"/>
      <c r="I10" s="1"/>
      <c r="J10" s="1"/>
      <c r="K10" s="1"/>
      <c r="L10" s="1"/>
    </row>
    <row r="11" spans="1:12" x14ac:dyDescent="0.15">
      <c r="A11" s="1"/>
      <c r="B11" s="1"/>
      <c r="C11" s="1"/>
      <c r="D11" s="1"/>
      <c r="E11" s="1"/>
      <c r="F11" s="1"/>
      <c r="G11" s="1"/>
      <c r="H11" s="1"/>
      <c r="I11" s="1"/>
      <c r="J11" s="1"/>
      <c r="K11" s="1"/>
      <c r="L11" s="1"/>
    </row>
    <row r="12" spans="1:12" x14ac:dyDescent="0.15">
      <c r="A12" s="1"/>
      <c r="B12" s="1"/>
      <c r="C12" s="1"/>
      <c r="D12" s="1"/>
      <c r="E12" s="1"/>
      <c r="F12" s="1"/>
      <c r="G12" s="1"/>
      <c r="H12" s="1"/>
      <c r="I12" s="1"/>
      <c r="J12" s="1"/>
      <c r="K12" s="1"/>
      <c r="L12" s="1"/>
    </row>
    <row r="13" spans="1:12" x14ac:dyDescent="0.15">
      <c r="A13" s="1"/>
      <c r="B13" s="1"/>
      <c r="C13" s="1"/>
      <c r="D13" s="1"/>
      <c r="E13" s="1"/>
      <c r="F13" s="1"/>
      <c r="G13" s="1"/>
      <c r="H13" s="1"/>
      <c r="I13" s="1"/>
      <c r="J13" s="1"/>
      <c r="K13" s="1"/>
      <c r="L13" s="1"/>
    </row>
    <row r="14" spans="1:12" x14ac:dyDescent="0.15">
      <c r="A14" s="1"/>
      <c r="B14" s="1"/>
      <c r="C14" s="1"/>
      <c r="D14" s="1"/>
      <c r="E14" s="1"/>
      <c r="F14" s="1"/>
      <c r="G14" s="1"/>
      <c r="H14" s="1"/>
      <c r="I14" s="1"/>
      <c r="J14" s="1"/>
      <c r="K14" s="1"/>
      <c r="L14" s="1"/>
    </row>
    <row r="15" spans="1:12" x14ac:dyDescent="0.15">
      <c r="A15" s="1"/>
      <c r="B15" s="1"/>
      <c r="C15" s="1"/>
      <c r="D15" s="1"/>
      <c r="E15" s="1"/>
      <c r="F15" s="1"/>
      <c r="G15" s="1"/>
      <c r="H15" s="1"/>
      <c r="I15" s="1"/>
      <c r="J15" s="1"/>
      <c r="K15" s="1"/>
      <c r="L15" s="1"/>
    </row>
    <row r="16" spans="1:12" x14ac:dyDescent="0.15">
      <c r="A16" s="1"/>
      <c r="B16" s="1"/>
      <c r="C16" s="1"/>
      <c r="D16" s="1"/>
      <c r="E16" s="1"/>
      <c r="F16" s="1"/>
      <c r="G16" s="1"/>
      <c r="H16" s="1"/>
      <c r="I16" s="1"/>
      <c r="J16" s="1"/>
      <c r="K16" s="1"/>
      <c r="L16" s="1"/>
    </row>
    <row r="17" spans="1:12" x14ac:dyDescent="0.15">
      <c r="A17" s="1"/>
      <c r="B17" s="1"/>
      <c r="C17" s="1"/>
      <c r="D17" s="1"/>
      <c r="E17" s="1"/>
      <c r="F17" s="4"/>
      <c r="G17" s="1"/>
      <c r="H17" s="1"/>
      <c r="I17" s="1"/>
      <c r="J17" s="1"/>
      <c r="K17" s="1"/>
      <c r="L17" s="1"/>
    </row>
    <row r="18" spans="1:12" x14ac:dyDescent="0.15">
      <c r="A18" s="1"/>
      <c r="B18" s="1"/>
      <c r="C18" s="1"/>
      <c r="D18" s="1"/>
      <c r="E18" s="1"/>
      <c r="F18" s="1"/>
      <c r="G18" s="1"/>
      <c r="H18" s="1"/>
      <c r="I18" s="1"/>
      <c r="J18" s="1"/>
      <c r="K18" s="1"/>
      <c r="L18" s="1"/>
    </row>
    <row r="19" spans="1:12" x14ac:dyDescent="0.15">
      <c r="A19" s="1"/>
      <c r="B19" s="1"/>
      <c r="C19" s="1"/>
      <c r="D19" s="1"/>
      <c r="E19" s="1"/>
      <c r="F19" s="1"/>
      <c r="G19" s="1"/>
      <c r="H19" s="1"/>
      <c r="I19" s="1"/>
      <c r="J19" s="1"/>
      <c r="K19" s="1"/>
      <c r="L19" s="1"/>
    </row>
    <row r="20" spans="1:12" x14ac:dyDescent="0.15">
      <c r="A20" s="1"/>
      <c r="B20" s="1"/>
      <c r="C20" s="1"/>
      <c r="D20" s="1"/>
      <c r="E20" s="1"/>
      <c r="F20" s="1"/>
      <c r="G20" s="1"/>
      <c r="H20" s="1"/>
      <c r="I20" s="1"/>
      <c r="J20" s="1"/>
      <c r="K20" s="1"/>
      <c r="L20" s="1"/>
    </row>
    <row r="21" spans="1:12" x14ac:dyDescent="0.15">
      <c r="A21" s="1"/>
      <c r="B21" s="1"/>
      <c r="C21" s="1"/>
      <c r="D21" s="1"/>
      <c r="E21" s="1"/>
      <c r="F21" s="1"/>
      <c r="G21" s="1"/>
      <c r="H21" s="1"/>
      <c r="I21" s="1"/>
      <c r="J21" s="1"/>
      <c r="K21" s="1"/>
      <c r="L21" s="1"/>
    </row>
    <row r="22" spans="1:12" x14ac:dyDescent="0.15">
      <c r="A22" s="1"/>
      <c r="B22" s="1"/>
      <c r="C22" s="1"/>
      <c r="D22" s="1"/>
      <c r="E22" s="1"/>
      <c r="F22" s="1"/>
      <c r="G22" s="1"/>
      <c r="H22" s="1"/>
      <c r="I22" s="1"/>
      <c r="J22" s="1"/>
      <c r="K22" s="1"/>
      <c r="L22" s="1"/>
    </row>
    <row r="23" spans="1:12" x14ac:dyDescent="0.15">
      <c r="A23" s="1"/>
      <c r="B23" s="1"/>
      <c r="C23" s="1"/>
      <c r="D23" s="1"/>
      <c r="E23" s="1"/>
      <c r="F23" s="1"/>
      <c r="G23" s="1"/>
      <c r="H23" s="1"/>
      <c r="I23" s="1"/>
      <c r="J23" s="1"/>
      <c r="K23" s="1"/>
      <c r="L23" s="1"/>
    </row>
    <row r="24" spans="1:12" x14ac:dyDescent="0.15">
      <c r="A24" s="1"/>
      <c r="B24" s="1"/>
      <c r="C24" s="1"/>
      <c r="D24" s="1"/>
      <c r="E24" s="1"/>
      <c r="F24" s="1"/>
      <c r="G24" s="1"/>
      <c r="H24" s="1"/>
      <c r="I24" s="1"/>
      <c r="J24" s="1"/>
      <c r="K24" s="1"/>
      <c r="L24" s="1"/>
    </row>
    <row r="40" spans="1:11" ht="44.25" customHeight="1" x14ac:dyDescent="0.15">
      <c r="A40" s="911" t="s">
        <v>471</v>
      </c>
      <c r="B40" s="912"/>
      <c r="C40" s="912"/>
      <c r="D40" s="912"/>
      <c r="E40" s="912"/>
      <c r="F40" s="912"/>
      <c r="G40" s="912"/>
      <c r="H40" s="912"/>
      <c r="I40" s="912"/>
      <c r="J40" s="912"/>
      <c r="K40" s="912"/>
    </row>
  </sheetData>
  <sheetProtection algorithmName="SHA-512" hashValue="2/cBsPxjTtXKBfIio9+5+YFDFUm3TjNg+fnikG+nW9vlWfNUhMDgPdjE1x8mmxnEnbPiiv5ZgAefIp/rnfWKLQ==" saltValue="cy2zDOyNXVMbtkdgO7JciA==" spinCount="100000" sheet="1" objects="1" scenarios="1"/>
  <customSheetViews>
    <customSheetView guid="{878686E5-D823-11D7-9EB6-0000F6FFAA54}" showGridLines="0" showRowCol="0" showRuler="0">
      <pageMargins left="0.75" right="0.75" top="1" bottom="1" header="0.5" footer="0.5"/>
      <headerFooter alignWithMargins="0"/>
    </customSheetView>
    <customSheetView guid="{47743E36-E3F1-4AC8-AB28-1C3AD83F86F4}" showGridLines="0" showRowCol="0" showRuler="0">
      <pageMargins left="0.75" right="0.75" top="1" bottom="1" header="0.5" footer="0.5"/>
      <pageSetup paperSize="9" orientation="portrait" r:id="rId1"/>
      <headerFooter alignWithMargins="0"/>
    </customSheetView>
  </customSheetViews>
  <mergeCells count="1">
    <mergeCell ref="A40:K40"/>
  </mergeCells>
  <phoneticPr fontId="27" type="noConversion"/>
  <pageMargins left="0.75" right="0.75" top="1" bottom="1" header="0.5" footer="0.5"/>
  <pageSetup paperSize="9" scale="80" orientation="portrait" r:id="rId2"/>
  <headerFooter alignWithMargins="0">
    <oddFooter>&amp;L&amp;1#&amp;"Arial"&amp;9&amp;K000000</oddFooter>
  </headerFooter>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fitToPage="1"/>
  </sheetPr>
  <dimension ref="A1:O146"/>
  <sheetViews>
    <sheetView showGridLines="0" showRowColHeaders="0" topLeftCell="A73" workbookViewId="0"/>
  </sheetViews>
  <sheetFormatPr baseColWidth="10" defaultColWidth="8.83203125" defaultRowHeight="13" x14ac:dyDescent="0.15"/>
  <cols>
    <col min="1" max="1" width="1.5" customWidth="1"/>
    <col min="7" max="7" width="10.6640625" customWidth="1"/>
    <col min="15" max="15" width="1.6640625" customWidth="1"/>
  </cols>
  <sheetData>
    <row r="1" spans="1:15" x14ac:dyDescent="0.15">
      <c r="A1" s="5"/>
      <c r="B1" s="6"/>
      <c r="C1" s="6"/>
      <c r="D1" s="6"/>
      <c r="E1" s="6"/>
      <c r="F1" s="6"/>
      <c r="G1" s="6"/>
      <c r="H1" s="6"/>
      <c r="I1" s="6"/>
      <c r="J1" s="6"/>
      <c r="K1" s="6"/>
      <c r="L1" s="6"/>
      <c r="M1" s="6"/>
      <c r="N1" s="6"/>
      <c r="O1" s="7"/>
    </row>
    <row r="2" spans="1:15" ht="18" x14ac:dyDescent="0.2">
      <c r="A2" s="8"/>
      <c r="B2" s="955" t="s">
        <v>0</v>
      </c>
      <c r="C2" s="955"/>
      <c r="D2" s="955"/>
      <c r="E2" s="955"/>
      <c r="F2" s="955"/>
      <c r="G2" s="955"/>
      <c r="H2" s="955"/>
      <c r="I2" s="955"/>
      <c r="J2" s="955"/>
      <c r="K2" s="955"/>
      <c r="L2" s="955"/>
      <c r="M2" s="955"/>
      <c r="N2" s="955"/>
      <c r="O2" s="10"/>
    </row>
    <row r="3" spans="1:15" x14ac:dyDescent="0.15">
      <c r="A3" s="8"/>
      <c r="B3" s="9"/>
      <c r="C3" s="9"/>
      <c r="D3" s="9"/>
      <c r="E3" s="9"/>
      <c r="F3" s="9"/>
      <c r="G3" s="9"/>
      <c r="H3" s="9"/>
      <c r="I3" s="9"/>
      <c r="J3" s="9"/>
      <c r="K3" s="9"/>
      <c r="L3" s="9"/>
      <c r="M3" s="9"/>
      <c r="N3" s="9"/>
      <c r="O3" s="10"/>
    </row>
    <row r="4" spans="1:15" ht="16" x14ac:dyDescent="0.2">
      <c r="A4" s="8"/>
      <c r="B4" s="11" t="s">
        <v>1</v>
      </c>
      <c r="C4" s="9"/>
      <c r="D4" s="9"/>
      <c r="E4" s="9"/>
      <c r="F4" s="9"/>
      <c r="G4" s="9"/>
      <c r="H4" s="9"/>
      <c r="I4" s="9"/>
      <c r="J4" s="9"/>
      <c r="K4" s="9"/>
      <c r="L4" s="9"/>
      <c r="M4" s="9"/>
      <c r="N4" s="9"/>
      <c r="O4" s="10"/>
    </row>
    <row r="5" spans="1:15" x14ac:dyDescent="0.15">
      <c r="A5" s="8"/>
      <c r="B5" s="9"/>
      <c r="C5" s="9"/>
      <c r="D5" s="9"/>
      <c r="E5" s="9"/>
      <c r="F5" s="9"/>
      <c r="G5" s="9"/>
      <c r="H5" s="9"/>
      <c r="I5" s="9"/>
      <c r="J5" s="9"/>
      <c r="K5" s="9"/>
      <c r="L5" s="9"/>
      <c r="M5" s="9"/>
      <c r="N5" s="9"/>
      <c r="O5" s="10"/>
    </row>
    <row r="6" spans="1:15" x14ac:dyDescent="0.15">
      <c r="A6" s="8"/>
      <c r="B6" s="12" t="s">
        <v>2</v>
      </c>
      <c r="C6" s="12"/>
      <c r="D6" s="12"/>
      <c r="E6" s="12"/>
      <c r="F6" s="12"/>
      <c r="G6" s="13"/>
      <c r="H6" s="12"/>
      <c r="I6" s="12"/>
      <c r="J6" s="12"/>
      <c r="K6" s="12"/>
      <c r="L6" s="12"/>
      <c r="M6" s="12"/>
      <c r="N6" s="12"/>
      <c r="O6" s="10"/>
    </row>
    <row r="7" spans="1:15" s="16" customFormat="1" x14ac:dyDescent="0.15">
      <c r="A7" s="14"/>
      <c r="B7" s="12" t="s">
        <v>3</v>
      </c>
      <c r="C7" s="12"/>
      <c r="D7" s="12"/>
      <c r="E7" s="12"/>
      <c r="F7" s="12"/>
      <c r="G7" s="12"/>
      <c r="H7" s="12"/>
      <c r="I7" s="12"/>
      <c r="J7" s="609"/>
      <c r="K7" s="12"/>
      <c r="L7" s="12"/>
      <c r="M7" s="12"/>
      <c r="N7" s="12"/>
      <c r="O7" s="15"/>
    </row>
    <row r="8" spans="1:15" s="16" customFormat="1" x14ac:dyDescent="0.15">
      <c r="A8" s="14"/>
      <c r="B8" s="12" t="s">
        <v>4</v>
      </c>
      <c r="C8" s="12"/>
      <c r="D8" s="12"/>
      <c r="E8" s="12"/>
      <c r="F8" s="12"/>
      <c r="G8" s="12"/>
      <c r="H8" s="12"/>
      <c r="I8" s="12"/>
      <c r="J8" s="12"/>
      <c r="K8" s="12"/>
      <c r="L8" s="17"/>
      <c r="M8" s="12"/>
      <c r="O8" s="15"/>
    </row>
    <row r="9" spans="1:15" x14ac:dyDescent="0.15">
      <c r="A9" s="8"/>
      <c r="B9" s="12" t="s">
        <v>5</v>
      </c>
      <c r="C9" s="12"/>
      <c r="D9" s="12"/>
      <c r="E9" s="12"/>
      <c r="F9" s="12"/>
      <c r="G9" s="12"/>
      <c r="H9" s="12"/>
      <c r="I9" s="12"/>
      <c r="J9" s="12"/>
      <c r="K9" s="12"/>
      <c r="L9" s="12"/>
      <c r="M9" s="12"/>
      <c r="N9" s="12"/>
      <c r="O9" s="10"/>
    </row>
    <row r="10" spans="1:15" x14ac:dyDescent="0.15">
      <c r="A10" s="8"/>
      <c r="B10" s="12" t="s">
        <v>6</v>
      </c>
      <c r="C10" s="12"/>
      <c r="D10" s="12"/>
      <c r="E10" s="12"/>
      <c r="F10" s="12"/>
      <c r="G10" s="12"/>
      <c r="H10" s="12"/>
      <c r="I10" s="12"/>
      <c r="J10" s="12"/>
      <c r="K10" s="12"/>
      <c r="L10" s="12"/>
      <c r="M10" s="12"/>
      <c r="N10" s="12"/>
      <c r="O10" s="10"/>
    </row>
    <row r="11" spans="1:15" x14ac:dyDescent="0.15">
      <c r="A11" s="8"/>
      <c r="B11" s="12" t="s">
        <v>7</v>
      </c>
      <c r="C11" s="12"/>
      <c r="D11" s="12"/>
      <c r="E11" s="12"/>
      <c r="F11" s="12"/>
      <c r="G11" s="12"/>
      <c r="H11" s="12"/>
      <c r="I11" s="12"/>
      <c r="J11" s="12"/>
      <c r="K11" s="12"/>
      <c r="L11" s="12"/>
      <c r="M11" s="12"/>
      <c r="N11" s="12"/>
      <c r="O11" s="10"/>
    </row>
    <row r="12" spans="1:15" x14ac:dyDescent="0.15">
      <c r="A12" s="8"/>
      <c r="B12" s="12" t="s">
        <v>8</v>
      </c>
      <c r="C12" s="12"/>
      <c r="D12" s="12"/>
      <c r="E12" s="12"/>
      <c r="F12" s="12"/>
      <c r="G12" s="12"/>
      <c r="H12" s="12"/>
      <c r="I12" s="12"/>
      <c r="J12" s="12"/>
      <c r="K12" s="12"/>
      <c r="L12" s="12"/>
      <c r="M12" s="12"/>
      <c r="N12" s="12"/>
      <c r="O12" s="10"/>
    </row>
    <row r="13" spans="1:15" x14ac:dyDescent="0.15">
      <c r="A13" s="8"/>
      <c r="B13" s="12" t="s">
        <v>9</v>
      </c>
      <c r="C13" s="12"/>
      <c r="D13" s="12"/>
      <c r="E13" s="12"/>
      <c r="F13" s="12"/>
      <c r="G13" s="12"/>
      <c r="H13" s="12"/>
      <c r="I13" s="12"/>
      <c r="J13" s="12"/>
      <c r="K13" s="12"/>
      <c r="L13" s="12"/>
      <c r="M13" s="12"/>
      <c r="N13" s="12"/>
      <c r="O13" s="10"/>
    </row>
    <row r="14" spans="1:15" x14ac:dyDescent="0.15">
      <c r="A14" s="8"/>
      <c r="B14" s="565" t="s">
        <v>379</v>
      </c>
      <c r="C14" s="12"/>
      <c r="D14" s="12"/>
      <c r="E14" s="12"/>
      <c r="F14" s="12"/>
      <c r="G14" s="12"/>
      <c r="H14" s="12"/>
      <c r="I14" s="12"/>
      <c r="J14" s="12"/>
      <c r="K14" s="12"/>
      <c r="L14" s="12"/>
      <c r="M14" s="12"/>
      <c r="N14" s="12"/>
      <c r="O14" s="10"/>
    </row>
    <row r="15" spans="1:15" x14ac:dyDescent="0.15">
      <c r="A15" s="8"/>
      <c r="B15" s="12" t="s">
        <v>10</v>
      </c>
      <c r="C15" s="12"/>
      <c r="D15" s="12"/>
      <c r="E15" s="12"/>
      <c r="F15" s="12"/>
      <c r="G15" s="12"/>
      <c r="H15" s="12"/>
      <c r="I15" s="12"/>
      <c r="J15" s="12"/>
      <c r="K15" s="12"/>
      <c r="L15" s="12"/>
      <c r="M15" s="12"/>
      <c r="N15" s="12"/>
      <c r="O15" s="10"/>
    </row>
    <row r="16" spans="1:15" ht="25.5" customHeight="1" x14ac:dyDescent="0.15">
      <c r="A16" s="8"/>
      <c r="B16" s="954" t="s">
        <v>361</v>
      </c>
      <c r="C16" s="933"/>
      <c r="D16" s="933"/>
      <c r="E16" s="933"/>
      <c r="F16" s="933"/>
      <c r="G16" s="933"/>
      <c r="H16" s="933"/>
      <c r="I16" s="933"/>
      <c r="J16" s="933"/>
      <c r="K16" s="933"/>
      <c r="L16" s="933"/>
      <c r="M16" s="933"/>
      <c r="N16" s="933"/>
      <c r="O16" s="10"/>
    </row>
    <row r="17" spans="1:15" x14ac:dyDescent="0.15">
      <c r="A17" s="8"/>
      <c r="B17" s="9"/>
      <c r="C17" s="9"/>
      <c r="D17" s="9"/>
      <c r="E17" s="9"/>
      <c r="F17" s="9"/>
      <c r="G17" s="9"/>
      <c r="H17" s="9"/>
      <c r="I17" s="9"/>
      <c r="J17" s="9"/>
      <c r="K17" s="9"/>
      <c r="L17" s="9"/>
      <c r="M17" s="9"/>
      <c r="N17" s="9"/>
      <c r="O17" s="10"/>
    </row>
    <row r="18" spans="1:15" x14ac:dyDescent="0.15">
      <c r="A18" s="8"/>
      <c r="B18" s="9"/>
      <c r="C18" s="9"/>
      <c r="D18" s="9"/>
      <c r="E18" s="9"/>
      <c r="F18" s="9"/>
      <c r="G18" s="9"/>
      <c r="H18" s="9"/>
      <c r="I18" s="9"/>
      <c r="J18" s="9"/>
      <c r="K18" s="9"/>
      <c r="L18" s="9"/>
      <c r="M18" s="9"/>
      <c r="N18" s="9"/>
      <c r="O18" s="10"/>
    </row>
    <row r="19" spans="1:15" ht="16" x14ac:dyDescent="0.2">
      <c r="A19" s="8"/>
      <c r="B19" s="11" t="s">
        <v>11</v>
      </c>
      <c r="C19" s="9"/>
      <c r="D19" s="9"/>
      <c r="E19" s="9"/>
      <c r="F19" s="9"/>
      <c r="G19" s="9"/>
      <c r="H19" s="9"/>
      <c r="I19" s="9"/>
      <c r="J19" s="9"/>
      <c r="K19" s="9"/>
      <c r="L19" s="9"/>
      <c r="M19" s="9"/>
      <c r="N19" s="9"/>
      <c r="O19" s="10"/>
    </row>
    <row r="20" spans="1:15" x14ac:dyDescent="0.15">
      <c r="A20" s="8"/>
      <c r="B20" s="9"/>
      <c r="C20" s="9"/>
      <c r="D20" s="9"/>
      <c r="E20" s="9"/>
      <c r="F20" s="9"/>
      <c r="G20" s="9"/>
      <c r="H20" s="9"/>
      <c r="I20" s="9"/>
      <c r="J20" s="9"/>
      <c r="K20" s="9"/>
      <c r="L20" s="9"/>
      <c r="M20" s="9"/>
      <c r="N20" s="9"/>
      <c r="O20" s="10"/>
    </row>
    <row r="21" spans="1:15" x14ac:dyDescent="0.15">
      <c r="A21" s="8"/>
      <c r="B21" s="933" t="s">
        <v>12</v>
      </c>
      <c r="C21" s="933"/>
      <c r="D21" s="933"/>
      <c r="E21" s="933"/>
      <c r="F21" s="933"/>
      <c r="G21" s="933"/>
      <c r="H21" s="933"/>
      <c r="I21" s="933"/>
      <c r="J21" s="933"/>
      <c r="K21" s="933"/>
      <c r="L21" s="933"/>
      <c r="M21" s="933"/>
      <c r="N21" s="933"/>
      <c r="O21" s="10"/>
    </row>
    <row r="22" spans="1:15" ht="12.75" customHeight="1" x14ac:dyDescent="0.15">
      <c r="A22" s="8"/>
      <c r="B22" s="933" t="s">
        <v>13</v>
      </c>
      <c r="C22" s="933"/>
      <c r="D22" s="933"/>
      <c r="E22" s="933"/>
      <c r="F22" s="933"/>
      <c r="G22" s="933"/>
      <c r="H22" s="933"/>
      <c r="I22" s="933"/>
      <c r="J22" s="933"/>
      <c r="K22" s="933"/>
      <c r="L22" s="933"/>
      <c r="M22" s="933"/>
      <c r="N22" s="933"/>
      <c r="O22" s="10"/>
    </row>
    <row r="23" spans="1:15" x14ac:dyDescent="0.15">
      <c r="A23" s="8"/>
      <c r="B23" s="9"/>
      <c r="C23" s="9"/>
      <c r="D23" s="9"/>
      <c r="E23" s="9"/>
      <c r="F23" s="9"/>
      <c r="G23" s="9"/>
      <c r="H23" s="9"/>
      <c r="I23" s="9"/>
      <c r="J23" s="9"/>
      <c r="K23" s="9"/>
      <c r="L23" s="9"/>
      <c r="M23" s="9"/>
      <c r="N23" s="9"/>
      <c r="O23" s="10"/>
    </row>
    <row r="24" spans="1:15" x14ac:dyDescent="0.15">
      <c r="A24" s="8"/>
      <c r="B24" s="9"/>
      <c r="C24" s="9"/>
      <c r="D24" s="9"/>
      <c r="E24" s="9"/>
      <c r="F24" s="9"/>
      <c r="G24" s="9"/>
      <c r="H24" s="9"/>
      <c r="I24" s="9"/>
      <c r="J24" s="9"/>
      <c r="K24" s="9"/>
      <c r="L24" s="9"/>
      <c r="M24" s="9"/>
      <c r="N24" s="9"/>
      <c r="O24" s="10"/>
    </row>
    <row r="25" spans="1:15" ht="16" x14ac:dyDescent="0.2">
      <c r="A25" s="8"/>
      <c r="B25" s="11" t="s">
        <v>347</v>
      </c>
      <c r="C25" s="9"/>
      <c r="D25" s="9"/>
      <c r="E25" s="9"/>
      <c r="F25" s="9"/>
      <c r="G25" s="9"/>
      <c r="H25" s="9"/>
      <c r="I25" s="9"/>
      <c r="J25" s="9"/>
      <c r="K25" s="9"/>
      <c r="L25" s="9"/>
      <c r="M25" s="9"/>
      <c r="N25" s="9"/>
      <c r="O25" s="10"/>
    </row>
    <row r="26" spans="1:15" x14ac:dyDescent="0.15">
      <c r="A26" s="8"/>
      <c r="B26" s="9"/>
      <c r="C26" s="9"/>
      <c r="D26" s="9"/>
      <c r="E26" s="9"/>
      <c r="F26" s="9"/>
      <c r="G26" s="9"/>
      <c r="H26" s="9"/>
      <c r="I26" s="9"/>
      <c r="J26" s="9"/>
      <c r="K26" s="9"/>
      <c r="L26" s="9"/>
      <c r="M26" s="9"/>
      <c r="N26" s="9"/>
      <c r="O26" s="10"/>
    </row>
    <row r="27" spans="1:15" x14ac:dyDescent="0.15">
      <c r="A27" s="8"/>
      <c r="B27" s="9" t="s">
        <v>14</v>
      </c>
      <c r="C27" s="9"/>
      <c r="D27" s="9"/>
      <c r="E27" s="9"/>
      <c r="F27" s="9"/>
      <c r="G27" s="9"/>
      <c r="H27" s="9"/>
      <c r="I27" s="9"/>
      <c r="J27" s="9"/>
      <c r="K27" s="9"/>
      <c r="L27" s="9"/>
      <c r="M27" s="9"/>
      <c r="N27" s="9"/>
      <c r="O27" s="10"/>
    </row>
    <row r="28" spans="1:15" x14ac:dyDescent="0.15">
      <c r="A28" s="8"/>
      <c r="B28" s="9" t="s">
        <v>15</v>
      </c>
      <c r="C28" s="9"/>
      <c r="D28" s="9"/>
      <c r="E28" s="9"/>
      <c r="F28" s="9"/>
      <c r="G28" s="9"/>
      <c r="H28" s="9"/>
      <c r="I28" s="9"/>
      <c r="J28" s="9"/>
      <c r="K28" s="9"/>
      <c r="L28" s="9"/>
      <c r="M28" s="9"/>
      <c r="N28" s="9"/>
      <c r="O28" s="10"/>
    </row>
    <row r="29" spans="1:15" ht="25.5" customHeight="1" x14ac:dyDescent="0.15">
      <c r="A29" s="8"/>
      <c r="B29" s="933" t="s">
        <v>16</v>
      </c>
      <c r="C29" s="933"/>
      <c r="D29" s="933"/>
      <c r="E29" s="933"/>
      <c r="F29" s="933"/>
      <c r="G29" s="933"/>
      <c r="H29" s="933"/>
      <c r="I29" s="933"/>
      <c r="J29" s="933"/>
      <c r="K29" s="933"/>
      <c r="L29" s="933"/>
      <c r="M29" s="933"/>
      <c r="N29" s="933"/>
      <c r="O29" s="10"/>
    </row>
    <row r="30" spans="1:15" x14ac:dyDescent="0.15">
      <c r="A30" s="8"/>
      <c r="B30" s="9"/>
      <c r="C30" s="9"/>
      <c r="D30" s="9"/>
      <c r="E30" s="9"/>
      <c r="F30" s="9"/>
      <c r="G30" s="9"/>
      <c r="H30" s="9"/>
      <c r="I30" s="9"/>
      <c r="J30" s="9"/>
      <c r="K30" s="9"/>
      <c r="L30" s="9"/>
      <c r="M30" s="9"/>
      <c r="N30" s="9"/>
      <c r="O30" s="10"/>
    </row>
    <row r="31" spans="1:15" x14ac:dyDescent="0.15">
      <c r="A31" s="8"/>
      <c r="B31" s="9"/>
      <c r="C31" s="9"/>
      <c r="D31" s="9"/>
      <c r="E31" s="9"/>
      <c r="F31" s="9"/>
      <c r="G31" s="9"/>
      <c r="H31" s="9"/>
      <c r="I31" s="9"/>
      <c r="J31" s="9"/>
      <c r="K31" s="9"/>
      <c r="L31" s="9"/>
      <c r="M31" s="9"/>
      <c r="N31" s="9"/>
      <c r="O31" s="10"/>
    </row>
    <row r="32" spans="1:15" ht="16" x14ac:dyDescent="0.2">
      <c r="A32" s="8"/>
      <c r="B32" s="11" t="s">
        <v>536</v>
      </c>
      <c r="C32" s="9"/>
      <c r="D32" s="9"/>
      <c r="E32" s="9"/>
      <c r="F32" s="9"/>
      <c r="G32" s="9"/>
      <c r="H32" s="9"/>
      <c r="I32" s="9"/>
      <c r="J32" s="9"/>
      <c r="K32" s="9"/>
      <c r="L32" s="9"/>
      <c r="M32" s="9"/>
      <c r="N32" s="9"/>
      <c r="O32" s="10"/>
    </row>
    <row r="33" spans="1:15" x14ac:dyDescent="0.15">
      <c r="A33" s="8"/>
      <c r="B33" s="9"/>
      <c r="C33" s="9"/>
      <c r="D33" s="9"/>
      <c r="E33" s="9"/>
      <c r="F33" s="9"/>
      <c r="G33" s="9"/>
      <c r="H33" s="9"/>
      <c r="I33" s="9"/>
      <c r="J33" s="9"/>
      <c r="K33" s="9"/>
      <c r="L33" s="9"/>
      <c r="M33" s="9"/>
      <c r="N33" s="9"/>
      <c r="O33" s="10"/>
    </row>
    <row r="34" spans="1:15" x14ac:dyDescent="0.15">
      <c r="A34" s="8"/>
      <c r="B34" s="390" t="s">
        <v>348</v>
      </c>
      <c r="C34" s="9"/>
      <c r="D34" s="9"/>
      <c r="E34" s="9"/>
      <c r="F34" s="9"/>
      <c r="G34" s="9"/>
      <c r="H34" s="9"/>
      <c r="I34" s="9"/>
      <c r="J34" s="9"/>
      <c r="K34" s="9"/>
      <c r="L34" s="9"/>
      <c r="M34" s="9"/>
      <c r="N34" s="9"/>
      <c r="O34" s="10"/>
    </row>
    <row r="35" spans="1:15" ht="25.5" customHeight="1" x14ac:dyDescent="0.15">
      <c r="A35" s="8"/>
      <c r="B35" s="933" t="s">
        <v>537</v>
      </c>
      <c r="C35" s="933"/>
      <c r="D35" s="933"/>
      <c r="E35" s="933"/>
      <c r="F35" s="933"/>
      <c r="G35" s="933"/>
      <c r="H35" s="933"/>
      <c r="I35" s="933"/>
      <c r="J35" s="933"/>
      <c r="K35" s="933"/>
      <c r="L35" s="933"/>
      <c r="M35" s="933"/>
      <c r="N35" s="933"/>
      <c r="O35" s="10"/>
    </row>
    <row r="36" spans="1:15" ht="25.5" customHeight="1" x14ac:dyDescent="0.15">
      <c r="A36" s="8"/>
      <c r="B36" s="9"/>
      <c r="C36" s="9"/>
      <c r="D36" s="9"/>
      <c r="E36" s="9"/>
      <c r="F36" s="9"/>
      <c r="G36" s="9"/>
      <c r="H36" s="9"/>
      <c r="I36" s="9"/>
      <c r="J36" s="9"/>
      <c r="K36" s="9"/>
      <c r="L36" s="9"/>
      <c r="M36" s="9"/>
      <c r="N36" s="9"/>
      <c r="O36" s="10"/>
    </row>
    <row r="37" spans="1:15" x14ac:dyDescent="0.15">
      <c r="A37" s="8"/>
      <c r="B37" s="9"/>
      <c r="C37" s="9"/>
      <c r="D37" s="9"/>
      <c r="E37" s="9"/>
      <c r="F37" s="9"/>
      <c r="G37" s="9"/>
      <c r="H37" s="9"/>
      <c r="I37" s="9"/>
      <c r="J37" s="9"/>
      <c r="K37" s="9"/>
      <c r="L37" s="9"/>
      <c r="M37" s="9"/>
      <c r="N37" s="9"/>
      <c r="O37" s="10"/>
    </row>
    <row r="38" spans="1:15" ht="16" x14ac:dyDescent="0.2">
      <c r="A38" s="8"/>
      <c r="B38" s="11" t="s">
        <v>538</v>
      </c>
      <c r="C38" s="9"/>
      <c r="D38" s="9"/>
      <c r="E38" s="9"/>
      <c r="F38" s="9"/>
      <c r="G38" s="9"/>
      <c r="H38" s="9"/>
      <c r="I38" s="9"/>
      <c r="J38" s="9"/>
      <c r="K38" s="9"/>
      <c r="L38" s="9"/>
      <c r="M38" s="9"/>
      <c r="N38" s="9"/>
      <c r="O38" s="10"/>
    </row>
    <row r="39" spans="1:15" x14ac:dyDescent="0.15">
      <c r="A39" s="8"/>
      <c r="B39" s="9"/>
      <c r="C39" s="9"/>
      <c r="D39" s="9"/>
      <c r="E39" s="9"/>
      <c r="F39" s="9"/>
      <c r="G39" s="9"/>
      <c r="H39" s="9"/>
      <c r="I39" s="9"/>
      <c r="J39" s="9"/>
      <c r="K39" s="9"/>
      <c r="L39" s="9"/>
      <c r="M39" s="9"/>
      <c r="N39" s="9"/>
      <c r="O39" s="10"/>
    </row>
    <row r="40" spans="1:15" x14ac:dyDescent="0.15">
      <c r="A40" s="8"/>
      <c r="B40" s="9" t="s">
        <v>14</v>
      </c>
      <c r="C40" s="9"/>
      <c r="D40" s="9"/>
      <c r="E40" s="9"/>
      <c r="F40" s="9"/>
      <c r="G40" s="9"/>
      <c r="H40" s="9"/>
      <c r="I40" s="9"/>
      <c r="J40" s="9"/>
      <c r="K40" s="9"/>
      <c r="L40" s="9"/>
      <c r="M40" s="9"/>
      <c r="N40" s="9"/>
      <c r="O40" s="10"/>
    </row>
    <row r="41" spans="1:15" x14ac:dyDescent="0.15">
      <c r="A41" s="8"/>
      <c r="B41" s="9" t="s">
        <v>15</v>
      </c>
      <c r="C41" s="9"/>
      <c r="D41" s="9"/>
      <c r="E41" s="9"/>
      <c r="F41" s="9"/>
      <c r="G41" s="9"/>
      <c r="H41" s="9"/>
      <c r="I41" s="9"/>
      <c r="J41" s="9"/>
      <c r="K41" s="9"/>
      <c r="L41" s="9"/>
      <c r="M41" s="9"/>
      <c r="N41" s="9"/>
      <c r="O41" s="10"/>
    </row>
    <row r="42" spans="1:15" ht="25.5" customHeight="1" x14ac:dyDescent="0.15">
      <c r="A42" s="8"/>
      <c r="B42" s="933" t="s">
        <v>16</v>
      </c>
      <c r="C42" s="933"/>
      <c r="D42" s="933"/>
      <c r="E42" s="933"/>
      <c r="F42" s="933"/>
      <c r="G42" s="933"/>
      <c r="H42" s="933"/>
      <c r="I42" s="933"/>
      <c r="J42" s="933"/>
      <c r="K42" s="933"/>
      <c r="L42" s="933"/>
      <c r="M42" s="933"/>
      <c r="N42" s="933"/>
      <c r="O42" s="10"/>
    </row>
    <row r="43" spans="1:15" x14ac:dyDescent="0.15">
      <c r="A43" s="8"/>
      <c r="B43" s="9"/>
      <c r="C43" s="9"/>
      <c r="D43" s="9"/>
      <c r="E43" s="9"/>
      <c r="F43" s="9"/>
      <c r="G43" s="9"/>
      <c r="H43" s="9"/>
      <c r="I43" s="9"/>
      <c r="J43" s="9"/>
      <c r="K43" s="9"/>
      <c r="L43" s="9"/>
      <c r="M43" s="9"/>
      <c r="N43" s="9"/>
      <c r="O43" s="10"/>
    </row>
    <row r="44" spans="1:15" x14ac:dyDescent="0.15">
      <c r="A44" s="8"/>
      <c r="B44" s="9"/>
      <c r="C44" s="9"/>
      <c r="D44" s="9"/>
      <c r="E44" s="9"/>
      <c r="F44" s="9"/>
      <c r="G44" s="9"/>
      <c r="H44" s="9"/>
      <c r="I44" s="9"/>
      <c r="J44" s="9"/>
      <c r="K44" s="9"/>
      <c r="L44" s="9"/>
      <c r="M44" s="9"/>
      <c r="N44" s="9"/>
      <c r="O44" s="10"/>
    </row>
    <row r="45" spans="1:15" ht="16" x14ac:dyDescent="0.2">
      <c r="A45" s="8"/>
      <c r="B45" s="11" t="s">
        <v>354</v>
      </c>
      <c r="C45" s="9"/>
      <c r="D45" s="9"/>
      <c r="E45" s="9"/>
      <c r="F45" s="9"/>
      <c r="G45" s="9"/>
      <c r="H45" s="9"/>
      <c r="I45" s="9"/>
      <c r="J45" s="9"/>
      <c r="K45" s="9"/>
      <c r="L45" s="9"/>
      <c r="M45" s="9"/>
      <c r="N45" s="9"/>
      <c r="O45" s="10"/>
    </row>
    <row r="46" spans="1:15" x14ac:dyDescent="0.15">
      <c r="A46" s="8"/>
      <c r="B46" s="9"/>
      <c r="C46" s="9"/>
      <c r="D46" s="9"/>
      <c r="E46" s="9"/>
      <c r="F46" s="9"/>
      <c r="G46" s="9"/>
      <c r="H46" s="9"/>
      <c r="I46" s="9"/>
      <c r="J46" s="9"/>
      <c r="K46" s="9"/>
      <c r="L46" s="9"/>
      <c r="M46" s="9"/>
      <c r="N46" s="9"/>
      <c r="O46" s="10"/>
    </row>
    <row r="47" spans="1:15" x14ac:dyDescent="0.15">
      <c r="A47" s="8"/>
      <c r="B47" s="9" t="s">
        <v>17</v>
      </c>
      <c r="C47" s="9"/>
      <c r="D47" s="9"/>
      <c r="E47" s="9"/>
      <c r="F47" s="9"/>
      <c r="G47" s="9"/>
      <c r="H47" s="9"/>
      <c r="I47" s="9"/>
      <c r="J47" s="9"/>
      <c r="K47" s="9"/>
      <c r="L47" s="9"/>
      <c r="M47" s="9"/>
      <c r="N47" s="9"/>
      <c r="O47" s="10"/>
    </row>
    <row r="48" spans="1:15" x14ac:dyDescent="0.15">
      <c r="A48" s="8"/>
      <c r="B48" s="933" t="s">
        <v>18</v>
      </c>
      <c r="C48" s="933"/>
      <c r="D48" s="933"/>
      <c r="E48" s="933"/>
      <c r="F48" s="933"/>
      <c r="G48" s="933"/>
      <c r="H48" s="933"/>
      <c r="I48" s="933"/>
      <c r="J48" s="933"/>
      <c r="K48" s="933"/>
      <c r="L48" s="933"/>
      <c r="M48" s="933"/>
      <c r="N48" s="933"/>
      <c r="O48" s="10"/>
    </row>
    <row r="49" spans="1:15" x14ac:dyDescent="0.15">
      <c r="A49" s="8"/>
      <c r="B49" s="9" t="s">
        <v>14</v>
      </c>
      <c r="C49" s="18"/>
      <c r="D49" s="18"/>
      <c r="E49" s="18"/>
      <c r="F49" s="18"/>
      <c r="G49" s="18"/>
      <c r="H49" s="18"/>
      <c r="I49" s="18"/>
      <c r="J49" s="18"/>
      <c r="K49" s="18"/>
      <c r="L49" s="18"/>
      <c r="M49" s="18"/>
      <c r="N49" s="18"/>
      <c r="O49" s="10"/>
    </row>
    <row r="50" spans="1:15" x14ac:dyDescent="0.15">
      <c r="A50" s="8"/>
      <c r="B50" s="9" t="s">
        <v>19</v>
      </c>
      <c r="C50" s="18"/>
      <c r="D50" s="18"/>
      <c r="E50" s="18"/>
      <c r="F50" s="18"/>
      <c r="G50" s="18"/>
      <c r="H50" s="18"/>
      <c r="I50" s="18"/>
      <c r="J50" s="18"/>
      <c r="K50" s="18"/>
      <c r="L50" s="18"/>
      <c r="M50" s="18"/>
      <c r="N50" s="18"/>
      <c r="O50" s="10"/>
    </row>
    <row r="51" spans="1:15" x14ac:dyDescent="0.15">
      <c r="A51" s="8"/>
      <c r="B51" s="9"/>
      <c r="C51" s="9"/>
      <c r="D51" s="9"/>
      <c r="E51" s="9"/>
      <c r="F51" s="9"/>
      <c r="G51" s="9"/>
      <c r="H51" s="9"/>
      <c r="I51" s="9"/>
      <c r="J51" s="9"/>
      <c r="K51" s="9"/>
      <c r="L51" s="9"/>
      <c r="M51" s="9"/>
      <c r="N51" s="9"/>
      <c r="O51" s="10"/>
    </row>
    <row r="52" spans="1:15" x14ac:dyDescent="0.15">
      <c r="A52" s="8"/>
      <c r="B52" s="9"/>
      <c r="C52" s="9"/>
      <c r="D52" s="9"/>
      <c r="E52" s="9"/>
      <c r="F52" s="9"/>
      <c r="G52" s="9"/>
      <c r="H52" s="9"/>
      <c r="I52" s="9"/>
      <c r="J52" s="9"/>
      <c r="K52" s="9"/>
      <c r="L52" s="9"/>
      <c r="M52" s="9"/>
      <c r="N52" s="9"/>
      <c r="O52" s="10"/>
    </row>
    <row r="53" spans="1:15" ht="16" x14ac:dyDescent="0.2">
      <c r="A53" s="8"/>
      <c r="B53" s="11" t="s">
        <v>20</v>
      </c>
      <c r="C53" s="9"/>
      <c r="D53" s="9"/>
      <c r="E53" s="9"/>
      <c r="F53" s="9"/>
      <c r="G53" s="9"/>
      <c r="H53" s="9"/>
      <c r="I53" s="9"/>
      <c r="J53" s="9"/>
      <c r="K53" s="9"/>
      <c r="L53" s="9"/>
      <c r="M53" s="9"/>
      <c r="N53" s="9"/>
      <c r="O53" s="10"/>
    </row>
    <row r="54" spans="1:15" x14ac:dyDescent="0.15">
      <c r="A54" s="8"/>
      <c r="B54" s="9"/>
      <c r="C54" s="9"/>
      <c r="D54" s="9"/>
      <c r="E54" s="9"/>
      <c r="F54" s="9"/>
      <c r="G54" s="9"/>
      <c r="H54" s="9"/>
      <c r="I54" s="9"/>
      <c r="J54" s="9"/>
      <c r="K54" s="9"/>
      <c r="L54" s="9"/>
      <c r="M54" s="9"/>
      <c r="N54" s="9"/>
      <c r="O54" s="10"/>
    </row>
    <row r="55" spans="1:15" x14ac:dyDescent="0.15">
      <c r="A55" s="8"/>
      <c r="B55" s="937" t="s">
        <v>21</v>
      </c>
      <c r="C55" s="938"/>
      <c r="D55" s="938"/>
      <c r="E55" s="938"/>
      <c r="F55" s="939"/>
      <c r="G55" s="19" t="s">
        <v>22</v>
      </c>
      <c r="H55" s="937" t="s">
        <v>23</v>
      </c>
      <c r="I55" s="938"/>
      <c r="J55" s="938"/>
      <c r="K55" s="938"/>
      <c r="L55" s="938"/>
      <c r="M55" s="938"/>
      <c r="N55" s="939"/>
      <c r="O55" s="10"/>
    </row>
    <row r="56" spans="1:15" ht="12.75" customHeight="1" x14ac:dyDescent="0.15">
      <c r="A56" s="8"/>
      <c r="B56" s="915" t="s">
        <v>24</v>
      </c>
      <c r="C56" s="916"/>
      <c r="D56" s="916"/>
      <c r="E56" s="916"/>
      <c r="F56" s="917"/>
      <c r="G56" s="20" t="s">
        <v>25</v>
      </c>
      <c r="H56" s="915" t="s">
        <v>26</v>
      </c>
      <c r="I56" s="916"/>
      <c r="J56" s="916"/>
      <c r="K56" s="916"/>
      <c r="L56" s="916"/>
      <c r="M56" s="916"/>
      <c r="N56" s="917"/>
      <c r="O56" s="10"/>
    </row>
    <row r="57" spans="1:15" ht="76.5" customHeight="1" x14ac:dyDescent="0.15">
      <c r="A57" s="8"/>
      <c r="B57" s="915" t="s">
        <v>27</v>
      </c>
      <c r="C57" s="916"/>
      <c r="D57" s="916"/>
      <c r="E57" s="916"/>
      <c r="F57" s="917"/>
      <c r="G57" s="20" t="s">
        <v>28</v>
      </c>
      <c r="H57" s="915" t="s">
        <v>248</v>
      </c>
      <c r="I57" s="916"/>
      <c r="J57" s="916"/>
      <c r="K57" s="916"/>
      <c r="L57" s="916"/>
      <c r="M57" s="916"/>
      <c r="N57" s="917"/>
      <c r="O57" s="10"/>
    </row>
    <row r="58" spans="1:15" ht="25.5" customHeight="1" x14ac:dyDescent="0.15">
      <c r="A58" s="8"/>
      <c r="B58" s="915" t="s">
        <v>30</v>
      </c>
      <c r="C58" s="916"/>
      <c r="D58" s="916"/>
      <c r="E58" s="916"/>
      <c r="F58" s="917"/>
      <c r="G58" s="20" t="s">
        <v>28</v>
      </c>
      <c r="H58" s="915" t="s">
        <v>31</v>
      </c>
      <c r="I58" s="916"/>
      <c r="J58" s="916"/>
      <c r="K58" s="916"/>
      <c r="L58" s="916"/>
      <c r="M58" s="916"/>
      <c r="N58" s="917"/>
      <c r="O58" s="10"/>
    </row>
    <row r="59" spans="1:15" ht="25.5" customHeight="1" x14ac:dyDescent="0.15">
      <c r="A59" s="8"/>
      <c r="B59" s="915" t="s">
        <v>32</v>
      </c>
      <c r="C59" s="916"/>
      <c r="D59" s="916"/>
      <c r="E59" s="916"/>
      <c r="F59" s="917"/>
      <c r="G59" s="20" t="s">
        <v>25</v>
      </c>
      <c r="H59" s="915" t="s">
        <v>33</v>
      </c>
      <c r="I59" s="916"/>
      <c r="J59" s="916"/>
      <c r="K59" s="916"/>
      <c r="L59" s="916"/>
      <c r="M59" s="916"/>
      <c r="N59" s="917"/>
      <c r="O59" s="10"/>
    </row>
    <row r="60" spans="1:15" ht="51" customHeight="1" x14ac:dyDescent="0.15">
      <c r="A60" s="8"/>
      <c r="B60" s="918" t="s">
        <v>359</v>
      </c>
      <c r="C60" s="919"/>
      <c r="D60" s="919"/>
      <c r="E60" s="919"/>
      <c r="F60" s="920"/>
      <c r="G60" s="608" t="s">
        <v>28</v>
      </c>
      <c r="H60" s="918" t="s">
        <v>435</v>
      </c>
      <c r="I60" s="919"/>
      <c r="J60" s="919"/>
      <c r="K60" s="919"/>
      <c r="L60" s="919"/>
      <c r="M60" s="919"/>
      <c r="N60" s="920"/>
      <c r="O60" s="10"/>
    </row>
    <row r="61" spans="1:15" x14ac:dyDescent="0.15">
      <c r="A61" s="8"/>
      <c r="B61" s="335" t="s">
        <v>11</v>
      </c>
      <c r="C61" s="336"/>
      <c r="D61" s="336"/>
      <c r="E61" s="336"/>
      <c r="F61" s="337"/>
      <c r="G61" s="20"/>
      <c r="H61" s="918"/>
      <c r="I61" s="916"/>
      <c r="J61" s="916"/>
      <c r="K61" s="916"/>
      <c r="L61" s="916"/>
      <c r="M61" s="916"/>
      <c r="N61" s="917"/>
      <c r="O61" s="10"/>
    </row>
    <row r="62" spans="1:15" ht="14" x14ac:dyDescent="0.15">
      <c r="A62" s="8"/>
      <c r="B62" s="332" t="s">
        <v>371</v>
      </c>
      <c r="C62" s="333"/>
      <c r="D62" s="333"/>
      <c r="E62" s="333"/>
      <c r="F62" s="334"/>
      <c r="G62" s="20" t="s">
        <v>25</v>
      </c>
      <c r="H62" s="918" t="s">
        <v>372</v>
      </c>
      <c r="I62" s="916"/>
      <c r="J62" s="916"/>
      <c r="K62" s="916"/>
      <c r="L62" s="916"/>
      <c r="M62" s="916"/>
      <c r="N62" s="917"/>
      <c r="O62" s="10"/>
    </row>
    <row r="63" spans="1:15" ht="24.75" customHeight="1" x14ac:dyDescent="0.15">
      <c r="A63" s="8"/>
      <c r="B63" s="332" t="s">
        <v>369</v>
      </c>
      <c r="C63" s="333"/>
      <c r="D63" s="333"/>
      <c r="E63" s="333"/>
      <c r="F63" s="334"/>
      <c r="G63" s="20" t="s">
        <v>25</v>
      </c>
      <c r="H63" s="918" t="s">
        <v>414</v>
      </c>
      <c r="I63" s="916"/>
      <c r="J63" s="916"/>
      <c r="K63" s="916"/>
      <c r="L63" s="916"/>
      <c r="M63" s="916"/>
      <c r="N63" s="917"/>
      <c r="O63" s="10"/>
    </row>
    <row r="64" spans="1:15" ht="25.5" customHeight="1" x14ac:dyDescent="0.15">
      <c r="A64" s="8"/>
      <c r="B64" s="332" t="s">
        <v>270</v>
      </c>
      <c r="C64" s="333"/>
      <c r="D64" s="333"/>
      <c r="E64" s="333"/>
      <c r="F64" s="334"/>
      <c r="G64" s="20" t="s">
        <v>25</v>
      </c>
      <c r="H64" s="918" t="s">
        <v>415</v>
      </c>
      <c r="I64" s="916"/>
      <c r="J64" s="916"/>
      <c r="K64" s="916"/>
      <c r="L64" s="916"/>
      <c r="M64" s="916"/>
      <c r="N64" s="917"/>
      <c r="O64" s="10"/>
    </row>
    <row r="65" spans="1:15" ht="76.5" customHeight="1" x14ac:dyDescent="0.15">
      <c r="A65" s="8"/>
      <c r="B65" s="607" t="s">
        <v>427</v>
      </c>
      <c r="C65" s="333"/>
      <c r="D65" s="333"/>
      <c r="E65" s="333"/>
      <c r="F65" s="334"/>
      <c r="G65" s="20" t="s">
        <v>25</v>
      </c>
      <c r="H65" s="918" t="s">
        <v>418</v>
      </c>
      <c r="I65" s="916"/>
      <c r="J65" s="916"/>
      <c r="K65" s="916"/>
      <c r="L65" s="916"/>
      <c r="M65" s="916"/>
      <c r="N65" s="917"/>
      <c r="O65" s="10"/>
    </row>
    <row r="66" spans="1:15" ht="25.5" customHeight="1" x14ac:dyDescent="0.15">
      <c r="A66" s="8"/>
      <c r="B66" s="332" t="s">
        <v>36</v>
      </c>
      <c r="C66" s="333"/>
      <c r="D66" s="333"/>
      <c r="E66" s="333"/>
      <c r="F66" s="334"/>
      <c r="G66" s="20" t="s">
        <v>25</v>
      </c>
      <c r="H66" s="918" t="s">
        <v>416</v>
      </c>
      <c r="I66" s="916"/>
      <c r="J66" s="916"/>
      <c r="K66" s="916"/>
      <c r="L66" s="916"/>
      <c r="M66" s="916"/>
      <c r="N66" s="917"/>
      <c r="O66" s="10"/>
    </row>
    <row r="67" spans="1:15" ht="12.75" customHeight="1" x14ac:dyDescent="0.15">
      <c r="A67" s="8"/>
      <c r="B67" s="332" t="s">
        <v>37</v>
      </c>
      <c r="C67" s="333"/>
      <c r="D67" s="333"/>
      <c r="E67" s="333"/>
      <c r="F67" s="334"/>
      <c r="G67" s="20" t="s">
        <v>25</v>
      </c>
      <c r="H67" s="915" t="s">
        <v>38</v>
      </c>
      <c r="I67" s="916"/>
      <c r="J67" s="916"/>
      <c r="K67" s="916"/>
      <c r="L67" s="916"/>
      <c r="M67" s="916"/>
      <c r="N67" s="917"/>
      <c r="O67" s="10"/>
    </row>
    <row r="68" spans="1:15" ht="14" x14ac:dyDescent="0.15">
      <c r="A68" s="8"/>
      <c r="B68" s="332" t="s">
        <v>39</v>
      </c>
      <c r="C68" s="333"/>
      <c r="D68" s="333"/>
      <c r="E68" s="333"/>
      <c r="F68" s="334"/>
      <c r="G68" s="20" t="s">
        <v>25</v>
      </c>
      <c r="H68" s="915" t="s">
        <v>40</v>
      </c>
      <c r="I68" s="916"/>
      <c r="J68" s="916"/>
      <c r="K68" s="916"/>
      <c r="L68" s="916"/>
      <c r="M68" s="916"/>
      <c r="N68" s="917"/>
      <c r="O68" s="10"/>
    </row>
    <row r="69" spans="1:15" ht="12.75" customHeight="1" x14ac:dyDescent="0.15">
      <c r="A69" s="8"/>
      <c r="B69" s="332" t="s">
        <v>41</v>
      </c>
      <c r="C69" s="333"/>
      <c r="D69" s="333"/>
      <c r="E69" s="333"/>
      <c r="F69" s="334"/>
      <c r="G69" s="20" t="s">
        <v>42</v>
      </c>
      <c r="H69" s="915" t="s">
        <v>43</v>
      </c>
      <c r="I69" s="916"/>
      <c r="J69" s="916"/>
      <c r="K69" s="916"/>
      <c r="L69" s="916"/>
      <c r="M69" s="916"/>
      <c r="N69" s="917"/>
      <c r="O69" s="10"/>
    </row>
    <row r="70" spans="1:15" ht="12.75" customHeight="1" x14ac:dyDescent="0.15">
      <c r="A70" s="8"/>
      <c r="B70" s="332" t="s">
        <v>44</v>
      </c>
      <c r="C70" s="333"/>
      <c r="D70" s="333"/>
      <c r="E70" s="333"/>
      <c r="F70" s="334"/>
      <c r="G70" s="20" t="s">
        <v>42</v>
      </c>
      <c r="H70" s="915" t="s">
        <v>45</v>
      </c>
      <c r="I70" s="916"/>
      <c r="J70" s="916"/>
      <c r="K70" s="916"/>
      <c r="L70" s="916"/>
      <c r="M70" s="916"/>
      <c r="N70" s="917"/>
      <c r="O70" s="10"/>
    </row>
    <row r="71" spans="1:15" ht="12.75" customHeight="1" x14ac:dyDescent="0.15">
      <c r="A71" s="8"/>
      <c r="B71" s="332" t="s">
        <v>46</v>
      </c>
      <c r="C71" s="333"/>
      <c r="D71" s="333"/>
      <c r="E71" s="333"/>
      <c r="F71" s="334"/>
      <c r="G71" s="20" t="s">
        <v>42</v>
      </c>
      <c r="H71" s="915" t="s">
        <v>47</v>
      </c>
      <c r="I71" s="916"/>
      <c r="J71" s="916"/>
      <c r="K71" s="916"/>
      <c r="L71" s="916"/>
      <c r="M71" s="916"/>
      <c r="N71" s="917"/>
      <c r="O71" s="10"/>
    </row>
    <row r="72" spans="1:15" ht="12.75" customHeight="1" x14ac:dyDescent="0.15">
      <c r="A72" s="8"/>
      <c r="B72" s="332" t="s">
        <v>48</v>
      </c>
      <c r="C72" s="333"/>
      <c r="D72" s="333"/>
      <c r="E72" s="333"/>
      <c r="F72" s="334"/>
      <c r="G72" s="20" t="s">
        <v>42</v>
      </c>
      <c r="H72" s="915" t="s">
        <v>49</v>
      </c>
      <c r="I72" s="916"/>
      <c r="J72" s="916"/>
      <c r="K72" s="916"/>
      <c r="L72" s="916"/>
      <c r="M72" s="916"/>
      <c r="N72" s="917"/>
      <c r="O72" s="10"/>
    </row>
    <row r="73" spans="1:15" ht="12.75" customHeight="1" x14ac:dyDescent="0.15">
      <c r="A73" s="8"/>
      <c r="B73" s="332" t="s">
        <v>50</v>
      </c>
      <c r="C73" s="333"/>
      <c r="D73" s="333"/>
      <c r="E73" s="333"/>
      <c r="F73" s="334"/>
      <c r="G73" s="20" t="s">
        <v>42</v>
      </c>
      <c r="H73" s="915" t="s">
        <v>51</v>
      </c>
      <c r="I73" s="916"/>
      <c r="J73" s="916"/>
      <c r="K73" s="916"/>
      <c r="L73" s="916"/>
      <c r="M73" s="916"/>
      <c r="N73" s="917"/>
      <c r="O73" s="10"/>
    </row>
    <row r="74" spans="1:15" ht="12.75" customHeight="1" x14ac:dyDescent="0.15">
      <c r="A74" s="8"/>
      <c r="B74" s="332" t="s">
        <v>52</v>
      </c>
      <c r="C74" s="333"/>
      <c r="D74" s="333"/>
      <c r="E74" s="333"/>
      <c r="F74" s="334"/>
      <c r="G74" s="20" t="s">
        <v>25</v>
      </c>
      <c r="H74" s="915" t="s">
        <v>53</v>
      </c>
      <c r="I74" s="916"/>
      <c r="J74" s="916"/>
      <c r="K74" s="916"/>
      <c r="L74" s="916"/>
      <c r="M74" s="916"/>
      <c r="N74" s="917"/>
      <c r="O74" s="10"/>
    </row>
    <row r="75" spans="1:15" ht="12.75" customHeight="1" x14ac:dyDescent="0.15">
      <c r="A75" s="8"/>
      <c r="B75" s="332" t="s">
        <v>54</v>
      </c>
      <c r="C75" s="333"/>
      <c r="D75" s="333"/>
      <c r="E75" s="333"/>
      <c r="F75" s="334"/>
      <c r="G75" s="20" t="s">
        <v>42</v>
      </c>
      <c r="H75" s="915" t="s">
        <v>55</v>
      </c>
      <c r="I75" s="916"/>
      <c r="J75" s="916"/>
      <c r="K75" s="916"/>
      <c r="L75" s="916"/>
      <c r="M75" s="916"/>
      <c r="N75" s="917"/>
      <c r="O75" s="10"/>
    </row>
    <row r="76" spans="1:15" ht="25.5" customHeight="1" x14ac:dyDescent="0.15">
      <c r="A76" s="8"/>
      <c r="B76" s="332" t="s">
        <v>100</v>
      </c>
      <c r="C76" s="333"/>
      <c r="D76" s="333"/>
      <c r="E76" s="333"/>
      <c r="F76" s="334"/>
      <c r="G76" s="20" t="s">
        <v>25</v>
      </c>
      <c r="H76" s="915" t="s">
        <v>363</v>
      </c>
      <c r="I76" s="916"/>
      <c r="J76" s="916"/>
      <c r="K76" s="916"/>
      <c r="L76" s="916"/>
      <c r="M76" s="916"/>
      <c r="N76" s="917"/>
      <c r="O76" s="10"/>
    </row>
    <row r="77" spans="1:15" ht="12.75" customHeight="1" x14ac:dyDescent="0.15">
      <c r="A77" s="8"/>
      <c r="B77" s="924" t="s">
        <v>347</v>
      </c>
      <c r="C77" s="925"/>
      <c r="D77" s="925"/>
      <c r="E77" s="925"/>
      <c r="F77" s="925"/>
      <c r="G77" s="926"/>
      <c r="H77" s="921" t="s">
        <v>350</v>
      </c>
      <c r="I77" s="922"/>
      <c r="J77" s="922"/>
      <c r="K77" s="922"/>
      <c r="L77" s="922"/>
      <c r="M77" s="922"/>
      <c r="N77" s="923"/>
      <c r="O77" s="10"/>
    </row>
    <row r="78" spans="1:15" ht="25.5" customHeight="1" x14ac:dyDescent="0.15">
      <c r="A78" s="8"/>
      <c r="B78" s="607" t="s">
        <v>56</v>
      </c>
      <c r="C78" s="333"/>
      <c r="D78" s="333"/>
      <c r="E78" s="333"/>
      <c r="F78" s="334"/>
      <c r="G78" s="608" t="s">
        <v>28</v>
      </c>
      <c r="H78" s="918" t="s">
        <v>57</v>
      </c>
      <c r="I78" s="916"/>
      <c r="J78" s="916"/>
      <c r="K78" s="916"/>
      <c r="L78" s="916"/>
      <c r="M78" s="916"/>
      <c r="N78" s="917"/>
      <c r="O78" s="10"/>
    </row>
    <row r="79" spans="1:15" ht="25.5" customHeight="1" x14ac:dyDescent="0.15">
      <c r="A79" s="8"/>
      <c r="B79" s="607" t="s">
        <v>267</v>
      </c>
      <c r="C79" s="333"/>
      <c r="D79" s="333"/>
      <c r="E79" s="333"/>
      <c r="F79" s="334"/>
      <c r="G79" s="608" t="s">
        <v>28</v>
      </c>
      <c r="H79" s="918" t="s">
        <v>349</v>
      </c>
      <c r="I79" s="919"/>
      <c r="J79" s="919"/>
      <c r="K79" s="919"/>
      <c r="L79" s="919"/>
      <c r="M79" s="919"/>
      <c r="N79" s="920"/>
      <c r="O79" s="10"/>
    </row>
    <row r="80" spans="1:15" ht="24" customHeight="1" x14ac:dyDescent="0.15">
      <c r="A80" s="8"/>
      <c r="B80" s="332" t="s">
        <v>58</v>
      </c>
      <c r="C80" s="333"/>
      <c r="D80" s="333"/>
      <c r="E80" s="333"/>
      <c r="F80" s="334"/>
      <c r="G80" s="20" t="s">
        <v>25</v>
      </c>
      <c r="H80" s="918" t="s">
        <v>417</v>
      </c>
      <c r="I80" s="916"/>
      <c r="J80" s="916"/>
      <c r="K80" s="916"/>
      <c r="L80" s="916"/>
      <c r="M80" s="916"/>
      <c r="N80" s="917"/>
      <c r="O80" s="10"/>
    </row>
    <row r="81" spans="1:15" ht="25.5" customHeight="1" x14ac:dyDescent="0.15">
      <c r="A81" s="8"/>
      <c r="B81" s="332" t="s">
        <v>59</v>
      </c>
      <c r="C81" s="333"/>
      <c r="D81" s="333"/>
      <c r="E81" s="333"/>
      <c r="F81" s="334"/>
      <c r="G81" s="20" t="s">
        <v>28</v>
      </c>
      <c r="H81" s="918" t="s">
        <v>380</v>
      </c>
      <c r="I81" s="916"/>
      <c r="J81" s="916"/>
      <c r="K81" s="916"/>
      <c r="L81" s="916"/>
      <c r="M81" s="916"/>
      <c r="N81" s="917"/>
      <c r="O81" s="10"/>
    </row>
    <row r="82" spans="1:15" ht="25.5" customHeight="1" x14ac:dyDescent="0.15">
      <c r="A82" s="8"/>
      <c r="B82" s="607" t="s">
        <v>496</v>
      </c>
      <c r="C82" s="333"/>
      <c r="D82" s="333"/>
      <c r="E82" s="333"/>
      <c r="F82" s="334"/>
      <c r="G82" s="608" t="s">
        <v>28</v>
      </c>
      <c r="H82" s="927" t="s">
        <v>498</v>
      </c>
      <c r="I82" s="960"/>
      <c r="J82" s="960"/>
      <c r="K82" s="960"/>
      <c r="L82" s="960"/>
      <c r="M82" s="960"/>
      <c r="N82" s="961"/>
      <c r="O82" s="10"/>
    </row>
    <row r="83" spans="1:15" ht="25.5" customHeight="1" x14ac:dyDescent="0.15">
      <c r="A83" s="8"/>
      <c r="B83" s="750" t="s">
        <v>495</v>
      </c>
      <c r="C83" s="842"/>
      <c r="D83" s="842"/>
      <c r="E83" s="842"/>
      <c r="F83" s="843"/>
      <c r="G83" s="844" t="s">
        <v>28</v>
      </c>
      <c r="H83" s="934" t="s">
        <v>499</v>
      </c>
      <c r="I83" s="958"/>
      <c r="J83" s="958"/>
      <c r="K83" s="958"/>
      <c r="L83" s="958"/>
      <c r="M83" s="958"/>
      <c r="N83" s="959"/>
      <c r="O83" s="10"/>
    </row>
    <row r="84" spans="1:15" ht="38.25" customHeight="1" x14ac:dyDescent="0.15">
      <c r="A84" s="8"/>
      <c r="B84" s="750" t="s">
        <v>426</v>
      </c>
      <c r="C84" s="747"/>
      <c r="D84" s="747"/>
      <c r="E84" s="747"/>
      <c r="F84" s="748"/>
      <c r="G84" s="749" t="s">
        <v>351</v>
      </c>
      <c r="H84" s="934" t="s">
        <v>436</v>
      </c>
      <c r="I84" s="956"/>
      <c r="J84" s="956"/>
      <c r="K84" s="956"/>
      <c r="L84" s="956"/>
      <c r="M84" s="956"/>
      <c r="N84" s="957"/>
      <c r="O84" s="10"/>
    </row>
    <row r="85" spans="1:15" ht="25.5" customHeight="1" x14ac:dyDescent="0.15">
      <c r="A85" s="8"/>
      <c r="B85" s="332" t="s">
        <v>61</v>
      </c>
      <c r="C85" s="333"/>
      <c r="D85" s="333"/>
      <c r="E85" s="333"/>
      <c r="F85" s="334"/>
      <c r="G85" s="608" t="s">
        <v>351</v>
      </c>
      <c r="H85" s="918" t="s">
        <v>511</v>
      </c>
      <c r="I85" s="919"/>
      <c r="J85" s="919"/>
      <c r="K85" s="919"/>
      <c r="L85" s="919"/>
      <c r="M85" s="919"/>
      <c r="N85" s="920"/>
      <c r="O85" s="10"/>
    </row>
    <row r="86" spans="1:15" ht="38.25" customHeight="1" x14ac:dyDescent="0.15">
      <c r="A86" s="8"/>
      <c r="B86" s="332" t="s">
        <v>62</v>
      </c>
      <c r="C86" s="333"/>
      <c r="D86" s="333"/>
      <c r="E86" s="333"/>
      <c r="F86" s="334"/>
      <c r="G86" s="608" t="s">
        <v>351</v>
      </c>
      <c r="H86" s="918" t="s">
        <v>539</v>
      </c>
      <c r="I86" s="919"/>
      <c r="J86" s="919"/>
      <c r="K86" s="919"/>
      <c r="L86" s="919"/>
      <c r="M86" s="919"/>
      <c r="N86" s="920"/>
      <c r="O86" s="10"/>
    </row>
    <row r="87" spans="1:15" ht="25.5" customHeight="1" x14ac:dyDescent="0.15">
      <c r="A87" s="8"/>
      <c r="B87" s="332" t="s">
        <v>63</v>
      </c>
      <c r="C87" s="333"/>
      <c r="D87" s="333"/>
      <c r="E87" s="333"/>
      <c r="F87" s="334"/>
      <c r="G87" s="608" t="s">
        <v>28</v>
      </c>
      <c r="H87" s="918" t="s">
        <v>352</v>
      </c>
      <c r="I87" s="919"/>
      <c r="J87" s="919"/>
      <c r="K87" s="919"/>
      <c r="L87" s="919"/>
      <c r="M87" s="919"/>
      <c r="N87" s="920"/>
      <c r="O87" s="10"/>
    </row>
    <row r="88" spans="1:15" ht="14" x14ac:dyDescent="0.15">
      <c r="A88" s="8"/>
      <c r="B88" s="332" t="s">
        <v>65</v>
      </c>
      <c r="C88" s="333"/>
      <c r="D88" s="333"/>
      <c r="E88" s="333"/>
      <c r="F88" s="334"/>
      <c r="G88" s="20" t="s">
        <v>42</v>
      </c>
      <c r="H88" s="915" t="s">
        <v>66</v>
      </c>
      <c r="I88" s="916"/>
      <c r="J88" s="916"/>
      <c r="K88" s="916"/>
      <c r="L88" s="916"/>
      <c r="M88" s="916"/>
      <c r="N88" s="917"/>
      <c r="O88" s="10"/>
    </row>
    <row r="89" spans="1:15" ht="12.75" customHeight="1" x14ac:dyDescent="0.15">
      <c r="A89" s="8"/>
      <c r="B89" s="335" t="s">
        <v>542</v>
      </c>
      <c r="C89" s="333"/>
      <c r="D89" s="333"/>
      <c r="E89" s="333"/>
      <c r="F89" s="334"/>
      <c r="G89" s="20"/>
      <c r="H89" s="604"/>
      <c r="I89" s="605"/>
      <c r="J89" s="605"/>
      <c r="K89" s="605"/>
      <c r="L89" s="605"/>
      <c r="M89" s="605"/>
      <c r="N89" s="606"/>
      <c r="O89" s="10"/>
    </row>
    <row r="90" spans="1:15" ht="12.75" customHeight="1" x14ac:dyDescent="0.15">
      <c r="A90" s="8"/>
      <c r="B90" s="607" t="s">
        <v>335</v>
      </c>
      <c r="C90" s="333"/>
      <c r="D90" s="333"/>
      <c r="E90" s="333"/>
      <c r="F90" s="334"/>
      <c r="G90" s="608" t="s">
        <v>28</v>
      </c>
      <c r="H90" s="918" t="s">
        <v>338</v>
      </c>
      <c r="I90" s="919"/>
      <c r="J90" s="919"/>
      <c r="K90" s="919"/>
      <c r="L90" s="919"/>
      <c r="M90" s="919"/>
      <c r="N90" s="920"/>
      <c r="O90" s="10"/>
    </row>
    <row r="91" spans="1:15" ht="12.75" customHeight="1" x14ac:dyDescent="0.15">
      <c r="A91" s="8"/>
      <c r="B91" s="332" t="s">
        <v>299</v>
      </c>
      <c r="C91" s="333"/>
      <c r="D91" s="333"/>
      <c r="E91" s="333"/>
      <c r="F91" s="334"/>
      <c r="G91" s="608" t="s">
        <v>28</v>
      </c>
      <c r="H91" s="918" t="s">
        <v>339</v>
      </c>
      <c r="I91" s="919"/>
      <c r="J91" s="919"/>
      <c r="K91" s="919"/>
      <c r="L91" s="919"/>
      <c r="M91" s="919"/>
      <c r="N91" s="920"/>
      <c r="O91" s="10"/>
    </row>
    <row r="92" spans="1:15" ht="12.75" customHeight="1" x14ac:dyDescent="0.15">
      <c r="A92" s="8"/>
      <c r="B92" s="332" t="s">
        <v>301</v>
      </c>
      <c r="C92" s="333"/>
      <c r="D92" s="333"/>
      <c r="E92" s="333"/>
      <c r="F92" s="334"/>
      <c r="G92" s="608" t="s">
        <v>28</v>
      </c>
      <c r="H92" s="918" t="s">
        <v>64</v>
      </c>
      <c r="I92" s="919"/>
      <c r="J92" s="919"/>
      <c r="K92" s="919"/>
      <c r="L92" s="919"/>
      <c r="M92" s="919"/>
      <c r="N92" s="920"/>
      <c r="O92" s="10"/>
    </row>
    <row r="93" spans="1:15" ht="25.5" customHeight="1" x14ac:dyDescent="0.15">
      <c r="A93" s="8"/>
      <c r="B93" s="607" t="s">
        <v>527</v>
      </c>
      <c r="C93" s="333"/>
      <c r="D93" s="333"/>
      <c r="E93" s="333"/>
      <c r="F93" s="334"/>
      <c r="G93" s="608" t="s">
        <v>28</v>
      </c>
      <c r="H93" s="918" t="s">
        <v>540</v>
      </c>
      <c r="I93" s="916"/>
      <c r="J93" s="916"/>
      <c r="K93" s="916"/>
      <c r="L93" s="916"/>
      <c r="M93" s="916"/>
      <c r="N93" s="917"/>
      <c r="O93" s="10"/>
    </row>
    <row r="94" spans="1:15" ht="25" customHeight="1" x14ac:dyDescent="0.15">
      <c r="A94" s="8"/>
      <c r="B94" s="332" t="s">
        <v>304</v>
      </c>
      <c r="C94" s="333"/>
      <c r="D94" s="333"/>
      <c r="E94" s="333"/>
      <c r="F94" s="334"/>
      <c r="G94" s="608" t="s">
        <v>25</v>
      </c>
      <c r="H94" s="915" t="s">
        <v>342</v>
      </c>
      <c r="I94" s="916"/>
      <c r="J94" s="916"/>
      <c r="K94" s="916"/>
      <c r="L94" s="916"/>
      <c r="M94" s="916"/>
      <c r="N94" s="917"/>
      <c r="O94" s="10"/>
    </row>
    <row r="95" spans="1:15" ht="12.75" customHeight="1" x14ac:dyDescent="0.15">
      <c r="A95" s="8"/>
      <c r="B95" s="332" t="s">
        <v>298</v>
      </c>
      <c r="C95" s="333"/>
      <c r="D95" s="333"/>
      <c r="E95" s="333"/>
      <c r="F95" s="334"/>
      <c r="G95" s="608" t="s">
        <v>28</v>
      </c>
      <c r="H95" s="918" t="s">
        <v>341</v>
      </c>
      <c r="I95" s="919"/>
      <c r="J95" s="919"/>
      <c r="K95" s="919"/>
      <c r="L95" s="919"/>
      <c r="M95" s="919"/>
      <c r="N95" s="920"/>
      <c r="O95" s="10"/>
    </row>
    <row r="96" spans="1:15" ht="25.5" customHeight="1" x14ac:dyDescent="0.15">
      <c r="A96" s="8"/>
      <c r="B96" s="332" t="s">
        <v>300</v>
      </c>
      <c r="C96" s="333"/>
      <c r="D96" s="333"/>
      <c r="E96" s="333"/>
      <c r="F96" s="334"/>
      <c r="G96" s="608" t="s">
        <v>42</v>
      </c>
      <c r="H96" s="918" t="s">
        <v>340</v>
      </c>
      <c r="I96" s="919"/>
      <c r="J96" s="919"/>
      <c r="K96" s="919"/>
      <c r="L96" s="919"/>
      <c r="M96" s="919"/>
      <c r="N96" s="920"/>
      <c r="O96" s="10"/>
    </row>
    <row r="97" spans="1:15" ht="25.5" customHeight="1" x14ac:dyDescent="0.15">
      <c r="A97" s="8"/>
      <c r="B97" s="332" t="s">
        <v>302</v>
      </c>
      <c r="C97" s="333"/>
      <c r="D97" s="333"/>
      <c r="E97" s="333"/>
      <c r="F97" s="334"/>
      <c r="G97" s="608" t="s">
        <v>28</v>
      </c>
      <c r="H97" s="918" t="s">
        <v>541</v>
      </c>
      <c r="I97" s="919"/>
      <c r="J97" s="919"/>
      <c r="K97" s="919"/>
      <c r="L97" s="919"/>
      <c r="M97" s="919"/>
      <c r="N97" s="920"/>
      <c r="O97" s="10"/>
    </row>
    <row r="98" spans="1:15" ht="38.25" customHeight="1" x14ac:dyDescent="0.15">
      <c r="A98" s="8"/>
      <c r="B98" s="332" t="s">
        <v>303</v>
      </c>
      <c r="C98" s="333"/>
      <c r="D98" s="333"/>
      <c r="E98" s="333"/>
      <c r="F98" s="334"/>
      <c r="G98" s="608" t="s">
        <v>42</v>
      </c>
      <c r="H98" s="918" t="s">
        <v>345</v>
      </c>
      <c r="I98" s="919"/>
      <c r="J98" s="919"/>
      <c r="K98" s="919"/>
      <c r="L98" s="919"/>
      <c r="M98" s="919"/>
      <c r="N98" s="920"/>
      <c r="O98" s="10"/>
    </row>
    <row r="99" spans="1:15" ht="37.5" customHeight="1" x14ac:dyDescent="0.15">
      <c r="A99" s="8"/>
      <c r="B99" s="607" t="s">
        <v>528</v>
      </c>
      <c r="C99" s="333"/>
      <c r="D99" s="333"/>
      <c r="E99" s="333"/>
      <c r="F99" s="334"/>
      <c r="G99" s="608" t="s">
        <v>42</v>
      </c>
      <c r="H99" s="918" t="s">
        <v>346</v>
      </c>
      <c r="I99" s="919"/>
      <c r="J99" s="919"/>
      <c r="K99" s="919"/>
      <c r="L99" s="919"/>
      <c r="M99" s="919"/>
      <c r="N99" s="920"/>
      <c r="O99" s="10"/>
    </row>
    <row r="100" spans="1:15" ht="45" customHeight="1" x14ac:dyDescent="0.15">
      <c r="A100" s="8"/>
      <c r="B100" s="899" t="s">
        <v>512</v>
      </c>
      <c r="C100" s="842"/>
      <c r="D100" s="842"/>
      <c r="E100" s="842"/>
      <c r="F100" s="843"/>
      <c r="G100" s="900" t="s">
        <v>28</v>
      </c>
      <c r="H100" s="934" t="s">
        <v>543</v>
      </c>
      <c r="I100" s="935"/>
      <c r="J100" s="935"/>
      <c r="K100" s="935"/>
      <c r="L100" s="935"/>
      <c r="M100" s="935"/>
      <c r="N100" s="936"/>
      <c r="O100" s="10"/>
    </row>
    <row r="101" spans="1:15" ht="47" customHeight="1" x14ac:dyDescent="0.15">
      <c r="A101" s="8"/>
      <c r="B101" s="899" t="s">
        <v>544</v>
      </c>
      <c r="C101" s="842"/>
      <c r="D101" s="842"/>
      <c r="E101" s="842"/>
      <c r="F101" s="843"/>
      <c r="G101" s="900" t="s">
        <v>28</v>
      </c>
      <c r="H101" s="934" t="s">
        <v>545</v>
      </c>
      <c r="I101" s="935"/>
      <c r="J101" s="935"/>
      <c r="K101" s="935"/>
      <c r="L101" s="935"/>
      <c r="M101" s="935"/>
      <c r="N101" s="936"/>
      <c r="O101" s="10"/>
    </row>
    <row r="102" spans="1:15" ht="52.5" customHeight="1" x14ac:dyDescent="0.15">
      <c r="A102" s="8"/>
      <c r="B102" s="899" t="s">
        <v>514</v>
      </c>
      <c r="C102" s="842"/>
      <c r="D102" s="842"/>
      <c r="E102" s="842"/>
      <c r="F102" s="843"/>
      <c r="G102" s="900" t="s">
        <v>546</v>
      </c>
      <c r="H102" s="930" t="s">
        <v>547</v>
      </c>
      <c r="I102" s="931"/>
      <c r="J102" s="931"/>
      <c r="K102" s="931"/>
      <c r="L102" s="931"/>
      <c r="M102" s="931"/>
      <c r="N102" s="932"/>
      <c r="O102" s="10"/>
    </row>
    <row r="103" spans="1:15" ht="52.5" customHeight="1" x14ac:dyDescent="0.15">
      <c r="A103" s="8"/>
      <c r="B103" s="899" t="s">
        <v>548</v>
      </c>
      <c r="C103" s="842"/>
      <c r="D103" s="842"/>
      <c r="E103" s="842"/>
      <c r="F103" s="843"/>
      <c r="G103" s="900" t="s">
        <v>546</v>
      </c>
      <c r="H103" s="930" t="s">
        <v>549</v>
      </c>
      <c r="I103" s="931"/>
      <c r="J103" s="931"/>
      <c r="K103" s="931"/>
      <c r="L103" s="931"/>
      <c r="M103" s="931"/>
      <c r="N103" s="932"/>
      <c r="O103" s="10"/>
    </row>
    <row r="104" spans="1:15" ht="52.5" customHeight="1" x14ac:dyDescent="0.15">
      <c r="A104" s="8"/>
      <c r="B104" s="899" t="s">
        <v>515</v>
      </c>
      <c r="C104" s="842"/>
      <c r="D104" s="842"/>
      <c r="E104" s="842"/>
      <c r="F104" s="843"/>
      <c r="G104" s="900" t="s">
        <v>546</v>
      </c>
      <c r="H104" s="930" t="s">
        <v>550</v>
      </c>
      <c r="I104" s="931"/>
      <c r="J104" s="931"/>
      <c r="K104" s="931"/>
      <c r="L104" s="931"/>
      <c r="M104" s="931"/>
      <c r="N104" s="932"/>
      <c r="O104" s="10"/>
    </row>
    <row r="105" spans="1:15" ht="52.5" customHeight="1" x14ac:dyDescent="0.15">
      <c r="A105" s="8"/>
      <c r="B105" s="899" t="s">
        <v>516</v>
      </c>
      <c r="C105" s="842"/>
      <c r="D105" s="842"/>
      <c r="E105" s="842"/>
      <c r="F105" s="843"/>
      <c r="G105" s="900" t="s">
        <v>546</v>
      </c>
      <c r="H105" s="930" t="s">
        <v>551</v>
      </c>
      <c r="I105" s="931"/>
      <c r="J105" s="931"/>
      <c r="K105" s="931"/>
      <c r="L105" s="931"/>
      <c r="M105" s="931"/>
      <c r="N105" s="932"/>
      <c r="O105" s="10"/>
    </row>
    <row r="106" spans="1:15" ht="52.5" customHeight="1" x14ac:dyDescent="0.15">
      <c r="A106" s="8"/>
      <c r="B106" s="750" t="s">
        <v>552</v>
      </c>
      <c r="C106" s="842"/>
      <c r="D106" s="842"/>
      <c r="E106" s="842"/>
      <c r="F106" s="843"/>
      <c r="G106" s="900" t="s">
        <v>546</v>
      </c>
      <c r="H106" s="930" t="s">
        <v>553</v>
      </c>
      <c r="I106" s="931"/>
      <c r="J106" s="931"/>
      <c r="K106" s="931"/>
      <c r="L106" s="931"/>
      <c r="M106" s="931"/>
      <c r="N106" s="932"/>
      <c r="O106" s="10"/>
    </row>
    <row r="107" spans="1:15" ht="12.75" customHeight="1" x14ac:dyDescent="0.15">
      <c r="A107" s="8"/>
      <c r="B107" s="335" t="s">
        <v>538</v>
      </c>
      <c r="C107" s="336"/>
      <c r="D107" s="336"/>
      <c r="E107" s="336"/>
      <c r="F107" s="337"/>
      <c r="G107" s="20"/>
      <c r="H107" s="604"/>
      <c r="I107" s="605"/>
      <c r="J107" s="605"/>
      <c r="K107" s="605"/>
      <c r="L107" s="605"/>
      <c r="M107" s="605"/>
      <c r="N107" s="606"/>
      <c r="O107" s="10"/>
    </row>
    <row r="108" spans="1:15" ht="25.5" customHeight="1" x14ac:dyDescent="0.15">
      <c r="A108" s="8"/>
      <c r="B108" s="332" t="s">
        <v>56</v>
      </c>
      <c r="C108" s="333"/>
      <c r="D108" s="333"/>
      <c r="E108" s="333"/>
      <c r="F108" s="334"/>
      <c r="G108" s="608" t="s">
        <v>28</v>
      </c>
      <c r="H108" s="915" t="s">
        <v>57</v>
      </c>
      <c r="I108" s="916"/>
      <c r="J108" s="916"/>
      <c r="K108" s="916"/>
      <c r="L108" s="916"/>
      <c r="M108" s="916"/>
      <c r="N108" s="917"/>
      <c r="O108" s="10"/>
    </row>
    <row r="109" spans="1:15" ht="25.5" customHeight="1" x14ac:dyDescent="0.15">
      <c r="A109" s="8"/>
      <c r="B109" s="607" t="s">
        <v>267</v>
      </c>
      <c r="C109" s="333"/>
      <c r="D109" s="333"/>
      <c r="E109" s="333"/>
      <c r="F109" s="334"/>
      <c r="G109" s="608" t="s">
        <v>28</v>
      </c>
      <c r="H109" s="918" t="s">
        <v>349</v>
      </c>
      <c r="I109" s="919"/>
      <c r="J109" s="919"/>
      <c r="K109" s="919"/>
      <c r="L109" s="919"/>
      <c r="M109" s="919"/>
      <c r="N109" s="920"/>
      <c r="O109" s="10"/>
    </row>
    <row r="110" spans="1:15" ht="25.5" customHeight="1" x14ac:dyDescent="0.15">
      <c r="A110" s="8"/>
      <c r="B110" s="332" t="s">
        <v>58</v>
      </c>
      <c r="C110" s="333"/>
      <c r="D110" s="333"/>
      <c r="E110" s="333"/>
      <c r="F110" s="334"/>
      <c r="G110" s="20" t="s">
        <v>25</v>
      </c>
      <c r="H110" s="918" t="s">
        <v>417</v>
      </c>
      <c r="I110" s="916"/>
      <c r="J110" s="916"/>
      <c r="K110" s="916"/>
      <c r="L110" s="916"/>
      <c r="M110" s="916"/>
      <c r="N110" s="917"/>
      <c r="O110" s="10"/>
    </row>
    <row r="111" spans="1:15" ht="25.5" customHeight="1" x14ac:dyDescent="0.15">
      <c r="A111" s="8"/>
      <c r="B111" s="332" t="s">
        <v>60</v>
      </c>
      <c r="C111" s="333"/>
      <c r="D111" s="333"/>
      <c r="E111" s="333"/>
      <c r="F111" s="334"/>
      <c r="G111" s="608" t="s">
        <v>28</v>
      </c>
      <c r="H111" s="927" t="s">
        <v>360</v>
      </c>
      <c r="I111" s="928"/>
      <c r="J111" s="928"/>
      <c r="K111" s="928"/>
      <c r="L111" s="928"/>
      <c r="M111" s="928"/>
      <c r="N111" s="929"/>
      <c r="O111" s="10"/>
    </row>
    <row r="112" spans="1:15" ht="25.5" customHeight="1" x14ac:dyDescent="0.15">
      <c r="A112" s="8"/>
      <c r="B112" s="332" t="s">
        <v>67</v>
      </c>
      <c r="C112" s="333"/>
      <c r="D112" s="333"/>
      <c r="E112" s="333"/>
      <c r="F112" s="334"/>
      <c r="G112" s="608" t="s">
        <v>28</v>
      </c>
      <c r="H112" s="918" t="s">
        <v>336</v>
      </c>
      <c r="I112" s="919"/>
      <c r="J112" s="919"/>
      <c r="K112" s="919"/>
      <c r="L112" s="919"/>
      <c r="M112" s="919"/>
      <c r="N112" s="920"/>
      <c r="O112" s="10"/>
    </row>
    <row r="113" spans="1:15" ht="25" customHeight="1" x14ac:dyDescent="0.15">
      <c r="A113" s="8"/>
      <c r="B113" s="607" t="s">
        <v>271</v>
      </c>
      <c r="C113" s="333"/>
      <c r="D113" s="333"/>
      <c r="E113" s="333"/>
      <c r="F113" s="334"/>
      <c r="G113" s="608" t="s">
        <v>25</v>
      </c>
      <c r="H113" s="918" t="s">
        <v>337</v>
      </c>
      <c r="I113" s="919"/>
      <c r="J113" s="919"/>
      <c r="K113" s="919"/>
      <c r="L113" s="919"/>
      <c r="M113" s="919"/>
      <c r="N113" s="920"/>
      <c r="O113" s="10"/>
    </row>
    <row r="114" spans="1:15" ht="12.75" customHeight="1" x14ac:dyDescent="0.15">
      <c r="A114" s="8"/>
      <c r="B114" s="332" t="s">
        <v>68</v>
      </c>
      <c r="C114" s="333"/>
      <c r="D114" s="333"/>
      <c r="E114" s="333"/>
      <c r="F114" s="334"/>
      <c r="G114" s="608" t="s">
        <v>28</v>
      </c>
      <c r="H114" s="915" t="s">
        <v>69</v>
      </c>
      <c r="I114" s="916"/>
      <c r="J114" s="916"/>
      <c r="K114" s="916"/>
      <c r="L114" s="916"/>
      <c r="M114" s="916"/>
      <c r="N114" s="917"/>
      <c r="O114" s="10"/>
    </row>
    <row r="115" spans="1:15" ht="12.75" customHeight="1" x14ac:dyDescent="0.15">
      <c r="A115" s="8"/>
      <c r="B115" s="332" t="s">
        <v>196</v>
      </c>
      <c r="C115" s="333"/>
      <c r="D115" s="333"/>
      <c r="E115" s="333"/>
      <c r="F115" s="334"/>
      <c r="G115" s="20" t="s">
        <v>25</v>
      </c>
      <c r="H115" s="915" t="s">
        <v>70</v>
      </c>
      <c r="I115" s="916"/>
      <c r="J115" s="916"/>
      <c r="K115" s="916"/>
      <c r="L115" s="916"/>
      <c r="M115" s="916"/>
      <c r="N115" s="917"/>
      <c r="O115" s="10"/>
    </row>
    <row r="116" spans="1:15" ht="12.75" customHeight="1" x14ac:dyDescent="0.15">
      <c r="A116" s="8"/>
      <c r="B116" s="332" t="s">
        <v>63</v>
      </c>
      <c r="C116" s="333"/>
      <c r="D116" s="333"/>
      <c r="E116" s="333"/>
      <c r="F116" s="334"/>
      <c r="G116" s="608" t="s">
        <v>28</v>
      </c>
      <c r="H116" s="915" t="s">
        <v>64</v>
      </c>
      <c r="I116" s="916"/>
      <c r="J116" s="916"/>
      <c r="K116" s="916"/>
      <c r="L116" s="916"/>
      <c r="M116" s="916"/>
      <c r="N116" s="917"/>
      <c r="O116" s="10"/>
    </row>
    <row r="117" spans="1:15" ht="14" x14ac:dyDescent="0.15">
      <c r="A117" s="8"/>
      <c r="B117" s="332" t="s">
        <v>71</v>
      </c>
      <c r="C117" s="333"/>
      <c r="D117" s="333"/>
      <c r="E117" s="333"/>
      <c r="F117" s="334"/>
      <c r="G117" s="20" t="s">
        <v>42</v>
      </c>
      <c r="H117" s="915" t="s">
        <v>66</v>
      </c>
      <c r="I117" s="916"/>
      <c r="J117" s="916"/>
      <c r="K117" s="916"/>
      <c r="L117" s="916"/>
      <c r="M117" s="916"/>
      <c r="N117" s="917"/>
      <c r="O117" s="10"/>
    </row>
    <row r="118" spans="1:15" ht="12.75" customHeight="1" x14ac:dyDescent="0.15">
      <c r="A118" s="8"/>
      <c r="B118" s="332"/>
      <c r="C118" s="333"/>
      <c r="D118" s="333"/>
      <c r="E118" s="333"/>
      <c r="F118" s="334"/>
      <c r="G118" s="20"/>
      <c r="H118" s="915"/>
      <c r="I118" s="916"/>
      <c r="J118" s="916"/>
      <c r="K118" s="916"/>
      <c r="L118" s="916"/>
      <c r="M118" s="916"/>
      <c r="N118" s="917"/>
      <c r="O118" s="10"/>
    </row>
    <row r="119" spans="1:15" ht="12.75" customHeight="1" x14ac:dyDescent="0.15">
      <c r="A119" s="8"/>
      <c r="B119" s="332" t="s">
        <v>72</v>
      </c>
      <c r="C119" s="333"/>
      <c r="D119" s="333"/>
      <c r="E119" s="333"/>
      <c r="F119" s="334"/>
      <c r="G119" s="20" t="s">
        <v>42</v>
      </c>
      <c r="H119" s="915" t="s">
        <v>73</v>
      </c>
      <c r="I119" s="916"/>
      <c r="J119" s="916"/>
      <c r="K119" s="916"/>
      <c r="L119" s="916"/>
      <c r="M119" s="916"/>
      <c r="N119" s="917"/>
      <c r="O119" s="10"/>
    </row>
    <row r="120" spans="1:15" ht="25.5" customHeight="1" x14ac:dyDescent="0.15">
      <c r="A120" s="8"/>
      <c r="B120" s="332" t="s">
        <v>74</v>
      </c>
      <c r="C120" s="333"/>
      <c r="D120" s="333"/>
      <c r="E120" s="333"/>
      <c r="F120" s="334"/>
      <c r="G120" s="20" t="s">
        <v>42</v>
      </c>
      <c r="H120" s="915" t="s">
        <v>75</v>
      </c>
      <c r="I120" s="916"/>
      <c r="J120" s="916"/>
      <c r="K120" s="916"/>
      <c r="L120" s="916"/>
      <c r="M120" s="916"/>
      <c r="N120" s="917"/>
      <c r="O120" s="10"/>
    </row>
    <row r="121" spans="1:15" ht="51" customHeight="1" x14ac:dyDescent="0.15">
      <c r="A121" s="8"/>
      <c r="B121" s="607" t="s">
        <v>343</v>
      </c>
      <c r="C121" s="333"/>
      <c r="D121" s="333"/>
      <c r="E121" s="333"/>
      <c r="F121" s="334"/>
      <c r="G121" s="608" t="s">
        <v>42</v>
      </c>
      <c r="H121" s="918" t="s">
        <v>344</v>
      </c>
      <c r="I121" s="919"/>
      <c r="J121" s="919"/>
      <c r="K121" s="919"/>
      <c r="L121" s="919"/>
      <c r="M121" s="919"/>
      <c r="N121" s="920"/>
      <c r="O121" s="10"/>
    </row>
    <row r="122" spans="1:15" ht="12.75" customHeight="1" x14ac:dyDescent="0.15">
      <c r="A122" s="8"/>
      <c r="B122" s="924" t="s">
        <v>353</v>
      </c>
      <c r="C122" s="925"/>
      <c r="D122" s="925"/>
      <c r="E122" s="925"/>
      <c r="F122" s="925"/>
      <c r="G122" s="925"/>
      <c r="H122" s="925"/>
      <c r="I122" s="925"/>
      <c r="J122" s="925"/>
      <c r="K122" s="925"/>
      <c r="L122" s="925"/>
      <c r="M122" s="925"/>
      <c r="N122" s="926"/>
      <c r="O122" s="10"/>
    </row>
    <row r="123" spans="1:15" ht="38.25" customHeight="1" x14ac:dyDescent="0.15">
      <c r="A123" s="8"/>
      <c r="B123" s="921" t="s">
        <v>249</v>
      </c>
      <c r="C123" s="922"/>
      <c r="D123" s="922"/>
      <c r="E123" s="922"/>
      <c r="F123" s="922"/>
      <c r="G123" s="922"/>
      <c r="H123" s="922"/>
      <c r="I123" s="922"/>
      <c r="J123" s="922"/>
      <c r="K123" s="922"/>
      <c r="L123" s="922"/>
      <c r="M123" s="922"/>
      <c r="N123" s="923"/>
      <c r="O123" s="10"/>
    </row>
    <row r="124" spans="1:15" ht="12.75" customHeight="1" x14ac:dyDescent="0.15">
      <c r="A124" s="8"/>
      <c r="B124" s="332" t="s">
        <v>56</v>
      </c>
      <c r="C124" s="333"/>
      <c r="D124" s="333"/>
      <c r="E124" s="333"/>
      <c r="F124" s="334"/>
      <c r="G124" s="608" t="s">
        <v>28</v>
      </c>
      <c r="H124" s="915" t="s">
        <v>57</v>
      </c>
      <c r="I124" s="916"/>
      <c r="J124" s="916"/>
      <c r="K124" s="916"/>
      <c r="L124" s="916"/>
      <c r="M124" s="916"/>
      <c r="N124" s="917"/>
      <c r="O124" s="10"/>
    </row>
    <row r="125" spans="1:15" ht="25.5" customHeight="1" x14ac:dyDescent="0.15">
      <c r="A125" s="8"/>
      <c r="B125" s="332" t="s">
        <v>246</v>
      </c>
      <c r="C125" s="333"/>
      <c r="D125" s="333"/>
      <c r="E125" s="333"/>
      <c r="F125" s="334"/>
      <c r="G125" s="20" t="s">
        <v>25</v>
      </c>
      <c r="H125" s="918" t="s">
        <v>417</v>
      </c>
      <c r="I125" s="916"/>
      <c r="J125" s="916"/>
      <c r="K125" s="916"/>
      <c r="L125" s="916"/>
      <c r="M125" s="916"/>
      <c r="N125" s="917"/>
      <c r="O125" s="10"/>
    </row>
    <row r="126" spans="1:15" ht="12.75" customHeight="1" x14ac:dyDescent="0.15">
      <c r="A126" s="8"/>
      <c r="B126" s="332" t="s">
        <v>76</v>
      </c>
      <c r="C126" s="333"/>
      <c r="D126" s="333"/>
      <c r="E126" s="333"/>
      <c r="F126" s="334"/>
      <c r="G126" s="20" t="s">
        <v>42</v>
      </c>
      <c r="H126" s="915" t="s">
        <v>77</v>
      </c>
      <c r="I126" s="916"/>
      <c r="J126" s="916"/>
      <c r="K126" s="916"/>
      <c r="L126" s="916"/>
      <c r="M126" s="916"/>
      <c r="N126" s="917"/>
      <c r="O126" s="10"/>
    </row>
    <row r="127" spans="1:15" ht="12.75" customHeight="1" x14ac:dyDescent="0.15">
      <c r="A127" s="8"/>
      <c r="B127" s="332" t="s">
        <v>67</v>
      </c>
      <c r="C127" s="333"/>
      <c r="D127" s="333"/>
      <c r="E127" s="333"/>
      <c r="F127" s="334"/>
      <c r="G127" s="20" t="s">
        <v>25</v>
      </c>
      <c r="H127" s="918" t="s">
        <v>336</v>
      </c>
      <c r="I127" s="919"/>
      <c r="J127" s="919"/>
      <c r="K127" s="919"/>
      <c r="L127" s="919"/>
      <c r="M127" s="919"/>
      <c r="N127" s="920"/>
      <c r="O127" s="10"/>
    </row>
    <row r="128" spans="1:15" ht="12.75" customHeight="1" x14ac:dyDescent="0.15">
      <c r="A128" s="8"/>
      <c r="B128" s="332" t="s">
        <v>68</v>
      </c>
      <c r="C128" s="333"/>
      <c r="D128" s="333"/>
      <c r="E128" s="333"/>
      <c r="F128" s="334"/>
      <c r="G128" s="20" t="s">
        <v>25</v>
      </c>
      <c r="H128" s="915" t="s">
        <v>69</v>
      </c>
      <c r="I128" s="916"/>
      <c r="J128" s="916"/>
      <c r="K128" s="916"/>
      <c r="L128" s="916"/>
      <c r="M128" s="916"/>
      <c r="N128" s="917"/>
      <c r="O128" s="10"/>
    </row>
    <row r="129" spans="1:15" ht="12.75" customHeight="1" x14ac:dyDescent="0.15">
      <c r="A129" s="8"/>
      <c r="B129" s="332" t="s">
        <v>196</v>
      </c>
      <c r="C129" s="333"/>
      <c r="D129" s="333"/>
      <c r="E129" s="333"/>
      <c r="F129" s="334"/>
      <c r="G129" s="20" t="s">
        <v>25</v>
      </c>
      <c r="H129" s="915" t="s">
        <v>70</v>
      </c>
      <c r="I129" s="916"/>
      <c r="J129" s="916"/>
      <c r="K129" s="916"/>
      <c r="L129" s="916"/>
      <c r="M129" s="916"/>
      <c r="N129" s="917"/>
      <c r="O129" s="10"/>
    </row>
    <row r="130" spans="1:15" ht="12.75" customHeight="1" x14ac:dyDescent="0.15">
      <c r="A130" s="8"/>
      <c r="B130" s="332" t="s">
        <v>63</v>
      </c>
      <c r="C130" s="333"/>
      <c r="D130" s="333"/>
      <c r="E130" s="333"/>
      <c r="F130" s="334"/>
      <c r="G130" s="20" t="s">
        <v>25</v>
      </c>
      <c r="H130" s="915" t="s">
        <v>64</v>
      </c>
      <c r="I130" s="916"/>
      <c r="J130" s="916"/>
      <c r="K130" s="916"/>
      <c r="L130" s="916"/>
      <c r="M130" s="916"/>
      <c r="N130" s="917"/>
      <c r="O130" s="10"/>
    </row>
    <row r="131" spans="1:15" ht="14" x14ac:dyDescent="0.15">
      <c r="A131" s="8"/>
      <c r="B131" s="332" t="s">
        <v>71</v>
      </c>
      <c r="C131" s="333"/>
      <c r="D131" s="333"/>
      <c r="E131" s="333"/>
      <c r="F131" s="334"/>
      <c r="G131" s="20" t="s">
        <v>42</v>
      </c>
      <c r="H131" s="915" t="s">
        <v>66</v>
      </c>
      <c r="I131" s="916"/>
      <c r="J131" s="916"/>
      <c r="K131" s="916"/>
      <c r="L131" s="916"/>
      <c r="M131" s="916"/>
      <c r="N131" s="917"/>
      <c r="O131" s="10"/>
    </row>
    <row r="132" spans="1:15" x14ac:dyDescent="0.15">
      <c r="A132" s="8"/>
      <c r="B132" s="950" t="s">
        <v>492</v>
      </c>
      <c r="C132" s="950"/>
      <c r="D132" s="950"/>
      <c r="E132" s="950"/>
      <c r="F132" s="950"/>
      <c r="G132" s="950"/>
      <c r="H132" s="950"/>
      <c r="I132" s="950"/>
      <c r="J132" s="950"/>
      <c r="K132" s="950"/>
      <c r="L132" s="950"/>
      <c r="M132" s="950"/>
      <c r="N132" s="950"/>
      <c r="O132" s="10"/>
    </row>
    <row r="133" spans="1:15" x14ac:dyDescent="0.15">
      <c r="A133" s="8"/>
      <c r="B133" s="951" t="s">
        <v>473</v>
      </c>
      <c r="C133" s="952"/>
      <c r="D133" s="952"/>
      <c r="E133" s="952"/>
      <c r="F133" s="953"/>
      <c r="G133" s="951" t="s">
        <v>474</v>
      </c>
      <c r="H133" s="952"/>
      <c r="I133" s="952"/>
      <c r="J133" s="952"/>
      <c r="K133" s="952"/>
      <c r="L133" s="952"/>
      <c r="M133" s="952"/>
      <c r="N133" s="953"/>
      <c r="O133" s="10"/>
    </row>
    <row r="134" spans="1:15" ht="37.5" customHeight="1" x14ac:dyDescent="0.15">
      <c r="A134" s="8"/>
      <c r="B134" s="913" t="s">
        <v>472</v>
      </c>
      <c r="C134" s="913"/>
      <c r="D134" s="913"/>
      <c r="E134" s="913"/>
      <c r="F134" s="913"/>
      <c r="G134" s="945" t="s">
        <v>475</v>
      </c>
      <c r="H134" s="946"/>
      <c r="I134" s="946"/>
      <c r="J134" s="946"/>
      <c r="K134" s="946"/>
      <c r="L134" s="946"/>
      <c r="M134" s="946"/>
      <c r="N134" s="947"/>
      <c r="O134" s="10"/>
    </row>
    <row r="135" spans="1:15" x14ac:dyDescent="0.15">
      <c r="A135" s="8"/>
      <c r="B135" s="913" t="s">
        <v>476</v>
      </c>
      <c r="C135" s="914"/>
      <c r="D135" s="914"/>
      <c r="E135" s="914"/>
      <c r="F135" s="914"/>
      <c r="G135" s="943" t="s">
        <v>485</v>
      </c>
      <c r="H135" s="944"/>
      <c r="I135" s="944"/>
      <c r="J135" s="944"/>
      <c r="K135" s="944"/>
      <c r="L135" s="944"/>
      <c r="M135" s="944"/>
      <c r="N135" s="944"/>
      <c r="O135" s="10"/>
    </row>
    <row r="136" spans="1:15" x14ac:dyDescent="0.15">
      <c r="A136" s="8"/>
      <c r="B136" s="940" t="s">
        <v>477</v>
      </c>
      <c r="C136" s="941"/>
      <c r="D136" s="941"/>
      <c r="E136" s="941"/>
      <c r="F136" s="942"/>
      <c r="G136" s="943" t="s">
        <v>486</v>
      </c>
      <c r="H136" s="943"/>
      <c r="I136" s="943"/>
      <c r="J136" s="943"/>
      <c r="K136" s="943"/>
      <c r="L136" s="943"/>
      <c r="M136" s="943"/>
      <c r="N136" s="943"/>
      <c r="O136" s="10"/>
    </row>
    <row r="137" spans="1:15" x14ac:dyDescent="0.15">
      <c r="A137" s="8"/>
      <c r="B137" s="913" t="s">
        <v>478</v>
      </c>
      <c r="C137" s="914"/>
      <c r="D137" s="914"/>
      <c r="E137" s="914"/>
      <c r="F137" s="914"/>
      <c r="G137" s="943" t="s">
        <v>487</v>
      </c>
      <c r="H137" s="944"/>
      <c r="I137" s="944"/>
      <c r="J137" s="944"/>
      <c r="K137" s="944"/>
      <c r="L137" s="944"/>
      <c r="M137" s="944"/>
      <c r="N137" s="944"/>
      <c r="O137" s="10"/>
    </row>
    <row r="138" spans="1:15" ht="30" customHeight="1" x14ac:dyDescent="0.15">
      <c r="A138" s="8"/>
      <c r="B138" s="913" t="s">
        <v>479</v>
      </c>
      <c r="C138" s="914"/>
      <c r="D138" s="914"/>
      <c r="E138" s="914"/>
      <c r="F138" s="914"/>
      <c r="G138" s="943" t="s">
        <v>488</v>
      </c>
      <c r="H138" s="944"/>
      <c r="I138" s="944"/>
      <c r="J138" s="944"/>
      <c r="K138" s="944"/>
      <c r="L138" s="944"/>
      <c r="M138" s="944"/>
      <c r="N138" s="944"/>
      <c r="O138" s="10"/>
    </row>
    <row r="139" spans="1:15" x14ac:dyDescent="0.15">
      <c r="A139" s="8"/>
      <c r="B139" s="913" t="s">
        <v>480</v>
      </c>
      <c r="C139" s="914"/>
      <c r="D139" s="914"/>
      <c r="E139" s="914"/>
      <c r="F139" s="914"/>
      <c r="G139" s="948" t="s">
        <v>494</v>
      </c>
      <c r="H139" s="949"/>
      <c r="I139" s="949"/>
      <c r="J139" s="949"/>
      <c r="K139" s="949"/>
      <c r="L139" s="949"/>
      <c r="M139" s="949"/>
      <c r="N139" s="949"/>
      <c r="O139" s="10"/>
    </row>
    <row r="140" spans="1:15" x14ac:dyDescent="0.15">
      <c r="A140" s="8"/>
      <c r="B140" s="913" t="s">
        <v>481</v>
      </c>
      <c r="C140" s="914"/>
      <c r="D140" s="914"/>
      <c r="E140" s="914"/>
      <c r="F140" s="914"/>
      <c r="G140" s="945" t="s">
        <v>489</v>
      </c>
      <c r="H140" s="946"/>
      <c r="I140" s="946"/>
      <c r="J140" s="946"/>
      <c r="K140" s="946"/>
      <c r="L140" s="946"/>
      <c r="M140" s="946"/>
      <c r="N140" s="947"/>
      <c r="O140" s="10"/>
    </row>
    <row r="141" spans="1:15" x14ac:dyDescent="0.15">
      <c r="A141" s="8"/>
      <c r="B141" s="913" t="s">
        <v>482</v>
      </c>
      <c r="C141" s="914"/>
      <c r="D141" s="914"/>
      <c r="E141" s="914"/>
      <c r="F141" s="914"/>
      <c r="G141" s="943" t="s">
        <v>490</v>
      </c>
      <c r="H141" s="944"/>
      <c r="I141" s="944"/>
      <c r="J141" s="944"/>
      <c r="K141" s="944"/>
      <c r="L141" s="944"/>
      <c r="M141" s="944"/>
      <c r="N141" s="944"/>
      <c r="O141" s="10"/>
    </row>
    <row r="142" spans="1:15" x14ac:dyDescent="0.15">
      <c r="A142" s="8"/>
      <c r="B142" s="940" t="s">
        <v>483</v>
      </c>
      <c r="C142" s="941"/>
      <c r="D142" s="941"/>
      <c r="E142" s="941"/>
      <c r="F142" s="942"/>
      <c r="G142" s="943" t="s">
        <v>491</v>
      </c>
      <c r="H142" s="944"/>
      <c r="I142" s="944"/>
      <c r="J142" s="944"/>
      <c r="K142" s="944"/>
      <c r="L142" s="944"/>
      <c r="M142" s="944"/>
      <c r="N142" s="944"/>
      <c r="O142" s="10"/>
    </row>
    <row r="143" spans="1:15" ht="25.5" customHeight="1" x14ac:dyDescent="0.15">
      <c r="A143" s="8"/>
      <c r="B143" s="913" t="s">
        <v>484</v>
      </c>
      <c r="C143" s="914"/>
      <c r="D143" s="914"/>
      <c r="E143" s="914"/>
      <c r="F143" s="914"/>
      <c r="G143" s="943" t="s">
        <v>493</v>
      </c>
      <c r="H143" s="944"/>
      <c r="I143" s="944"/>
      <c r="J143" s="944"/>
      <c r="K143" s="944"/>
      <c r="L143" s="944"/>
      <c r="M143" s="944"/>
      <c r="N143" s="944"/>
      <c r="O143" s="10"/>
    </row>
    <row r="144" spans="1:15" x14ac:dyDescent="0.15">
      <c r="A144" s="8"/>
      <c r="B144" s="9"/>
      <c r="C144" s="9"/>
      <c r="D144" s="9"/>
      <c r="E144" s="9"/>
      <c r="F144" s="9"/>
      <c r="G144" s="9"/>
      <c r="H144" s="9"/>
      <c r="I144" s="9"/>
      <c r="J144" s="9"/>
      <c r="K144" s="9"/>
      <c r="L144" s="9"/>
      <c r="M144" s="9"/>
      <c r="N144" s="9"/>
      <c r="O144" s="10"/>
    </row>
    <row r="145" spans="1:15" x14ac:dyDescent="0.15">
      <c r="A145" s="8"/>
      <c r="B145" s="9"/>
      <c r="C145" s="9"/>
      <c r="D145" s="9"/>
      <c r="E145" s="9"/>
      <c r="F145" s="9"/>
      <c r="G145" s="9"/>
      <c r="H145" s="9"/>
      <c r="I145" s="9"/>
      <c r="J145" s="9"/>
      <c r="K145" s="9"/>
      <c r="L145" s="9"/>
      <c r="M145" s="9"/>
      <c r="N145" s="9"/>
      <c r="O145" s="10"/>
    </row>
    <row r="146" spans="1:15" x14ac:dyDescent="0.15">
      <c r="A146" s="274"/>
      <c r="B146" s="21"/>
      <c r="C146" s="21"/>
      <c r="D146" s="21"/>
      <c r="E146" s="21"/>
      <c r="F146" s="21"/>
      <c r="G146" s="21"/>
      <c r="H146" s="21"/>
      <c r="I146" s="21"/>
      <c r="J146" s="21"/>
      <c r="K146" s="21"/>
      <c r="L146" s="21"/>
      <c r="M146" s="21"/>
      <c r="N146" s="21"/>
      <c r="O146" s="276"/>
    </row>
  </sheetData>
  <sheetProtection algorithmName="SHA-512" hashValue="2hNAWFFRqkHo85SIIln7mMNAj5o7it20yG3JhtS5Tsen+Yt2gU8/FcpejSttxwwKSYPH4Y1l9ovbY2SLH42SaQ==" saltValue="d3cw9CyNqxJMsCXMiTbs6g==" spinCount="100000" sheet="1" objects="1" scenarios="1"/>
  <customSheetViews>
    <customSheetView guid="{878686E5-D823-11D7-9EB6-0000F6FFAA54}" showGridLines="0" showRowCol="0" fitToPage="1" showRuler="0">
      <pageMargins left="0.19685039370078741" right="0.19685039370078741" top="0.19685039370078741" bottom="0.19685039370078741" header="0.51181102362204722" footer="0.23622047244094491"/>
      <printOptions horizontalCentered="1"/>
      <pageSetup paperSize="9" fitToHeight="2" orientation="portrait" r:id="rId1"/>
      <headerFooter alignWithMargins="0">
        <oddFooter>&amp;RLast modified: 03/03/2004</oddFooter>
      </headerFooter>
    </customSheetView>
    <customSheetView guid="{47743E36-E3F1-4AC8-AB28-1C3AD83F86F4}" showGridLines="0" showRowCol="0" fitToPage="1" showRuler="0">
      <pageMargins left="0.19685039370078741" right="0.19685039370078741" top="0.19685039370078741" bottom="0.19685039370078741" header="0.51181102362204722" footer="0.23622047244094491"/>
      <printOptions horizontalCentered="1"/>
      <pageSetup paperSize="9" fitToHeight="2" orientation="portrait" r:id="rId2"/>
      <headerFooter alignWithMargins="0">
        <oddFooter>&amp;RLast modified: 21/11/2005</oddFooter>
      </headerFooter>
    </customSheetView>
  </customSheetViews>
  <mergeCells count="113">
    <mergeCell ref="H84:N84"/>
    <mergeCell ref="H117:N117"/>
    <mergeCell ref="H67:N67"/>
    <mergeCell ref="H68:N68"/>
    <mergeCell ref="H63:N63"/>
    <mergeCell ref="H74:N74"/>
    <mergeCell ref="H75:N75"/>
    <mergeCell ref="H77:N77"/>
    <mergeCell ref="H78:N78"/>
    <mergeCell ref="H109:N109"/>
    <mergeCell ref="H91:N91"/>
    <mergeCell ref="H96:N96"/>
    <mergeCell ref="H97:N97"/>
    <mergeCell ref="H98:N98"/>
    <mergeCell ref="H95:N95"/>
    <mergeCell ref="H94:N94"/>
    <mergeCell ref="H92:N92"/>
    <mergeCell ref="H93:N93"/>
    <mergeCell ref="H99:N99"/>
    <mergeCell ref="H108:N108"/>
    <mergeCell ref="H83:N83"/>
    <mergeCell ref="H80:N80"/>
    <mergeCell ref="H76:N76"/>
    <mergeCell ref="H82:N82"/>
    <mergeCell ref="H85:N85"/>
    <mergeCell ref="B16:N16"/>
    <mergeCell ref="B77:G77"/>
    <mergeCell ref="B2:N2"/>
    <mergeCell ref="H79:N79"/>
    <mergeCell ref="B57:F57"/>
    <mergeCell ref="H57:N57"/>
    <mergeCell ref="B22:N22"/>
    <mergeCell ref="H69:N69"/>
    <mergeCell ref="H60:N60"/>
    <mergeCell ref="B21:N21"/>
    <mergeCell ref="H61:N61"/>
    <mergeCell ref="H62:N62"/>
    <mergeCell ref="H65:N65"/>
    <mergeCell ref="H64:N64"/>
    <mergeCell ref="B42:N42"/>
    <mergeCell ref="B29:N29"/>
    <mergeCell ref="B48:N48"/>
    <mergeCell ref="B55:F55"/>
    <mergeCell ref="B60:F60"/>
    <mergeCell ref="H70:N70"/>
    <mergeCell ref="H71:N71"/>
    <mergeCell ref="H72:N72"/>
    <mergeCell ref="H73:N73"/>
    <mergeCell ref="H66:N66"/>
    <mergeCell ref="B142:F142"/>
    <mergeCell ref="B143:F143"/>
    <mergeCell ref="G135:N135"/>
    <mergeCell ref="G136:N136"/>
    <mergeCell ref="G137:N137"/>
    <mergeCell ref="G138:N138"/>
    <mergeCell ref="G140:N140"/>
    <mergeCell ref="G139:N139"/>
    <mergeCell ref="G141:N141"/>
    <mergeCell ref="G142:N142"/>
    <mergeCell ref="G143:N143"/>
    <mergeCell ref="B135:F135"/>
    <mergeCell ref="B136:F136"/>
    <mergeCell ref="B137:F137"/>
    <mergeCell ref="B138:F138"/>
    <mergeCell ref="B139:F139"/>
    <mergeCell ref="B141:F141"/>
    <mergeCell ref="B132:N132"/>
    <mergeCell ref="G133:N133"/>
    <mergeCell ref="B133:F133"/>
    <mergeCell ref="B134:F134"/>
    <mergeCell ref="G134:N134"/>
    <mergeCell ref="H121:N121"/>
    <mergeCell ref="H110:N110"/>
    <mergeCell ref="H130:N130"/>
    <mergeCell ref="H131:N131"/>
    <mergeCell ref="H124:N124"/>
    <mergeCell ref="H106:N106"/>
    <mergeCell ref="B35:N35"/>
    <mergeCell ref="H100:N100"/>
    <mergeCell ref="H101:N101"/>
    <mergeCell ref="H102:N102"/>
    <mergeCell ref="H103:N103"/>
    <mergeCell ref="H104:N104"/>
    <mergeCell ref="H105:N105"/>
    <mergeCell ref="H55:N55"/>
    <mergeCell ref="B59:F59"/>
    <mergeCell ref="H59:N59"/>
    <mergeCell ref="B58:F58"/>
    <mergeCell ref="H58:N58"/>
    <mergeCell ref="B56:F56"/>
    <mergeCell ref="H56:N56"/>
    <mergeCell ref="H90:N90"/>
    <mergeCell ref="H81:N81"/>
    <mergeCell ref="H86:N86"/>
    <mergeCell ref="H88:N88"/>
    <mergeCell ref="H87:N87"/>
    <mergeCell ref="B140:F140"/>
    <mergeCell ref="H126:N126"/>
    <mergeCell ref="H125:N125"/>
    <mergeCell ref="H127:N127"/>
    <mergeCell ref="H128:N128"/>
    <mergeCell ref="H129:N129"/>
    <mergeCell ref="B123:N123"/>
    <mergeCell ref="B122:N122"/>
    <mergeCell ref="H111:N111"/>
    <mergeCell ref="H112:N112"/>
    <mergeCell ref="H118:N118"/>
    <mergeCell ref="H119:N119"/>
    <mergeCell ref="H113:N113"/>
    <mergeCell ref="H114:N114"/>
    <mergeCell ref="H115:N115"/>
    <mergeCell ref="H116:N116"/>
    <mergeCell ref="H120:N120"/>
  </mergeCells>
  <phoneticPr fontId="27" type="noConversion"/>
  <printOptions horizontalCentered="1"/>
  <pageMargins left="0.19685039370078741" right="0.19685039370078741" top="0.19685039370078741" bottom="0.19685039370078741" header="0.51181102362204722" footer="0.23622047244094491"/>
  <pageSetup paperSize="9" fitToHeight="2" orientation="portrait" r:id="rId3"/>
  <headerFooter alignWithMargins="0">
    <oddFooter>&amp;L&amp;1#&amp;"Arial"&amp;9&amp;K000000&amp;RLast modified: 5 Feb 2021</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2049" r:id="rId6" name="Button 1">
              <controlPr defaultSize="0" print="0" autoFill="0" autoPict="0" macro="[0]!cmdMenu">
                <anchor moveWithCells="1" sizeWithCells="1">
                  <from>
                    <xdr:col>12</xdr:col>
                    <xdr:colOff>165100</xdr:colOff>
                    <xdr:row>2</xdr:row>
                    <xdr:rowOff>0</xdr:rowOff>
                  </from>
                  <to>
                    <xdr:col>14</xdr:col>
                    <xdr:colOff>0</xdr:colOff>
                    <xdr:row>3</xdr:row>
                    <xdr:rowOff>177800</xdr:rowOff>
                  </to>
                </anchor>
              </controlPr>
            </control>
          </mc:Choice>
        </mc:AlternateContent>
        <mc:AlternateContent xmlns:mc="http://schemas.openxmlformats.org/markup-compatibility/2006">
          <mc:Choice Requires="x14">
            <control shapeId="2050" r:id="rId7" name="Button 2">
              <controlPr defaultSize="0" print="0" autoFill="0" autoPict="0" macro="[0]!cmdMenu">
                <anchor moveWithCells="1" sizeWithCells="1">
                  <from>
                    <xdr:col>1</xdr:col>
                    <xdr:colOff>0</xdr:colOff>
                    <xdr:row>143</xdr:row>
                    <xdr:rowOff>76200</xdr:rowOff>
                  </from>
                  <to>
                    <xdr:col>2</xdr:col>
                    <xdr:colOff>444500</xdr:colOff>
                    <xdr:row>145</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autoPageBreaks="0" fitToPage="1"/>
  </sheetPr>
  <dimension ref="A1:Q72"/>
  <sheetViews>
    <sheetView showGridLines="0" showRowColHeaders="0" tabSelected="1" zoomScaleNormal="100" workbookViewId="0">
      <selection activeCell="I12" sqref="I12"/>
    </sheetView>
  </sheetViews>
  <sheetFormatPr baseColWidth="10" defaultColWidth="8.83203125" defaultRowHeight="13" x14ac:dyDescent="0.15"/>
  <cols>
    <col min="1" max="1" width="1.6640625" customWidth="1"/>
    <col min="2" max="2" width="45.5" customWidth="1"/>
    <col min="3" max="3" width="14.83203125" bestFit="1" customWidth="1"/>
    <col min="4" max="4" width="10.33203125" customWidth="1"/>
    <col min="5" max="5" width="15.6640625" customWidth="1"/>
    <col min="6" max="6" width="11.6640625" customWidth="1"/>
    <col min="7" max="10" width="13.1640625" customWidth="1"/>
    <col min="11" max="11" width="14.1640625" customWidth="1"/>
    <col min="12" max="12" width="17.6640625" customWidth="1"/>
    <col min="13" max="13" width="1.6640625" customWidth="1"/>
    <col min="15" max="15" width="0" hidden="1" customWidth="1"/>
  </cols>
  <sheetData>
    <row r="1" spans="1:16" ht="14" thickBot="1" x14ac:dyDescent="0.2">
      <c r="A1" s="255"/>
      <c r="B1" s="256"/>
      <c r="C1" s="706"/>
      <c r="D1" s="256"/>
      <c r="E1" s="256"/>
      <c r="F1" s="256"/>
      <c r="G1" s="256"/>
      <c r="H1" s="256"/>
      <c r="I1" s="256"/>
      <c r="J1" s="256"/>
      <c r="K1" s="256"/>
      <c r="L1" s="256"/>
      <c r="M1" s="257"/>
      <c r="P1" s="849">
        <f>Data!G32</f>
        <v>5.0999999999999997E-2</v>
      </c>
    </row>
    <row r="2" spans="1:16" ht="24" customHeight="1" thickBot="1" x14ac:dyDescent="0.2">
      <c r="A2" s="265"/>
      <c r="B2" s="23" t="s">
        <v>78</v>
      </c>
      <c r="C2" s="392"/>
      <c r="D2" s="392"/>
      <c r="E2" s="392"/>
      <c r="F2" s="24"/>
      <c r="G2" s="24"/>
      <c r="H2" s="24"/>
      <c r="I2" s="24"/>
      <c r="J2" s="25"/>
      <c r="K2" s="9"/>
      <c r="L2" s="266"/>
      <c r="M2" s="26"/>
      <c r="P2" s="850">
        <f>Data!G33</f>
        <v>2.5000000000000001E-2</v>
      </c>
    </row>
    <row r="3" spans="1:16" ht="18" customHeight="1" x14ac:dyDescent="0.15">
      <c r="A3" s="265"/>
      <c r="B3" s="27"/>
      <c r="C3" s="27"/>
      <c r="D3" s="27"/>
      <c r="E3" s="27"/>
      <c r="F3" s="28"/>
      <c r="G3" s="28"/>
      <c r="H3" s="28"/>
      <c r="I3" s="28"/>
      <c r="J3" s="28"/>
      <c r="K3" s="28"/>
      <c r="L3" s="266"/>
      <c r="M3" s="26"/>
    </row>
    <row r="4" spans="1:16" x14ac:dyDescent="0.15">
      <c r="A4" s="265"/>
      <c r="B4" s="30"/>
      <c r="C4" s="30"/>
      <c r="D4" s="30"/>
      <c r="E4" s="30" t="s">
        <v>79</v>
      </c>
      <c r="F4" s="983" t="s">
        <v>563</v>
      </c>
      <c r="G4" s="984"/>
      <c r="H4" s="9"/>
      <c r="I4" s="30" t="s">
        <v>80</v>
      </c>
      <c r="J4" s="983"/>
      <c r="K4" s="984"/>
      <c r="L4" s="266"/>
      <c r="M4" s="26"/>
    </row>
    <row r="5" spans="1:16" x14ac:dyDescent="0.15">
      <c r="A5" s="265"/>
      <c r="B5" s="31"/>
      <c r="C5" s="31"/>
      <c r="D5" s="31"/>
      <c r="E5" s="31" t="s">
        <v>81</v>
      </c>
      <c r="F5" s="985"/>
      <c r="G5" s="986"/>
      <c r="H5" s="9"/>
      <c r="I5" s="31" t="s">
        <v>82</v>
      </c>
      <c r="J5" s="985"/>
      <c r="K5" s="986"/>
      <c r="L5" s="266"/>
      <c r="M5" s="26"/>
    </row>
    <row r="6" spans="1:16" x14ac:dyDescent="0.15">
      <c r="A6" s="265"/>
      <c r="B6" s="28"/>
      <c r="C6" s="28"/>
      <c r="D6" s="28"/>
      <c r="E6" s="28"/>
      <c r="F6" s="28"/>
      <c r="G6" s="28"/>
      <c r="H6" s="28"/>
      <c r="I6" s="32"/>
      <c r="J6" s="32"/>
      <c r="K6" s="28"/>
      <c r="L6" s="266"/>
      <c r="M6" s="26"/>
    </row>
    <row r="7" spans="1:16" x14ac:dyDescent="0.15">
      <c r="A7" s="265"/>
      <c r="B7" s="28" t="s">
        <v>27</v>
      </c>
      <c r="C7" s="28"/>
      <c r="D7" s="28"/>
      <c r="E7" s="28"/>
      <c r="F7" s="28"/>
      <c r="G7" s="28"/>
      <c r="H7" s="33">
        <v>1</v>
      </c>
      <c r="I7" s="9"/>
      <c r="K7" s="818" t="str">
        <f>IF(H7&gt;COUNT(H10:K10),"must be at least one adult residing in each household",IF(AND(H7&gt;L16,H7=COUNTA(G16:J16)),"Each household must have an applicant assigned",IF(H7&gt;COUNTA(G16:J16),"There cannot be more households than applicants",IF(COUNTA(G16:J16)&gt;SUM(H10:K10)," Number of applicants cannot be more than the total number of adults           ",""))))</f>
        <v/>
      </c>
      <c r="L7" s="266"/>
      <c r="M7" s="26"/>
    </row>
    <row r="8" spans="1:16" ht="25.5" hidden="1" customHeight="1" x14ac:dyDescent="0.15">
      <c r="A8" s="265"/>
      <c r="B8" s="979" t="s">
        <v>29</v>
      </c>
      <c r="C8" s="979"/>
      <c r="D8" s="979"/>
      <c r="E8" s="979"/>
      <c r="F8" s="979"/>
      <c r="G8" s="980"/>
      <c r="H8" s="34"/>
      <c r="I8" s="9"/>
      <c r="K8" s="818" t="str">
        <f>IF(H8&gt;COUNT(H11:K11),"must be at least one adult residing in each household",IF(AND(H8&gt;L17,H8=COUNTA(G17:J17)),"Each household must have an applicant assigned",IF(H8&gt;COUNTA(G17:J17),"There cannot be more households than applicants",IF(COUNTA(G17:J17)&gt;SUM(H11:K11)," Number of applicants cannot be more than the total number of adults",""))))</f>
        <v xml:space="preserve"> Number of applicants cannot be more than the total number of adults</v>
      </c>
      <c r="L8" s="266"/>
      <c r="M8" s="26"/>
    </row>
    <row r="9" spans="1:16" x14ac:dyDescent="0.15">
      <c r="A9" s="265"/>
      <c r="B9" s="28"/>
      <c r="C9" s="28"/>
      <c r="D9" s="28"/>
      <c r="E9" s="28"/>
      <c r="F9" s="28"/>
      <c r="G9" s="28"/>
      <c r="H9" s="35" t="s">
        <v>83</v>
      </c>
      <c r="I9" s="92" t="str">
        <f>IF(H7&gt;1,"Household 2","")</f>
        <v/>
      </c>
      <c r="J9" s="92" t="str">
        <f>IF(H7&gt;2,"Household 3","")</f>
        <v/>
      </c>
      <c r="K9" s="92" t="str">
        <f>IF(H7&gt;3,"Household 4","")</f>
        <v/>
      </c>
      <c r="L9" s="266"/>
      <c r="M9" s="26"/>
    </row>
    <row r="10" spans="1:16" x14ac:dyDescent="0.15">
      <c r="A10" s="265"/>
      <c r="B10" s="28" t="s">
        <v>30</v>
      </c>
      <c r="C10" s="28"/>
      <c r="D10" s="28"/>
      <c r="E10" s="28"/>
      <c r="F10" s="28"/>
      <c r="G10" s="28"/>
      <c r="H10" s="33">
        <v>1</v>
      </c>
      <c r="I10" s="344"/>
      <c r="J10" s="344"/>
      <c r="K10" s="344"/>
      <c r="L10" s="266"/>
      <c r="M10" s="26"/>
    </row>
    <row r="11" spans="1:16" x14ac:dyDescent="0.15">
      <c r="A11" s="265"/>
      <c r="B11" s="28" t="s">
        <v>32</v>
      </c>
      <c r="C11" s="28"/>
      <c r="D11" s="28"/>
      <c r="E11" s="28"/>
      <c r="F11" s="28"/>
      <c r="G11" s="28"/>
      <c r="H11" s="33">
        <v>0</v>
      </c>
      <c r="I11" s="344"/>
      <c r="J11" s="344"/>
      <c r="K11" s="344"/>
      <c r="L11" s="266"/>
      <c r="M11" s="26"/>
    </row>
    <row r="12" spans="1:16" x14ac:dyDescent="0.15">
      <c r="A12" s="265"/>
      <c r="B12" s="379" t="s">
        <v>362</v>
      </c>
      <c r="C12" s="379"/>
      <c r="D12" s="28"/>
      <c r="E12" s="28"/>
      <c r="F12" s="28"/>
      <c r="G12" s="28"/>
      <c r="H12" s="611">
        <v>3000</v>
      </c>
      <c r="I12" s="612"/>
      <c r="J12" s="612"/>
      <c r="K12" s="612"/>
      <c r="L12" s="266"/>
      <c r="M12" s="26"/>
    </row>
    <row r="13" spans="1:16" x14ac:dyDescent="0.15">
      <c r="A13" s="265"/>
      <c r="B13" s="28"/>
      <c r="C13" s="28"/>
      <c r="D13" s="28"/>
      <c r="E13" s="28"/>
      <c r="F13" s="28"/>
      <c r="G13" s="28"/>
      <c r="H13" s="28"/>
      <c r="I13" s="32"/>
      <c r="J13" s="32"/>
      <c r="K13" s="28"/>
      <c r="L13" s="28"/>
      <c r="M13" s="26"/>
    </row>
    <row r="14" spans="1:16" ht="24" customHeight="1" x14ac:dyDescent="0.15">
      <c r="A14" s="265"/>
      <c r="B14" s="36" t="s">
        <v>84</v>
      </c>
      <c r="C14" s="819"/>
      <c r="D14" s="37"/>
      <c r="E14" s="37"/>
      <c r="F14" s="342"/>
      <c r="G14" s="38" t="s">
        <v>85</v>
      </c>
      <c r="H14" s="39" t="s">
        <v>86</v>
      </c>
      <c r="I14" s="39" t="s">
        <v>87</v>
      </c>
      <c r="J14" s="39" t="s">
        <v>88</v>
      </c>
      <c r="K14" s="343"/>
      <c r="L14" s="40" t="s">
        <v>89</v>
      </c>
      <c r="M14" s="26"/>
    </row>
    <row r="15" spans="1:16" x14ac:dyDescent="0.15">
      <c r="A15" s="265"/>
      <c r="B15" s="28"/>
      <c r="C15" s="28"/>
      <c r="D15" s="28"/>
      <c r="E15" s="28"/>
      <c r="F15" s="28"/>
      <c r="G15" s="28"/>
      <c r="H15" s="28"/>
      <c r="I15" s="28"/>
      <c r="J15" s="28"/>
      <c r="K15" s="28"/>
      <c r="L15" s="28"/>
      <c r="M15" s="26"/>
    </row>
    <row r="16" spans="1:16" x14ac:dyDescent="0.15">
      <c r="A16" s="265"/>
      <c r="B16" s="379" t="s">
        <v>468</v>
      </c>
      <c r="C16" s="379"/>
      <c r="D16" s="28"/>
      <c r="E16" s="28"/>
      <c r="F16" s="28"/>
      <c r="G16" s="797" t="s">
        <v>83</v>
      </c>
      <c r="H16" s="798"/>
      <c r="I16" s="799"/>
      <c r="J16" s="800"/>
      <c r="K16" s="28"/>
      <c r="L16" s="809">
        <f>IF(COUNTIF(G16:J16,"Household 1")&gt;0,1,0)+IF(COUNTIF(G16:J16,"Household 2")&gt;0,1,0)+IF(COUNTIF(G16:J16,"Household 3")&gt;0,1,0)+IF(COUNTIF(G16:J16,"Household 4")&gt;0,1,0)</f>
        <v>1</v>
      </c>
      <c r="M16" s="26"/>
      <c r="N16" s="816"/>
    </row>
    <row r="17" spans="1:13" x14ac:dyDescent="0.15">
      <c r="A17" s="265"/>
      <c r="B17" s="379" t="s">
        <v>371</v>
      </c>
      <c r="C17" s="379"/>
      <c r="D17" s="41"/>
      <c r="E17" s="41"/>
      <c r="F17" s="9"/>
      <c r="G17" s="376">
        <v>70000</v>
      </c>
      <c r="H17" s="43"/>
      <c r="I17" s="42"/>
      <c r="J17" s="44"/>
      <c r="K17" s="45" t="s">
        <v>91</v>
      </c>
      <c r="L17" s="351">
        <f>SUM(G17:J17)</f>
        <v>70000</v>
      </c>
      <c r="M17" s="26"/>
    </row>
    <row r="18" spans="1:13" x14ac:dyDescent="0.15">
      <c r="A18" s="265"/>
      <c r="B18" s="379" t="s">
        <v>369</v>
      </c>
      <c r="C18" s="379"/>
      <c r="D18" s="41"/>
      <c r="E18" s="41"/>
      <c r="F18" s="9"/>
      <c r="G18" s="376"/>
      <c r="H18" s="43"/>
      <c r="I18" s="42"/>
      <c r="J18" s="44"/>
      <c r="K18" s="45" t="s">
        <v>91</v>
      </c>
      <c r="L18" s="351">
        <f>SUM(G18:J18)*Data!C20</f>
        <v>0</v>
      </c>
      <c r="M18" s="26"/>
    </row>
    <row r="19" spans="1:13" x14ac:dyDescent="0.15">
      <c r="A19" s="265"/>
      <c r="B19" s="379" t="s">
        <v>270</v>
      </c>
      <c r="C19" s="379"/>
      <c r="D19" s="379"/>
      <c r="E19" s="379"/>
      <c r="F19" s="9"/>
      <c r="G19" s="376"/>
      <c r="H19" s="43"/>
      <c r="I19" s="42"/>
      <c r="J19" s="44"/>
      <c r="K19" s="45" t="s">
        <v>91</v>
      </c>
      <c r="L19" s="351">
        <f>SUM(G19:J19)*Data!C21</f>
        <v>0</v>
      </c>
      <c r="M19" s="26"/>
    </row>
    <row r="20" spans="1:13" x14ac:dyDescent="0.15">
      <c r="A20" s="265"/>
      <c r="B20" s="28" t="s">
        <v>34</v>
      </c>
      <c r="C20" s="28"/>
      <c r="D20" s="28"/>
      <c r="E20" s="28"/>
      <c r="F20" s="9"/>
      <c r="G20" s="716">
        <f>'Rental Yield'!F54</f>
        <v>0</v>
      </c>
      <c r="H20" s="716">
        <f>'Rental Yield'!G54</f>
        <v>0</v>
      </c>
      <c r="I20" s="716">
        <f>'Rental Yield'!H54</f>
        <v>0</v>
      </c>
      <c r="J20" s="716">
        <f>'Rental Yield'!I54</f>
        <v>0</v>
      </c>
      <c r="K20" s="45"/>
      <c r="L20" s="351">
        <f>SUM(G20:J20)</f>
        <v>0</v>
      </c>
      <c r="M20" s="26"/>
    </row>
    <row r="21" spans="1:13" x14ac:dyDescent="0.15">
      <c r="A21" s="265"/>
      <c r="B21" s="28" t="s">
        <v>35</v>
      </c>
      <c r="C21" s="28"/>
      <c r="D21" s="28"/>
      <c r="E21" s="28"/>
      <c r="F21" s="9"/>
      <c r="G21" s="717">
        <f>'Rental Yield'!F55</f>
        <v>0</v>
      </c>
      <c r="H21" s="717">
        <f>'Rental Yield'!G55</f>
        <v>0</v>
      </c>
      <c r="I21" s="717">
        <f>'Rental Yield'!H55</f>
        <v>0</v>
      </c>
      <c r="J21" s="717">
        <f>'Rental Yield'!I55</f>
        <v>0</v>
      </c>
      <c r="K21" s="45"/>
      <c r="L21" s="351">
        <f>SUM(G21:J21)</f>
        <v>0</v>
      </c>
      <c r="M21" s="26"/>
    </row>
    <row r="22" spans="1:13" x14ac:dyDescent="0.15">
      <c r="A22" s="265"/>
      <c r="B22" s="28" t="s">
        <v>36</v>
      </c>
      <c r="C22" s="28"/>
      <c r="D22" s="28"/>
      <c r="E22" s="28"/>
      <c r="F22" s="9"/>
      <c r="G22" s="42"/>
      <c r="H22" s="46"/>
      <c r="I22" s="42"/>
      <c r="J22" s="44"/>
      <c r="K22" s="45" t="s">
        <v>91</v>
      </c>
      <c r="L22" s="351">
        <f>SUM(G22:J22)*Data!C22</f>
        <v>0</v>
      </c>
      <c r="M22" s="26"/>
    </row>
    <row r="23" spans="1:13" x14ac:dyDescent="0.15">
      <c r="A23" s="265"/>
      <c r="B23" s="28" t="s">
        <v>37</v>
      </c>
      <c r="C23" s="28"/>
      <c r="D23" s="28"/>
      <c r="E23" s="28"/>
      <c r="F23" s="9"/>
      <c r="G23" s="42"/>
      <c r="H23" s="46"/>
      <c r="I23" s="42"/>
      <c r="J23" s="44"/>
      <c r="K23" s="45" t="s">
        <v>91</v>
      </c>
      <c r="L23" s="351">
        <f>SUM(G23:J23)*Data!G30</f>
        <v>0</v>
      </c>
      <c r="M23" s="26"/>
    </row>
    <row r="24" spans="1:13" x14ac:dyDescent="0.15">
      <c r="A24" s="265"/>
      <c r="B24" s="28" t="s">
        <v>39</v>
      </c>
      <c r="C24" s="28"/>
      <c r="D24" s="28"/>
      <c r="E24" s="28"/>
      <c r="F24" s="9"/>
      <c r="G24" s="42"/>
      <c r="H24" s="46"/>
      <c r="I24" s="42"/>
      <c r="J24" s="44"/>
      <c r="K24" s="45" t="s">
        <v>91</v>
      </c>
      <c r="L24" s="351">
        <f>SUM(G24:J24)</f>
        <v>0</v>
      </c>
      <c r="M24" s="26"/>
    </row>
    <row r="25" spans="1:13" x14ac:dyDescent="0.15">
      <c r="A25" s="265"/>
      <c r="B25" s="28" t="s">
        <v>41</v>
      </c>
      <c r="C25" s="28"/>
      <c r="D25" s="28"/>
      <c r="E25" s="28"/>
      <c r="F25" s="9"/>
      <c r="G25" s="47">
        <f>'Self Employed'!J10+'Self Employed'!J15+'Self Employed'!J17</f>
        <v>0</v>
      </c>
      <c r="H25" s="47">
        <f>'Self Employed'!J30+'Self Employed'!J35+'Self Employed'!J37</f>
        <v>0</v>
      </c>
      <c r="I25" s="47">
        <f>'Self Employed'!J50+'Self Employed'!J55+'Self Employed'!J57</f>
        <v>0</v>
      </c>
      <c r="J25" s="47">
        <f>'Self Employed'!J70+'Self Employed'!J75+'Self Employed'!J77</f>
        <v>0</v>
      </c>
      <c r="K25" s="9"/>
      <c r="L25" s="351">
        <f>SUM(G25:J25)</f>
        <v>0</v>
      </c>
      <c r="M25" s="26"/>
    </row>
    <row r="26" spans="1:13" x14ac:dyDescent="0.15">
      <c r="A26" s="265"/>
      <c r="B26" s="48" t="s">
        <v>44</v>
      </c>
      <c r="C26" s="48"/>
      <c r="D26" s="48"/>
      <c r="E26" s="48"/>
      <c r="F26" s="9"/>
      <c r="G26" s="49">
        <f>SUM(G17:G25)</f>
        <v>70000</v>
      </c>
      <c r="H26" s="49">
        <f>SUM(H17:H25)</f>
        <v>0</v>
      </c>
      <c r="I26" s="49">
        <f>SUM(I17:I25)</f>
        <v>0</v>
      </c>
      <c r="J26" s="49">
        <f>SUM(J17:J25)</f>
        <v>0</v>
      </c>
      <c r="K26" s="9"/>
      <c r="L26" s="351">
        <f>SUM(L17:L25)</f>
        <v>70000</v>
      </c>
      <c r="M26" s="26"/>
    </row>
    <row r="27" spans="1:13" x14ac:dyDescent="0.15">
      <c r="A27" s="265"/>
      <c r="B27" s="379" t="s">
        <v>561</v>
      </c>
      <c r="C27" s="28"/>
      <c r="D27" s="28"/>
      <c r="E27" s="28"/>
      <c r="F27" s="9"/>
      <c r="G27" s="50">
        <f>Calculations!C13-Calculations!C15-Calculations!C16</f>
        <v>12137</v>
      </c>
      <c r="H27" s="50">
        <f>Calculations!G13-Calculations!G15-Calculations!G16</f>
        <v>0</v>
      </c>
      <c r="I27" s="50">
        <f>Calculations!K13-Calculations!K15-Calculations!K16</f>
        <v>0</v>
      </c>
      <c r="J27" s="50">
        <f>Calculations!O13-Calculations!O15-Calculations!O16</f>
        <v>0</v>
      </c>
      <c r="K27" s="9"/>
      <c r="L27" s="351">
        <f>G27+H27+I27+J27</f>
        <v>12137</v>
      </c>
      <c r="M27" s="26"/>
    </row>
    <row r="28" spans="1:13" x14ac:dyDescent="0.15">
      <c r="A28" s="265"/>
      <c r="B28" s="28" t="s">
        <v>48</v>
      </c>
      <c r="C28" s="28"/>
      <c r="D28" s="28"/>
      <c r="E28" s="28"/>
      <c r="F28" s="9"/>
      <c r="G28" s="50">
        <f>Calculations!C14</f>
        <v>1400</v>
      </c>
      <c r="H28" s="50">
        <f>Calculations!G14</f>
        <v>0</v>
      </c>
      <c r="I28" s="50">
        <f>Calculations!K14</f>
        <v>0</v>
      </c>
      <c r="J28" s="50">
        <f>Calculations!O14</f>
        <v>0</v>
      </c>
      <c r="K28" s="9"/>
      <c r="L28" s="351">
        <f>ROUND((Calculations!C14+Calculations!G14+Calculations!K14+Calculations!O14),0)</f>
        <v>1400</v>
      </c>
      <c r="M28" s="26"/>
    </row>
    <row r="29" spans="1:13" x14ac:dyDescent="0.15">
      <c r="A29" s="265"/>
      <c r="B29" s="28" t="s">
        <v>50</v>
      </c>
      <c r="C29" s="28"/>
      <c r="D29" s="28"/>
      <c r="E29" s="28"/>
      <c r="F29" s="9"/>
      <c r="G29" s="51">
        <f>Calculations!C29</f>
        <v>0</v>
      </c>
      <c r="H29" s="51">
        <f>Calculations!G29</f>
        <v>0</v>
      </c>
      <c r="I29" s="51">
        <f>Calculations!K29</f>
        <v>0</v>
      </c>
      <c r="J29" s="51">
        <f>Calculations!O29</f>
        <v>0</v>
      </c>
      <c r="K29" s="9"/>
      <c r="L29" s="351">
        <f>ROUND((Calculations!C17+Calculations!G17+Calculations!K17+Calculations!O17)-(Calculations!C25+Calculations!G25+Calculations!K25+Calculations!O25),0)</f>
        <v>0</v>
      </c>
      <c r="M29" s="26"/>
    </row>
    <row r="30" spans="1:13" x14ac:dyDescent="0.15">
      <c r="A30" s="265"/>
      <c r="B30" s="28" t="s">
        <v>97</v>
      </c>
      <c r="C30" s="28"/>
      <c r="D30" s="28"/>
      <c r="E30" s="28"/>
      <c r="F30" s="9"/>
      <c r="G30" s="42"/>
      <c r="H30" s="46"/>
      <c r="I30" s="42"/>
      <c r="J30" s="44"/>
      <c r="K30" s="45" t="s">
        <v>91</v>
      </c>
      <c r="L30" s="351">
        <f>SUM(G30:J30)*Data!G28</f>
        <v>0</v>
      </c>
      <c r="M30" s="26"/>
    </row>
    <row r="31" spans="1:13" ht="14" thickBot="1" x14ac:dyDescent="0.2">
      <c r="A31" s="265"/>
      <c r="B31" s="28" t="s">
        <v>54</v>
      </c>
      <c r="C31" s="28"/>
      <c r="D31" s="28"/>
      <c r="E31" s="28"/>
      <c r="F31" s="28"/>
      <c r="G31" s="52">
        <f>'Self Employed'!J19-'Self Employed'!J15-'Self Employed'!J17</f>
        <v>0</v>
      </c>
      <c r="H31" s="52">
        <f>'Self Employed'!J39-'Self Employed'!J35-'Self Employed'!J37</f>
        <v>0</v>
      </c>
      <c r="I31" s="53">
        <f>'Self Employed'!J59-'Self Employed'!J55-'Self Employed'!J57</f>
        <v>0</v>
      </c>
      <c r="J31" s="331">
        <f>'Self Employed'!J79-'Self Employed'!J75-'Self Employed'!J77</f>
        <v>0</v>
      </c>
      <c r="K31" s="30"/>
      <c r="L31" s="352">
        <f>SUM(G31:J31)</f>
        <v>0</v>
      </c>
      <c r="M31" s="26"/>
    </row>
    <row r="32" spans="1:13" s="56" customFormat="1" ht="14" thickBot="1" x14ac:dyDescent="0.2">
      <c r="A32" s="265"/>
      <c r="B32" s="266"/>
      <c r="C32" s="266"/>
      <c r="D32" s="266"/>
      <c r="E32" s="266"/>
      <c r="F32" s="266"/>
      <c r="G32" s="266"/>
      <c r="H32" s="266"/>
      <c r="I32" s="266"/>
      <c r="J32" s="54" t="s">
        <v>98</v>
      </c>
      <c r="K32" s="266"/>
      <c r="L32" s="353">
        <f>L26-L27-L28+L29+L30+L31</f>
        <v>56463</v>
      </c>
      <c r="M32" s="55"/>
    </row>
    <row r="33" spans="1:17" ht="14" thickBot="1" x14ac:dyDescent="0.2">
      <c r="A33" s="265"/>
      <c r="B33" s="266"/>
      <c r="C33" s="266"/>
      <c r="D33" s="266"/>
      <c r="E33" s="266"/>
      <c r="F33" s="266"/>
      <c r="G33" s="266"/>
      <c r="H33" s="266"/>
      <c r="I33" s="266"/>
      <c r="J33" s="54" t="s">
        <v>99</v>
      </c>
      <c r="K33" s="266"/>
      <c r="L33" s="353">
        <f>L32/12</f>
        <v>4705.25</v>
      </c>
      <c r="M33" s="26"/>
    </row>
    <row r="34" spans="1:17" x14ac:dyDescent="0.15">
      <c r="A34" s="265"/>
      <c r="B34" s="266"/>
      <c r="C34" s="266"/>
      <c r="D34" s="266"/>
      <c r="E34" s="266"/>
      <c r="F34" s="266"/>
      <c r="G34" s="266"/>
      <c r="H34" s="266"/>
      <c r="I34" s="266"/>
      <c r="J34" s="54" t="s">
        <v>100</v>
      </c>
      <c r="K34" s="266"/>
      <c r="L34" s="354"/>
      <c r="M34" s="26"/>
    </row>
    <row r="35" spans="1:17" x14ac:dyDescent="0.15">
      <c r="A35" s="265"/>
      <c r="B35" s="266"/>
      <c r="C35" s="266"/>
      <c r="D35" s="266"/>
      <c r="E35" s="266"/>
      <c r="F35" s="266"/>
      <c r="G35" s="266"/>
      <c r="H35" s="266"/>
      <c r="I35" s="266"/>
      <c r="J35" s="32"/>
      <c r="K35" s="28"/>
      <c r="L35" s="28"/>
      <c r="M35" s="26"/>
    </row>
    <row r="36" spans="1:17" ht="24" customHeight="1" x14ac:dyDescent="0.15">
      <c r="A36" s="265"/>
      <c r="B36" s="36" t="s">
        <v>101</v>
      </c>
      <c r="C36" s="819"/>
      <c r="D36" s="37"/>
      <c r="E36" s="37"/>
      <c r="F36" s="37"/>
      <c r="G36" s="37"/>
      <c r="H36" s="37"/>
      <c r="I36" s="37"/>
      <c r="J36" s="37"/>
      <c r="K36" s="37"/>
      <c r="L36" s="57"/>
      <c r="M36" s="26"/>
    </row>
    <row r="37" spans="1:17" x14ac:dyDescent="0.15">
      <c r="A37" s="265"/>
      <c r="B37" s="28"/>
      <c r="C37" s="28"/>
      <c r="D37" s="28"/>
      <c r="E37" s="28"/>
      <c r="F37" s="28"/>
      <c r="G37" s="28"/>
      <c r="H37" s="28"/>
      <c r="I37" s="28"/>
      <c r="J37" s="28"/>
      <c r="K37" s="28"/>
      <c r="L37" s="28"/>
      <c r="M37" s="26"/>
    </row>
    <row r="38" spans="1:17" ht="51" customHeight="1" x14ac:dyDescent="0.15">
      <c r="A38" s="265"/>
      <c r="B38" s="58" t="s">
        <v>56</v>
      </c>
      <c r="C38" s="728" t="s">
        <v>267</v>
      </c>
      <c r="D38" s="58" t="s">
        <v>246</v>
      </c>
      <c r="E38" s="58" t="s">
        <v>59</v>
      </c>
      <c r="F38" s="393" t="s">
        <v>496</v>
      </c>
      <c r="G38" s="820" t="s">
        <v>495</v>
      </c>
      <c r="H38" s="740" t="s">
        <v>426</v>
      </c>
      <c r="I38" s="58" t="s">
        <v>61</v>
      </c>
      <c r="J38" s="58" t="s">
        <v>62</v>
      </c>
      <c r="K38" s="58" t="s">
        <v>63</v>
      </c>
      <c r="L38" s="20" t="s">
        <v>65</v>
      </c>
      <c r="M38" s="26"/>
    </row>
    <row r="39" spans="1:17" x14ac:dyDescent="0.15">
      <c r="A39" s="265"/>
      <c r="B39" s="59"/>
      <c r="C39" s="727"/>
      <c r="D39" s="381"/>
      <c r="E39" s="381"/>
      <c r="F39" s="61"/>
      <c r="G39" s="824"/>
      <c r="H39" s="745"/>
      <c r="I39" s="395"/>
      <c r="J39" s="367"/>
      <c r="K39" s="367"/>
      <c r="L39" s="357">
        <f>Calculations!S8</f>
        <v>0</v>
      </c>
      <c r="M39" s="26"/>
      <c r="O39" t="b">
        <f>IF(OR(B39="CBA Variable Rate Home Loan",B39="CBA Fixed Rate Home Loan",B39="CBA Line of Credit"),NOT(Calculations!U8),FALSE)</f>
        <v>0</v>
      </c>
    </row>
    <row r="40" spans="1:17" x14ac:dyDescent="0.15">
      <c r="A40" s="265"/>
      <c r="B40" s="59"/>
      <c r="C40" s="730"/>
      <c r="D40" s="60"/>
      <c r="E40" s="381"/>
      <c r="F40" s="61"/>
      <c r="G40" s="825"/>
      <c r="H40" s="745"/>
      <c r="I40" s="395"/>
      <c r="J40" s="367"/>
      <c r="K40" s="367"/>
      <c r="L40" s="357">
        <f>Calculations!S9</f>
        <v>0</v>
      </c>
      <c r="M40" s="26"/>
      <c r="O40" t="b">
        <f>IF(OR(B40="CBA Variable Rate Home Loan",B40="CBA Fixed Rate Home Loan",B40="CBA Line of Credit"),NOT(Calculations!U9),FALSE)</f>
        <v>0</v>
      </c>
    </row>
    <row r="41" spans="1:17" x14ac:dyDescent="0.15">
      <c r="A41" s="265"/>
      <c r="B41" s="59"/>
      <c r="C41" s="730"/>
      <c r="D41" s="381"/>
      <c r="E41" s="381"/>
      <c r="F41" s="61"/>
      <c r="G41" s="825"/>
      <c r="H41" s="745"/>
      <c r="I41" s="395"/>
      <c r="J41" s="367"/>
      <c r="K41" s="367"/>
      <c r="L41" s="357">
        <f>Calculations!S10</f>
        <v>0</v>
      </c>
      <c r="M41" s="26"/>
      <c r="O41" t="b">
        <f>IF(OR(B41="CBA Variable Rate Home Loan",B41="CBA Fixed Rate Home Loan",B41="CBA Line of Credit"),NOT(Calculations!U10),FALSE)</f>
        <v>0</v>
      </c>
    </row>
    <row r="42" spans="1:17" x14ac:dyDescent="0.15">
      <c r="A42" s="265"/>
      <c r="B42" s="59"/>
      <c r="C42" s="730"/>
      <c r="D42" s="60"/>
      <c r="E42" s="381"/>
      <c r="F42" s="61"/>
      <c r="G42" s="825"/>
      <c r="H42" s="745"/>
      <c r="I42" s="395"/>
      <c r="J42" s="367"/>
      <c r="K42" s="367"/>
      <c r="L42" s="357">
        <f>Calculations!S11</f>
        <v>0</v>
      </c>
      <c r="M42" s="26"/>
      <c r="O42" t="b">
        <f>IF(OR(B42="CBA Variable Rate Home Loan",B42="CBA Fixed Rate Home Loan",B42="CBA Line of Credit"),NOT(Calculations!U11),FALSE)</f>
        <v>0</v>
      </c>
    </row>
    <row r="43" spans="1:17" x14ac:dyDescent="0.15">
      <c r="A43" s="265"/>
      <c r="B43" s="59"/>
      <c r="C43" s="730"/>
      <c r="D43" s="60"/>
      <c r="E43" s="381"/>
      <c r="F43" s="61"/>
      <c r="G43" s="825"/>
      <c r="H43" s="745"/>
      <c r="I43" s="395"/>
      <c r="J43" s="367"/>
      <c r="K43" s="367"/>
      <c r="L43" s="357">
        <f>Calculations!S12</f>
        <v>0</v>
      </c>
      <c r="M43" s="26"/>
      <c r="O43" t="b">
        <f>IF(OR(B43="CBA Variable Rate Home Loan",B43="CBA Fixed Rate Home Loan",B43="CBA Line of Credit"),NOT(Calculations!U12),FALSE)</f>
        <v>0</v>
      </c>
      <c r="Q43" s="826"/>
    </row>
    <row r="44" spans="1:17" x14ac:dyDescent="0.15">
      <c r="A44" s="265"/>
      <c r="B44" s="380"/>
      <c r="C44" s="727"/>
      <c r="D44" s="60"/>
      <c r="E44" s="381"/>
      <c r="F44" s="61"/>
      <c r="G44" s="825"/>
      <c r="H44" s="745"/>
      <c r="I44" s="395"/>
      <c r="J44" s="367"/>
      <c r="K44" s="367"/>
      <c r="L44" s="357">
        <f>Calculations!S13</f>
        <v>0</v>
      </c>
      <c r="M44" s="26"/>
      <c r="O44" t="b">
        <f>IF(OR(B44="CBA Variable Rate Home Loan",B44="CBA Fixed Rate Home Loan",B44="CBA Line of Credit"),NOT(Calculations!U13),FALSE)</f>
        <v>0</v>
      </c>
    </row>
    <row r="45" spans="1:17" ht="14" thickBot="1" x14ac:dyDescent="0.2">
      <c r="A45" s="265"/>
      <c r="B45" s="59"/>
      <c r="C45" s="727"/>
      <c r="D45" s="60"/>
      <c r="E45" s="60"/>
      <c r="F45" s="61"/>
      <c r="G45" s="825"/>
      <c r="H45" s="745"/>
      <c r="I45" s="395"/>
      <c r="J45" s="367"/>
      <c r="K45" s="367"/>
      <c r="L45" s="357">
        <f>Calculations!S14</f>
        <v>0</v>
      </c>
      <c r="M45" s="26"/>
      <c r="O45" t="b">
        <f>IF(OR(B45="CBA Variable Rate Home Loan",B45="CBA Fixed Rate Home Loan",B45="CBA Line of Credit"),NOT(Calculations!U14),FALSE)</f>
        <v>0</v>
      </c>
    </row>
    <row r="46" spans="1:17" ht="14" thickBot="1" x14ac:dyDescent="0.2">
      <c r="A46" s="265"/>
      <c r="B46" s="987" t="str">
        <f>IF(AND(Calculations!V15,NOT(Calculations!W15)),"Click ""Negative Gearing"" button to input details.","")</f>
        <v/>
      </c>
      <c r="C46" s="988"/>
      <c r="D46" s="987"/>
      <c r="E46" s="987"/>
      <c r="F46" s="266"/>
      <c r="G46" s="266"/>
      <c r="H46" s="266"/>
      <c r="I46" s="266"/>
      <c r="J46" s="62" t="s">
        <v>102</v>
      </c>
      <c r="K46" s="9"/>
      <c r="L46" s="358">
        <f>SUM(L39:L45)</f>
        <v>0</v>
      </c>
      <c r="M46" s="26"/>
      <c r="O46" s="205" t="b">
        <f>OR(O39:O45)</f>
        <v>0</v>
      </c>
    </row>
    <row r="47" spans="1:17" ht="25.5" customHeight="1" x14ac:dyDescent="0.15">
      <c r="A47" s="265"/>
      <c r="B47" s="989" t="str">
        <f>IF(AND(O46,Calculations!U15=FALSE),". Enter the current interest rate for this product. Refer CommBroker for more information","")</f>
        <v/>
      </c>
      <c r="C47" s="989"/>
      <c r="D47" s="989"/>
      <c r="E47" s="989"/>
      <c r="F47" s="989"/>
      <c r="G47" s="989"/>
      <c r="H47" s="266"/>
      <c r="I47" s="266"/>
      <c r="J47" s="266"/>
      <c r="K47" s="266"/>
      <c r="L47" s="266"/>
      <c r="M47" s="26"/>
    </row>
    <row r="48" spans="1:17" x14ac:dyDescent="0.15">
      <c r="A48" s="265"/>
      <c r="B48" s="266"/>
      <c r="C48" s="266"/>
      <c r="D48" s="266"/>
      <c r="E48" s="266"/>
      <c r="F48" s="266"/>
      <c r="G48" s="266"/>
      <c r="H48" s="266"/>
      <c r="I48" s="266"/>
      <c r="J48" s="266"/>
      <c r="K48" s="266"/>
      <c r="L48" s="266"/>
      <c r="M48" s="26"/>
    </row>
    <row r="49" spans="1:13" ht="24" customHeight="1" x14ac:dyDescent="0.15">
      <c r="A49" s="265"/>
      <c r="B49" s="36" t="s">
        <v>103</v>
      </c>
      <c r="C49" s="819"/>
      <c r="D49" s="37"/>
      <c r="E49" s="37"/>
      <c r="F49" s="63"/>
      <c r="G49" s="63"/>
      <c r="H49" s="63"/>
      <c r="I49" s="64"/>
      <c r="J49" s="65"/>
      <c r="K49" s="63"/>
      <c r="L49" s="66"/>
      <c r="M49" s="26"/>
    </row>
    <row r="50" spans="1:13" s="56" customFormat="1" x14ac:dyDescent="0.15">
      <c r="A50" s="265"/>
      <c r="B50" s="266"/>
      <c r="C50" s="266"/>
      <c r="D50" s="266"/>
      <c r="E50" s="266"/>
      <c r="F50" s="266"/>
      <c r="G50" s="266"/>
      <c r="H50" s="266"/>
      <c r="I50" s="266"/>
      <c r="J50" s="266"/>
      <c r="K50" s="266"/>
      <c r="L50" s="266"/>
      <c r="M50" s="67"/>
    </row>
    <row r="51" spans="1:13" ht="39" customHeight="1" x14ac:dyDescent="0.15">
      <c r="A51" s="265"/>
      <c r="B51" s="990" t="s">
        <v>56</v>
      </c>
      <c r="C51" s="991"/>
      <c r="D51" s="992"/>
      <c r="E51" s="393" t="s">
        <v>267</v>
      </c>
      <c r="F51" s="58" t="s">
        <v>246</v>
      </c>
      <c r="G51" s="58" t="s">
        <v>76</v>
      </c>
      <c r="H51" s="393" t="s">
        <v>67</v>
      </c>
      <c r="I51" s="58" t="s">
        <v>68</v>
      </c>
      <c r="J51" s="58" t="s">
        <v>196</v>
      </c>
      <c r="K51" s="58" t="s">
        <v>63</v>
      </c>
      <c r="L51" s="20" t="s">
        <v>71</v>
      </c>
      <c r="M51" s="26"/>
    </row>
    <row r="52" spans="1:13" x14ac:dyDescent="0.15">
      <c r="A52" s="265"/>
      <c r="B52" s="993" t="s">
        <v>421</v>
      </c>
      <c r="C52" s="994"/>
      <c r="D52" s="995"/>
      <c r="E52" s="380" t="s">
        <v>268</v>
      </c>
      <c r="F52" s="381"/>
      <c r="G52" s="61">
        <v>300000</v>
      </c>
      <c r="H52" s="395">
        <v>5.0999999999999997E-2</v>
      </c>
      <c r="I52" s="68">
        <v>30</v>
      </c>
      <c r="J52" s="68"/>
      <c r="K52" s="366">
        <v>0</v>
      </c>
      <c r="L52" s="357">
        <f>Calculations!S17</f>
        <v>1629</v>
      </c>
      <c r="M52" s="26"/>
    </row>
    <row r="53" spans="1:13" x14ac:dyDescent="0.15">
      <c r="A53" s="265"/>
      <c r="B53" s="996"/>
      <c r="C53" s="997"/>
      <c r="D53" s="998"/>
      <c r="E53" s="380"/>
      <c r="F53" s="381"/>
      <c r="G53" s="61"/>
      <c r="H53" s="395"/>
      <c r="I53" s="68"/>
      <c r="J53" s="68"/>
      <c r="K53" s="366"/>
      <c r="L53" s="357">
        <f>Calculations!S18</f>
        <v>0</v>
      </c>
      <c r="M53" s="26"/>
    </row>
    <row r="54" spans="1:13" x14ac:dyDescent="0.15">
      <c r="A54" s="265"/>
      <c r="B54" s="993"/>
      <c r="C54" s="994"/>
      <c r="D54" s="995"/>
      <c r="E54" s="380"/>
      <c r="F54" s="381"/>
      <c r="G54" s="61"/>
      <c r="H54" s="395"/>
      <c r="I54" s="68"/>
      <c r="J54" s="68"/>
      <c r="K54" s="366"/>
      <c r="L54" s="357">
        <f>Calculations!S19</f>
        <v>0</v>
      </c>
      <c r="M54" s="26"/>
    </row>
    <row r="55" spans="1:13" ht="12.75" customHeight="1" x14ac:dyDescent="0.15">
      <c r="A55" s="265"/>
      <c r="B55" s="993"/>
      <c r="C55" s="994"/>
      <c r="D55" s="995"/>
      <c r="E55" s="380"/>
      <c r="F55" s="381"/>
      <c r="G55" s="61"/>
      <c r="H55" s="395"/>
      <c r="I55" s="68"/>
      <c r="J55" s="68"/>
      <c r="K55" s="366"/>
      <c r="L55" s="357">
        <f>Calculations!S20</f>
        <v>0</v>
      </c>
      <c r="M55" s="26"/>
    </row>
    <row r="56" spans="1:13" x14ac:dyDescent="0.15">
      <c r="A56" s="265"/>
      <c r="B56" s="993"/>
      <c r="C56" s="994"/>
      <c r="D56" s="995"/>
      <c r="E56" s="380"/>
      <c r="F56" s="381"/>
      <c r="G56" s="61"/>
      <c r="H56" s="395"/>
      <c r="I56" s="68"/>
      <c r="J56" s="68"/>
      <c r="K56" s="366"/>
      <c r="L56" s="357">
        <f>Calculations!S21</f>
        <v>0</v>
      </c>
      <c r="M56" s="26"/>
    </row>
    <row r="57" spans="1:13" ht="13.5" customHeight="1" thickBot="1" x14ac:dyDescent="0.2">
      <c r="A57" s="265"/>
      <c r="B57" s="993"/>
      <c r="C57" s="994"/>
      <c r="D57" s="995"/>
      <c r="E57" s="380"/>
      <c r="F57" s="381"/>
      <c r="G57" s="61"/>
      <c r="H57" s="395"/>
      <c r="I57" s="68"/>
      <c r="J57" s="68"/>
      <c r="K57" s="366"/>
      <c r="L57" s="357">
        <f>Calculations!S22</f>
        <v>0</v>
      </c>
      <c r="M57" s="26"/>
    </row>
    <row r="58" spans="1:13" ht="14" thickBot="1" x14ac:dyDescent="0.2">
      <c r="A58" s="265"/>
      <c r="B58" s="966" t="str">
        <f>IF(AND(Calculations!V23,NOT(Calculations!W23)),"Click ""Negative Gearing"" button to input details.","")</f>
        <v/>
      </c>
      <c r="C58" s="967"/>
      <c r="D58" s="966"/>
      <c r="E58" s="966"/>
      <c r="F58" s="9"/>
      <c r="G58" s="9"/>
      <c r="H58" s="266"/>
      <c r="I58" s="266"/>
      <c r="J58" s="62" t="s">
        <v>251</v>
      </c>
      <c r="K58" s="9"/>
      <c r="L58" s="358">
        <f>Calculations!S24</f>
        <v>1629</v>
      </c>
      <c r="M58" s="26"/>
    </row>
    <row r="59" spans="1:13" ht="14" thickBot="1" x14ac:dyDescent="0.2">
      <c r="A59" s="265"/>
      <c r="B59" s="266"/>
      <c r="C59" s="266"/>
      <c r="D59" s="266"/>
      <c r="E59" s="266"/>
      <c r="F59" s="266"/>
      <c r="G59" s="266"/>
      <c r="H59" s="266"/>
      <c r="I59" s="266"/>
      <c r="J59" s="266"/>
      <c r="K59" s="266"/>
      <c r="L59" s="266"/>
      <c r="M59" s="26"/>
    </row>
    <row r="60" spans="1:13" s="74" customFormat="1" ht="16.5" customHeight="1" thickBot="1" x14ac:dyDescent="0.2">
      <c r="A60" s="265"/>
      <c r="D60" s="69"/>
      <c r="E60" s="69" t="s">
        <v>104</v>
      </c>
      <c r="F60" s="981" t="str">
        <f>IF(Calculations!V5,Calculations!G44,"Input Incomplete")</f>
        <v>PASS</v>
      </c>
      <c r="G60" s="982"/>
      <c r="H60" s="70"/>
      <c r="I60" s="69" t="s">
        <v>105</v>
      </c>
      <c r="J60" s="71">
        <f>IF(Calculations!V5,Calculations!S26,"")</f>
        <v>0.27925714285714287</v>
      </c>
      <c r="K60" s="70"/>
      <c r="L60" s="70"/>
      <c r="M60" s="72"/>
    </row>
    <row r="61" spans="1:13" s="75" customFormat="1" ht="16.5" customHeight="1" thickBot="1" x14ac:dyDescent="0.2">
      <c r="A61" s="265"/>
      <c r="B61" s="313"/>
      <c r="C61" s="313"/>
      <c r="D61" s="313"/>
      <c r="E61" s="69" t="s">
        <v>500</v>
      </c>
      <c r="F61" s="977">
        <f>IF(Calculations!V5,Calculations!B53,"")</f>
        <v>4.29</v>
      </c>
      <c r="G61" s="978"/>
      <c r="H61" s="41"/>
      <c r="I61" s="54" t="s">
        <v>265</v>
      </c>
      <c r="J61" s="377">
        <f>Calculations!S33</f>
        <v>76.25</v>
      </c>
      <c r="K61" s="41"/>
      <c r="L61" s="41"/>
      <c r="M61" s="67"/>
    </row>
    <row r="62" spans="1:13" s="75" customFormat="1" ht="25.5" customHeight="1" x14ac:dyDescent="0.15">
      <c r="A62" s="265"/>
      <c r="B62" s="266"/>
      <c r="C62" s="266"/>
      <c r="D62" s="865" t="str">
        <f>IF(OR(F61&lt;=6,F61=""), " "," The debt to income ratio is high. Ensure all income sources and account variations are captured accurately.")</f>
        <v xml:space="preserve"> </v>
      </c>
      <c r="E62" s="266"/>
      <c r="F62" s="266"/>
      <c r="G62" s="266"/>
      <c r="H62" s="266"/>
      <c r="I62" s="266"/>
      <c r="J62" s="266"/>
      <c r="K62" s="266"/>
      <c r="L62" s="266"/>
      <c r="M62" s="67"/>
    </row>
    <row r="63" spans="1:13" ht="24" customHeight="1" x14ac:dyDescent="0.15">
      <c r="A63" s="265"/>
      <c r="B63" s="36" t="s">
        <v>226</v>
      </c>
      <c r="C63" s="819"/>
      <c r="D63" s="37"/>
      <c r="E63" s="37"/>
      <c r="F63" s="76"/>
      <c r="G63" s="76"/>
      <c r="H63" s="76"/>
      <c r="I63" s="76"/>
      <c r="J63" s="76"/>
      <c r="K63" s="76"/>
      <c r="L63" s="77"/>
      <c r="M63" s="26"/>
    </row>
    <row r="64" spans="1:13" x14ac:dyDescent="0.15">
      <c r="A64" s="265"/>
      <c r="B64" s="266"/>
      <c r="C64" s="266"/>
      <c r="D64" s="266"/>
      <c r="E64" s="266"/>
      <c r="F64" s="266"/>
      <c r="G64" s="266"/>
      <c r="H64" s="266"/>
      <c r="I64" s="266"/>
      <c r="J64" s="266"/>
      <c r="K64" s="266"/>
      <c r="L64" s="266"/>
      <c r="M64" s="10"/>
    </row>
    <row r="65" spans="1:13" ht="39" customHeight="1" x14ac:dyDescent="0.15">
      <c r="A65" s="265"/>
      <c r="B65" s="968" t="s">
        <v>56</v>
      </c>
      <c r="C65" s="969"/>
      <c r="D65" s="970"/>
      <c r="E65" s="394" t="s">
        <v>267</v>
      </c>
      <c r="F65" s="20" t="s">
        <v>246</v>
      </c>
      <c r="G65" s="58" t="s">
        <v>76</v>
      </c>
      <c r="H65" s="58" t="s">
        <v>67</v>
      </c>
      <c r="I65" s="58" t="s">
        <v>68</v>
      </c>
      <c r="J65" s="58" t="s">
        <v>196</v>
      </c>
      <c r="K65" s="58" t="s">
        <v>63</v>
      </c>
      <c r="L65" s="58" t="s">
        <v>71</v>
      </c>
      <c r="M65" s="10"/>
    </row>
    <row r="66" spans="1:13" x14ac:dyDescent="0.15">
      <c r="A66" s="265"/>
      <c r="B66" s="971" t="str">
        <f>IF(AND(B52&lt;&gt;"",B52&lt;&gt;"Credit Card"),B52,"")</f>
        <v>CBA Variable Rate Home Loan</v>
      </c>
      <c r="C66" s="972"/>
      <c r="D66" s="973"/>
      <c r="E66" s="318" t="str">
        <f>IF(AND(E52&lt;&gt;"",E52&lt;&gt;"Credit Card"),E52,"")</f>
        <v>Owner Occupied</v>
      </c>
      <c r="F66" s="320" t="str">
        <f>IF(F52="","",F52)</f>
        <v/>
      </c>
      <c r="G66" s="363">
        <f>IF(Calculations!V5,IF(Calculations!S37&lt;0,0,Calculations!S37),0)</f>
        <v>314025</v>
      </c>
      <c r="H66" s="397">
        <f>IF(H52="","",H52)</f>
        <v>5.0999999999999997E-2</v>
      </c>
      <c r="I66" s="78">
        <f>IF(I52="","",I52)</f>
        <v>30</v>
      </c>
      <c r="J66" s="78" t="str">
        <f>IF(J52="","",J52)</f>
        <v/>
      </c>
      <c r="K66" s="303">
        <f>IF(K52="","",K52)</f>
        <v>0</v>
      </c>
      <c r="L66" s="361">
        <f>IF(Calculations!V5,IF(Calculations!S37&lt;=0,0,Calculations!S36),0)</f>
        <v>1705</v>
      </c>
      <c r="M66" s="10"/>
    </row>
    <row r="67" spans="1:13" x14ac:dyDescent="0.15">
      <c r="A67" s="265"/>
      <c r="B67" s="974"/>
      <c r="C67" s="975"/>
      <c r="D67" s="976"/>
      <c r="E67" s="319"/>
      <c r="F67" s="381"/>
      <c r="G67" s="364">
        <f>IF(Calculations!V5,IF(Calculations!T37&lt;0,0,Calculations!T37),0)</f>
        <v>0</v>
      </c>
      <c r="H67" s="652"/>
      <c r="I67" s="68"/>
      <c r="J67" s="68"/>
      <c r="K67" s="302"/>
      <c r="L67" s="362">
        <f>IF(Calculations!V5,IF(Calculations!T37&lt;=0,0,Calculations!T36),0)</f>
        <v>0</v>
      </c>
      <c r="M67" s="10"/>
    </row>
    <row r="68" spans="1:13" s="80" customFormat="1" ht="14" x14ac:dyDescent="0.15">
      <c r="A68" s="265"/>
      <c r="B68" s="266"/>
      <c r="C68" s="266"/>
      <c r="D68" s="266"/>
      <c r="E68" s="266"/>
      <c r="F68" s="266"/>
      <c r="G68" s="266"/>
      <c r="H68" s="266"/>
      <c r="I68" s="266"/>
      <c r="J68" s="266"/>
      <c r="K68" s="266"/>
      <c r="L68" s="266"/>
      <c r="M68" s="79"/>
    </row>
    <row r="69" spans="1:13" ht="51" customHeight="1" x14ac:dyDescent="0.15">
      <c r="A69" s="265"/>
      <c r="B69" s="962" t="s">
        <v>253</v>
      </c>
      <c r="C69" s="963"/>
      <c r="D69" s="964"/>
      <c r="E69" s="964"/>
      <c r="F69" s="964"/>
      <c r="G69" s="964"/>
      <c r="H69" s="964"/>
      <c r="I69" s="964"/>
      <c r="J69" s="964"/>
      <c r="K69" s="964"/>
      <c r="L69" s="965"/>
      <c r="M69" s="10"/>
    </row>
    <row r="70" spans="1:13" ht="7.5" customHeight="1" x14ac:dyDescent="0.15">
      <c r="A70" s="265"/>
      <c r="B70" s="266"/>
      <c r="C70" s="266"/>
      <c r="D70" s="266"/>
      <c r="E70" s="266"/>
      <c r="F70" s="266"/>
      <c r="G70" s="266"/>
      <c r="H70" s="266"/>
      <c r="I70" s="266"/>
      <c r="J70" s="266"/>
      <c r="K70" s="266"/>
      <c r="L70" s="266"/>
      <c r="M70" s="10"/>
    </row>
    <row r="71" spans="1:13" x14ac:dyDescent="0.15">
      <c r="A71" s="265"/>
      <c r="B71" s="9"/>
      <c r="C71" s="9"/>
      <c r="D71" s="9"/>
      <c r="E71" s="9"/>
      <c r="F71" s="9"/>
      <c r="G71" s="9"/>
      <c r="H71" s="9"/>
      <c r="I71" s="9"/>
      <c r="J71" s="266"/>
      <c r="K71" s="266"/>
      <c r="L71" s="784" t="s">
        <v>106</v>
      </c>
      <c r="M71" s="10"/>
    </row>
    <row r="72" spans="1:13" x14ac:dyDescent="0.15">
      <c r="A72" s="274"/>
      <c r="B72" s="21"/>
      <c r="C72" s="21"/>
      <c r="D72" s="21"/>
      <c r="E72" s="21"/>
      <c r="F72" s="21"/>
      <c r="G72" s="21"/>
      <c r="H72" s="21"/>
      <c r="I72" s="21"/>
      <c r="J72" s="21"/>
      <c r="K72" s="21"/>
      <c r="L72" s="21"/>
      <c r="M72" s="22"/>
    </row>
  </sheetData>
  <sheetProtection algorithmName="SHA-512" hashValue="PwhX+QO4BjlIznMg12ViBnxQ8xuNbjRVdXW9epJVJ6RKt4RQC2xQvTNgaIhmp9INGIc1ZNbogTx4pm9zhPvg0w==" saltValue="ceC8Kysg51XApkkPsJC7YA==" spinCount="100000" sheet="1" objects="1" scenarios="1"/>
  <customSheetViews>
    <customSheetView guid="{878686E5-D823-11D7-9EB6-0000F6FFAA54}" scale="80" showGridLines="0" showRowCol="0" fitToPage="1" hiddenColumns="1" showRuler="0">
      <selection activeCell="F8" sqref="F8"/>
      <pageMargins left="0.19685039370078741" right="0.19685039370078741" top="0.19685039370078741" bottom="0.19685039370078741" header="0.51181102362204722" footer="0.23622047244094491"/>
      <printOptions horizontalCentered="1"/>
      <pageSetup paperSize="9" orientation="portrait" r:id="rId1"/>
      <headerFooter alignWithMargins="0">
        <oddFooter>&amp;LPrinted: &amp;D &amp;T&amp;RLast modified: 03/03/2004</oddFooter>
      </headerFooter>
    </customSheetView>
    <customSheetView guid="{47743E36-E3F1-4AC8-AB28-1C3AD83F86F4}" scale="80" showGridLines="0" showRowCol="0" fitToPage="1" showRuler="0" topLeftCell="A2">
      <selection activeCell="D15" sqref="D15"/>
      <pageMargins left="0.19685039370078741" right="0.19685039370078741" top="0.19685039370078741" bottom="0.19685039370078741" header="0.51181102362204722" footer="0.23622047244094491"/>
      <printOptions horizontalCentered="1"/>
      <pageSetup paperSize="9" scale="74" orientation="portrait" r:id="rId2"/>
      <headerFooter alignWithMargins="0">
        <oddFooter>&amp;LPrinted: &amp;D &amp;T&amp;RLast modified: 21/11/2005</oddFooter>
      </headerFooter>
    </customSheetView>
  </customSheetViews>
  <mergeCells count="21">
    <mergeCell ref="B8:G8"/>
    <mergeCell ref="F60:G60"/>
    <mergeCell ref="F4:G4"/>
    <mergeCell ref="J4:K4"/>
    <mergeCell ref="F5:G5"/>
    <mergeCell ref="J5:K5"/>
    <mergeCell ref="B46:E46"/>
    <mergeCell ref="B47:G47"/>
    <mergeCell ref="B51:D51"/>
    <mergeCell ref="B52:D52"/>
    <mergeCell ref="B53:D53"/>
    <mergeCell ref="B54:D54"/>
    <mergeCell ref="B55:D55"/>
    <mergeCell ref="B56:D56"/>
    <mergeCell ref="B57:D57"/>
    <mergeCell ref="B69:L69"/>
    <mergeCell ref="B58:E58"/>
    <mergeCell ref="B65:D65"/>
    <mergeCell ref="B66:D66"/>
    <mergeCell ref="B67:D67"/>
    <mergeCell ref="F61:G61"/>
  </mergeCells>
  <phoneticPr fontId="27" type="noConversion"/>
  <conditionalFormatting sqref="I63">
    <cfRule type="expression" dxfId="128" priority="24" stopIfTrue="1">
      <formula>IF(AND(OR(H63&gt;0,OR(K63&gt;0,L63&gt;0)),ISBLANK(I63)),TRUE,FALSE)</formula>
    </cfRule>
  </conditionalFormatting>
  <conditionalFormatting sqref="H63">
    <cfRule type="expression" dxfId="127" priority="25" stopIfTrue="1">
      <formula>IF(AND(OR(I63&gt;0,OR(K63&gt;0,L63&gt;0)),ISBLANK(H63)),TRUE,FALSE)</formula>
    </cfRule>
  </conditionalFormatting>
  <conditionalFormatting sqref="K63">
    <cfRule type="expression" dxfId="126" priority="26" stopIfTrue="1">
      <formula>IF(AND(OR(H63&gt;0,OR(I63&gt;0,L63&gt;0)),ISBLANK(K63)),TRUE,FALSE)</formula>
    </cfRule>
  </conditionalFormatting>
  <conditionalFormatting sqref="I10">
    <cfRule type="expression" dxfId="125" priority="27" stopIfTrue="1">
      <formula>AND($H$7&gt;1,$I$10&lt;=0)</formula>
    </cfRule>
    <cfRule type="expression" dxfId="124" priority="28">
      <formula>H7&gt;1</formula>
    </cfRule>
  </conditionalFormatting>
  <conditionalFormatting sqref="K52:K57">
    <cfRule type="expression" dxfId="123" priority="32" stopIfTrue="1">
      <formula>IF(AND(B52&lt;&gt;"",B52&lt;&gt;"Credit Card"),K52="")</formula>
    </cfRule>
  </conditionalFormatting>
  <conditionalFormatting sqref="L63">
    <cfRule type="expression" dxfId="122" priority="39" stopIfTrue="1">
      <formula>#REF!</formula>
    </cfRule>
  </conditionalFormatting>
  <conditionalFormatting sqref="I9">
    <cfRule type="expression" dxfId="121" priority="40" stopIfTrue="1">
      <formula>$H$7&gt;1</formula>
    </cfRule>
  </conditionalFormatting>
  <conditionalFormatting sqref="I11:I12">
    <cfRule type="expression" dxfId="120" priority="41" stopIfTrue="1">
      <formula>$H$7&gt;1</formula>
    </cfRule>
  </conditionalFormatting>
  <conditionalFormatting sqref="J11:J12">
    <cfRule type="expression" dxfId="119" priority="42" stopIfTrue="1">
      <formula>$H$7&gt;2</formula>
    </cfRule>
  </conditionalFormatting>
  <conditionalFormatting sqref="K11:K12">
    <cfRule type="expression" dxfId="118" priority="43" stopIfTrue="1">
      <formula>$H$7&gt;3</formula>
    </cfRule>
  </conditionalFormatting>
  <conditionalFormatting sqref="K9">
    <cfRule type="expression" dxfId="117" priority="45" stopIfTrue="1">
      <formula>$H$7&gt;3</formula>
    </cfRule>
  </conditionalFormatting>
  <conditionalFormatting sqref="H10 H7">
    <cfRule type="cellIs" dxfId="116" priority="46" stopIfTrue="1" operator="lessThanOrEqual">
      <formula>0</formula>
    </cfRule>
  </conditionalFormatting>
  <conditionalFormatting sqref="J10">
    <cfRule type="expression" dxfId="115" priority="47" stopIfTrue="1">
      <formula>AND($H$7&gt;2,$J$10&lt;=0)</formula>
    </cfRule>
    <cfRule type="expression" dxfId="114" priority="48" stopIfTrue="1">
      <formula>$H$7&gt;2</formula>
    </cfRule>
  </conditionalFormatting>
  <conditionalFormatting sqref="K10">
    <cfRule type="expression" dxfId="113" priority="49" stopIfTrue="1">
      <formula>AND($H$7&gt;3,$K$10&lt;=0)</formula>
    </cfRule>
    <cfRule type="expression" dxfId="112" priority="50" stopIfTrue="1">
      <formula>$H$7&gt;3</formula>
    </cfRule>
  </conditionalFormatting>
  <conditionalFormatting sqref="H8">
    <cfRule type="cellIs" dxfId="111" priority="53" stopIfTrue="1" operator="equal">
      <formula>""</formula>
    </cfRule>
  </conditionalFormatting>
  <conditionalFormatting sqref="G17:G25 G30 H20">
    <cfRule type="expression" dxfId="110" priority="54" stopIfTrue="1">
      <formula>AND(SUM($G$17:$G$24,$G$30)&lt;=0,$G$25=0,$G$31=0)</formula>
    </cfRule>
  </conditionalFormatting>
  <conditionalFormatting sqref="C39:C45">
    <cfRule type="expression" dxfId="109" priority="21" stopIfTrue="1">
      <formula>AND(C39="",OR(B39="CBA Variable Rate Home Loan",B39="CBA Fixed Rate Home Loan",B39="OFI home loan (Other financial institution)",B39="CBA Line of Credit",B39="OFI Line of Credit (Other financial institution)"))</formula>
    </cfRule>
  </conditionalFormatting>
  <conditionalFormatting sqref="E52:E57">
    <cfRule type="expression" dxfId="108" priority="20" stopIfTrue="1">
      <formula>AND(E52="",OR(B52="CBA Variable Rate Home Loan",B52="CBA Fixed Rate Home Loan",B52="Line of Credit"))</formula>
    </cfRule>
  </conditionalFormatting>
  <conditionalFormatting sqref="B52">
    <cfRule type="expression" dxfId="107" priority="19" stopIfTrue="1">
      <formula>B52=""</formula>
    </cfRule>
  </conditionalFormatting>
  <conditionalFormatting sqref="H12">
    <cfRule type="expression" dxfId="106" priority="18" stopIfTrue="1">
      <formula>$H$12=""</formula>
    </cfRule>
  </conditionalFormatting>
  <conditionalFormatting sqref="I12">
    <cfRule type="expression" dxfId="105" priority="17" stopIfTrue="1">
      <formula>AND($H$7&gt;=2,$I$12="")</formula>
    </cfRule>
  </conditionalFormatting>
  <conditionalFormatting sqref="J12">
    <cfRule type="expression" dxfId="104" priority="16" stopIfTrue="1">
      <formula>AND($H$7&gt;=3,$J$12="")</formula>
    </cfRule>
  </conditionalFormatting>
  <conditionalFormatting sqref="K12">
    <cfRule type="expression" dxfId="103" priority="15" stopIfTrue="1">
      <formula>AND($H$7&gt;=4,$K$12="")</formula>
    </cfRule>
  </conditionalFormatting>
  <conditionalFormatting sqref="G16">
    <cfRule type="expression" dxfId="102" priority="9" stopIfTrue="1">
      <formula>G16=""</formula>
    </cfRule>
  </conditionalFormatting>
  <conditionalFormatting sqref="H11">
    <cfRule type="expression" dxfId="101" priority="8">
      <formula>$H$11=""</formula>
    </cfRule>
  </conditionalFormatting>
  <conditionalFormatting sqref="I11">
    <cfRule type="expression" dxfId="100" priority="7">
      <formula>AND(H7&gt;1,$I$11="")</formula>
    </cfRule>
  </conditionalFormatting>
  <conditionalFormatting sqref="J11">
    <cfRule type="expression" dxfId="99" priority="6">
      <formula>AND(H7&gt;2,$J$11="")</formula>
    </cfRule>
  </conditionalFormatting>
  <conditionalFormatting sqref="K11">
    <cfRule type="expression" dxfId="98" priority="5">
      <formula>AND(H7&gt;3,$K$11="")</formula>
    </cfRule>
  </conditionalFormatting>
  <conditionalFormatting sqref="J9">
    <cfRule type="expression" dxfId="97" priority="4">
      <formula>$H$7&gt;2</formula>
    </cfRule>
  </conditionalFormatting>
  <conditionalFormatting sqref="F39:F45">
    <cfRule type="expression" dxfId="96" priority="99" stopIfTrue="1">
      <formula>AND(B39&lt;&gt;"",B39&lt;&gt;"Margin Loan",B39&lt;&gt;"HECS",F39="")</formula>
    </cfRule>
  </conditionalFormatting>
  <conditionalFormatting sqref="J39:J45">
    <cfRule type="expression" dxfId="95" priority="100" stopIfTrue="1">
      <formula>AND(OR(B39="Other",B39="Lease",B39="Hire Purchase",B39="HECS"),E39&lt;&gt;"Yes",J39&lt;=0)</formula>
    </cfRule>
  </conditionalFormatting>
  <conditionalFormatting sqref="K39:K45">
    <cfRule type="expression" dxfId="94" priority="101" stopIfTrue="1">
      <formula>AND(OR(B39="CBA Variable Rate Home Loan",B39="CBA Fixed Rate Home Loan",B39="OFI home loan (Other financial institution)",B39="Personal Loan",B39="Other",B39="Lease",B39="Hire Purchase",B39="CBA Line of Credit",B39="OFI Line of Credit (Other financial institution)"),E39&lt;&gt;"Yes",K39="")</formula>
    </cfRule>
  </conditionalFormatting>
  <conditionalFormatting sqref="H39:H45">
    <cfRule type="expression" dxfId="93" priority="102">
      <formula>AND(OR(B39="CBA Variable Rate Home Loan",B39="CBA Fixed Rate Home Loan",B39="CBA Line of Credit",B39="OFI Line of Credit (Other financial institution)",B39="OFI home loan (Other financial institution)",B39="Personal Loan"),E39&lt;&gt;"Yes",H39&lt;=0)</formula>
    </cfRule>
  </conditionalFormatting>
  <conditionalFormatting sqref="I39:I45">
    <cfRule type="expression" dxfId="92" priority="104">
      <formula>AND(E39&lt;&gt;"Yes",I39="",OR(B39="CBA Variable Rate Home Loan",B39="CBA Fixed Rate Home Loan",B39="OFI home loan (Other financial institution)",B39="CBA Line of Credit",B39="OFI Line of Credit (Other financial institution)",B39="Personal Loan",AND(C39="Investment",D39="Yes")))</formula>
    </cfRule>
  </conditionalFormatting>
  <conditionalFormatting sqref="B39:B45">
    <cfRule type="expression" dxfId="91" priority="105" stopIfTrue="1">
      <formula>IF(OR(D39&lt;&gt;"",E39&lt;&gt;"",F39&lt;&gt;"",I39&lt;&gt;"",J39&lt;&gt;"",K39&lt;&gt;""),B39="")</formula>
    </cfRule>
  </conditionalFormatting>
  <conditionalFormatting sqref="G52:G57">
    <cfRule type="expression" dxfId="90" priority="110" stopIfTrue="1">
      <formula>AND(G52="",OR(B52&lt;&gt;"",H52&lt;&gt;"",I52&lt;&gt;""))</formula>
    </cfRule>
  </conditionalFormatting>
  <conditionalFormatting sqref="H52:H57">
    <cfRule type="expression" dxfId="89" priority="111" stopIfTrue="1">
      <formula>AND(H52="",OR(B52&lt;&gt;"",G52&lt;&gt;"",I52&lt;&gt;""),B52&lt;&gt;"Credit Card")</formula>
    </cfRule>
  </conditionalFormatting>
  <conditionalFormatting sqref="I52:I57">
    <cfRule type="expression" dxfId="88" priority="112" stopIfTrue="1">
      <formula>AND(I52="",OR(B52&lt;&gt;"",G52&lt;&gt;"",H52&lt;&gt;""),B52&lt;&gt;"Credit Card")</formula>
    </cfRule>
  </conditionalFormatting>
  <conditionalFormatting sqref="B53:B57">
    <cfRule type="expression" dxfId="87" priority="113" stopIfTrue="1">
      <formula>AND(B53="",OR(G53&lt;&gt;"",H53&lt;&gt;"",I53&lt;&gt;""))</formula>
    </cfRule>
  </conditionalFormatting>
  <conditionalFormatting sqref="G39:G45">
    <cfRule type="expression" dxfId="86" priority="3">
      <formula>AND(B39&lt;&gt;"",B39&lt;&gt;"HECS",G39="")</formula>
    </cfRule>
  </conditionalFormatting>
  <conditionalFormatting sqref="E39:E45">
    <cfRule type="expression" dxfId="85" priority="2">
      <formula>AND(B39&lt;&gt;"",E39="")</formula>
    </cfRule>
  </conditionalFormatting>
  <conditionalFormatting sqref="F61:G61">
    <cfRule type="expression" dxfId="84" priority="1">
      <formula>AND($F$61&gt;7,$J$61&lt;500)</formula>
    </cfRule>
  </conditionalFormatting>
  <dataValidations xWindow="981" yWindow="651" count="74">
    <dataValidation type="whole" operator="lessThanOrEqual" showInputMessage="1" showErrorMessage="1" error="This is restricted to a number up to: 5 years for a home loan and investment home loan, interest only is not applicable for a Line of Credit." prompt="Enter the interest only period. " sqref="J67" xr:uid="{00000000-0002-0000-0200-000000000000}">
      <formula1>VLOOKUP(B67,Limits,3,0)</formula1>
    </dataValidation>
    <dataValidation type="whole" operator="lessThanOrEqual" allowBlank="1" showInputMessage="1" showErrorMessage="1" error="This is restricted to a number up to: 30 years for a home loan, 30 years for an investment home loan, and 25 years for a Line of Credit." prompt="Enter the loan term." sqref="I67" xr:uid="{00000000-0002-0000-0200-000001000000}">
      <formula1>VLOOKUP(B67,Limits,2,0)</formula1>
    </dataValidation>
    <dataValidation operator="greaterThanOrEqual" allowBlank="1" showInputMessage="1" showErrorMessage="1" sqref="K66" xr:uid="{00000000-0002-0000-0200-000002000000}"/>
    <dataValidation type="list" allowBlank="1" showInputMessage="1" showErrorMessage="1" prompt="Is this product tax deductible?" sqref="F67" xr:uid="{00000000-0002-0000-0200-000003000000}">
      <formula1>"Yes,No"</formula1>
    </dataValidation>
    <dataValidation type="decimal" operator="greaterThanOrEqual" allowBlank="1" showInputMessage="1" showErrorMessage="1" error="You must enter a positive decimal number for the balance / limit." prompt="Insert the balance or limit whichever is applicable" sqref="G52:G57" xr:uid="{00000000-0002-0000-0200-000004000000}">
      <formula1>0</formula1>
    </dataValidation>
    <dataValidation type="list" allowBlank="1" showInputMessage="1" showErrorMessage="1" prompt="Is this product tax deductable?" sqref="F52:F57" xr:uid="{00000000-0002-0000-0200-000005000000}">
      <formula1>"Yes, No"</formula1>
    </dataValidation>
    <dataValidation allowBlank="1" showInputMessage="1" showErrorMessage="1" prompt="Enter the name of customer 1" sqref="F4" xr:uid="{00000000-0002-0000-0200-000006000000}"/>
    <dataValidation type="list" allowBlank="1" showInputMessage="1" showErrorMessage="1" prompt="Is this product to be repaid by the loan?" sqref="E39:E45" xr:uid="{00000000-0002-0000-0200-000007000000}">
      <formula1>"Yes,No"</formula1>
    </dataValidation>
    <dataValidation allowBlank="1" showInputMessage="1" showErrorMessage="1" prompt="Enter the name of customer 2 (if applicable)" sqref="J4:K4" xr:uid="{00000000-0002-0000-0200-000008000000}"/>
    <dataValidation type="decimal" operator="greaterThanOrEqual" allowBlank="1" showInputMessage="1" showErrorMessage="1" prompt="Gross wages or salary earned by applicant 2" sqref="H17" xr:uid="{00000000-0002-0000-0200-000009000000}">
      <formula1>0</formula1>
    </dataValidation>
    <dataValidation type="decimal" operator="greaterThanOrEqual" allowBlank="1" showInputMessage="1" showErrorMessage="1" prompt="Investment income received by applicant 2" sqref="H22" xr:uid="{00000000-0002-0000-0200-00000A000000}">
      <formula1>0</formula1>
    </dataValidation>
    <dataValidation type="decimal" operator="greaterThanOrEqual" allowBlank="1" showInputMessage="1" showErrorMessage="1" prompt="Investment income received by applicant 4" sqref="J22" xr:uid="{00000000-0002-0000-0200-00000B000000}">
      <formula1>0</formula1>
    </dataValidation>
    <dataValidation type="decimal" operator="greaterThanOrEqual" allowBlank="1" showInputMessage="1" showErrorMessage="1" prompt="Pensions received by applicant 2" sqref="H23" xr:uid="{00000000-0002-0000-0200-00000C000000}">
      <formula1>0</formula1>
    </dataValidation>
    <dataValidation type="decimal" operator="greaterThanOrEqual" allowBlank="1" showInputMessage="1" showErrorMessage="1" prompt="Pensions received by applicant 4" sqref="J23" xr:uid="{00000000-0002-0000-0200-00000D000000}">
      <formula1>0</formula1>
    </dataValidation>
    <dataValidation type="decimal" operator="greaterThanOrEqual" allowBlank="1" showInputMessage="1" showErrorMessage="1" prompt="Any other taxable income earned by applicant 2" sqref="H24" xr:uid="{00000000-0002-0000-0200-00000E000000}">
      <formula1>0</formula1>
    </dataValidation>
    <dataValidation type="decimal" operator="greaterThanOrEqual" allowBlank="1" showInputMessage="1" showErrorMessage="1" prompt="Any other taxable income earned by applicant 4" sqref="J24" xr:uid="{00000000-0002-0000-0200-00000F000000}">
      <formula1>0</formula1>
    </dataValidation>
    <dataValidation type="decimal" operator="greaterThanOrEqual" allowBlank="1" showInputMessage="1" showErrorMessage="1" prompt="Any tax free income received by applicant 2, e.g. family allowance." sqref="H30" xr:uid="{00000000-0002-0000-0200-000010000000}">
      <formula1>0</formula1>
    </dataValidation>
    <dataValidation type="decimal" operator="greaterThanOrEqual" allowBlank="1" showInputMessage="1" showErrorMessage="1" prompt="Any tax free income received by applicant 4, e.g. family allowance." sqref="J30" xr:uid="{00000000-0002-0000-0200-000011000000}">
      <formula1>0</formula1>
    </dataValidation>
    <dataValidation type="decimal" operator="greaterThanOrEqual" allowBlank="1" showInputMessage="1" showErrorMessage="1" error="You must insert a positive decimal amount for the ongoing rent expense." prompt="Any ongoing annual rental payments" sqref="L34" xr:uid="{00000000-0002-0000-0200-000012000000}">
      <formula1>0</formula1>
    </dataValidation>
    <dataValidation type="whole" operator="greaterThanOrEqual" allowBlank="1" showInputMessage="1" showErrorMessage="1" error="You must insert a positive whole number." prompt="e.g. If 2 joint applicants reside in separate properties then the answer is 2. If they reside in the same property, then the answer is 1. If they reside in the same property and have 1 or more holiday houses, then the answer is 1." sqref="H7" xr:uid="{00000000-0002-0000-0200-000013000000}">
      <formula1>0</formula1>
    </dataValidation>
    <dataValidation type="whole" operator="greaterThanOrEqual" allowBlank="1" showInputMessage="1" showErrorMessage="1" error="You must insert a positive whole number." prompt="Do not include applicant's investment properties from which they currently earn an income or properties that they are currently paying rent on.  If applicant's have a principal residence and holiday home that does not generate an income the answer is 2." sqref="H8" xr:uid="{00000000-0002-0000-0200-000014000000}">
      <formula1>0</formula1>
    </dataValidation>
    <dataValidation type="whole" operator="greaterThanOrEqual" allowBlank="1" showInputMessage="1" showErrorMessage="1" error="You must insert a positive whole number." prompt="Enter in the number of adults aged 18 or more residing in household 1." sqref="H10" xr:uid="{00000000-0002-0000-0200-000015000000}">
      <formula1>0</formula1>
    </dataValidation>
    <dataValidation type="whole" operator="greaterThanOrEqual" allowBlank="1" showInputMessage="1" showErrorMessage="1" error="You must insert a positive whole number." prompt="Enter in the number of children aged under 18 residing in household 1." sqref="H11" xr:uid="{00000000-0002-0000-0200-000016000000}">
      <formula1>0</formula1>
    </dataValidation>
    <dataValidation operator="greaterThanOrEqual" allowBlank="1" showInputMessage="1" showErrorMessage="1" prompt="Click on the calculator icon to input self employed income." sqref="H25:J25" xr:uid="{00000000-0002-0000-0200-000017000000}"/>
    <dataValidation type="decimal" operator="greaterThanOrEqual" allowBlank="1" showInputMessage="1" showErrorMessage="1" error="You must enter a positive decimal amount for the monthly charges." prompt="Enter any monthly charges, enter 0 if not applicable." sqref="K67 K52:K57" xr:uid="{00000000-0002-0000-0200-000018000000}">
      <formula1>0</formula1>
    </dataValidation>
    <dataValidation type="decimal" operator="greaterThanOrEqual" allowBlank="1" showInputMessage="1" showErrorMessage="1" error="You must enter a positive decimal amount for the monthly repayment." prompt="Insert the monthly payment if applicable" sqref="J39:J45" xr:uid="{00000000-0002-0000-0200-000019000000}">
      <formula1>0</formula1>
    </dataValidation>
    <dataValidation type="decimal" operator="greaterThanOrEqual" allowBlank="1" showInputMessage="1" showErrorMessage="1" error="You must enter a positive decimal amount for the balance / limit." prompt="Enter the current balance for this liability." sqref="F39:F45" xr:uid="{00000000-0002-0000-0200-00001A000000}">
      <formula1>0</formula1>
    </dataValidation>
    <dataValidation type="list" allowBlank="1" showInputMessage="1" showErrorMessage="1" error="Invalid loan type.  Please delete your input and select a loan type from the drop down list." prompt="Select the product you are already committed to_x000a_" sqref="B39:B45" xr:uid="{00000000-0002-0000-0200-00001B000000}">
      <formula1>Products</formula1>
    </dataValidation>
    <dataValidation allowBlank="1" showInputMessage="1" showErrorMessage="1" prompt="Enter the name of customer 3 (if applicable)" sqref="F5:G5" xr:uid="{00000000-0002-0000-0200-00001C000000}"/>
    <dataValidation allowBlank="1" showInputMessage="1" showErrorMessage="1" prompt="Enter the name of customer 4 (if applicable)" sqref="J5:K5" xr:uid="{00000000-0002-0000-0200-00001D000000}"/>
    <dataValidation allowBlank="1" showInputMessage="1" showErrorMessage="1" prompt="Any tax free income received by applicant 1, e.g. family allowance." sqref="G30" xr:uid="{00000000-0002-0000-0200-00001E000000}"/>
    <dataValidation allowBlank="1" showInputMessage="1" showErrorMessage="1" prompt="Any tax free income received by applicant 3, e.g. family allowance." sqref="I30" xr:uid="{00000000-0002-0000-0200-00001F000000}"/>
    <dataValidation type="decimal" operator="greaterThanOrEqual" allowBlank="1" showInputMessage="1" showErrorMessage="1" prompt="Gross wages or salary earned by applicant 4" sqref="J17" xr:uid="{00000000-0002-0000-0200-000020000000}">
      <formula1>0</formula1>
    </dataValidation>
    <dataValidation allowBlank="1" showInputMessage="1" showErrorMessage="1" prompt="Any other taxable income earned by applicant 1" sqref="G24" xr:uid="{00000000-0002-0000-0200-000021000000}"/>
    <dataValidation allowBlank="1" showInputMessage="1" showErrorMessage="1" prompt="Any other taxable income earned by applicant 3" sqref="I24" xr:uid="{00000000-0002-0000-0200-000022000000}"/>
    <dataValidation allowBlank="1" showInputMessage="1" showErrorMessage="1" prompt="Pensions received by applicant 1" sqref="G23" xr:uid="{00000000-0002-0000-0200-000023000000}"/>
    <dataValidation allowBlank="1" showInputMessage="1" showErrorMessage="1" prompt="Pensions received by applicant 3" sqref="I23" xr:uid="{00000000-0002-0000-0200-000024000000}"/>
    <dataValidation allowBlank="1" showInputMessage="1" showErrorMessage="1" prompt="Investment income received by applicant 1" sqref="G22" xr:uid="{00000000-0002-0000-0200-000025000000}"/>
    <dataValidation allowBlank="1" showInputMessage="1" showErrorMessage="1" prompt="Investment income received by applicant 3" sqref="I22" xr:uid="{00000000-0002-0000-0200-000026000000}"/>
    <dataValidation allowBlank="1" showInputMessage="1" showErrorMessage="1" prompt="Gross wages or salary earned by applicant 1" sqref="G17" xr:uid="{00000000-0002-0000-0200-000027000000}"/>
    <dataValidation allowBlank="1" showInputMessage="1" showErrorMessage="1" prompt="Gross wages or salary earned by applicant 3" sqref="I17" xr:uid="{00000000-0002-0000-0200-000028000000}"/>
    <dataValidation type="list" allowBlank="1" showInputMessage="1" showErrorMessage="1" error="Invalid loan type.  Please delete your input and select a loan type from the drop down list." prompt="Is this product tax deductable?_x000a_" sqref="D39:D45" xr:uid="{00000000-0002-0000-0200-000029000000}">
      <formula1>"Yes,No"</formula1>
    </dataValidation>
    <dataValidation type="list" allowBlank="1" showInputMessage="1" showErrorMessage="1" prompt="Select the product" sqref="B67" xr:uid="{00000000-0002-0000-0200-00002A000000}">
      <formula1>Base_products</formula1>
    </dataValidation>
    <dataValidation allowBlank="1" showInputMessage="1" showErrorMessage="1" prompt="Click on the calculator icon to input self employed income" sqref="G25" xr:uid="{00000000-0002-0000-0200-00002B000000}"/>
    <dataValidation type="decimal" operator="greaterThanOrEqual" allowBlank="1" showInputMessage="1" showErrorMessage="1" error="You must enter a positive decimal amount for the monthly charges." prompt="Insert any monthly charges, enter 0 if not applicable." sqref="K39:K45" xr:uid="{00000000-0002-0000-0200-00002C000000}">
      <formula1>0</formula1>
    </dataValidation>
    <dataValidation type="list" allowBlank="1" showInputMessage="1" showErrorMessage="1" error="Invalid loan type.  Please delete your input and select a loan type from the drop down list." prompt="Select the product you propose to take out_x000a_" sqref="B52:B57" xr:uid="{00000000-0002-0000-0200-00002D000000}">
      <formula1>Proposed</formula1>
    </dataValidation>
    <dataValidation type="whole" operator="greaterThanOrEqual" allowBlank="1" showInputMessage="1" showErrorMessage="1" error="You must insert a positive whole number." prompt="Enter in the number of adults aged 18 or more residing in household 2." sqref="I10" xr:uid="{00000000-0002-0000-0200-00002E000000}">
      <formula1>0</formula1>
    </dataValidation>
    <dataValidation type="whole" operator="greaterThanOrEqual" allowBlank="1" showInputMessage="1" showErrorMessage="1" error="You must insert a positive whole number." prompt="Enter in the number of children aged under 18 residing in household 2." sqref="I11" xr:uid="{00000000-0002-0000-0200-00002F000000}">
      <formula1>0</formula1>
    </dataValidation>
    <dataValidation type="whole" operator="greaterThanOrEqual" allowBlank="1" showInputMessage="1" showErrorMessage="1" error="You must insert a positive whole number." prompt="Enter in the number of adults aged 18 or more residing in household 3." sqref="J10" xr:uid="{00000000-0002-0000-0200-000030000000}">
      <formula1>0</formula1>
    </dataValidation>
    <dataValidation type="whole" operator="greaterThanOrEqual" allowBlank="1" showInputMessage="1" showErrorMessage="1" error="You must insert a positive whole number." prompt="Enter in the number of children aged under 18 residing in household 3." sqref="J11" xr:uid="{00000000-0002-0000-0200-000031000000}">
      <formula1>0</formula1>
    </dataValidation>
    <dataValidation type="whole" operator="greaterThanOrEqual" allowBlank="1" showInputMessage="1" showErrorMessage="1" error="You must insert a positive whole number." prompt="Enter in the number of adults aged 18 or more residing in household 4." sqref="K10" xr:uid="{00000000-0002-0000-0200-000032000000}">
      <formula1>0</formula1>
    </dataValidation>
    <dataValidation type="whole" operator="greaterThanOrEqual" allowBlank="1" showInputMessage="1" showErrorMessage="1" error="You must insert a positive whole number." prompt="Enter in the number of children aged under 18 residing in household 4." sqref="K11" xr:uid="{00000000-0002-0000-0200-000033000000}">
      <formula1>0</formula1>
    </dataValidation>
    <dataValidation allowBlank="1" showInputMessage="1" showErrorMessage="1" prompt="Gross bonuses earned by applicant 1" sqref="G19" xr:uid="{00000000-0002-0000-0200-000034000000}"/>
    <dataValidation type="decimal" operator="greaterThanOrEqual" allowBlank="1" showInputMessage="1" showErrorMessage="1" prompt="Gross bonuses earned by applicant 2" sqref="H19" xr:uid="{00000000-0002-0000-0200-000035000000}">
      <formula1>0</formula1>
    </dataValidation>
    <dataValidation allowBlank="1" showInputMessage="1" showErrorMessage="1" prompt="Gross bonuses earned by applicant 3" sqref="I19" xr:uid="{00000000-0002-0000-0200-000036000000}"/>
    <dataValidation type="decimal" operator="greaterThanOrEqual" allowBlank="1" showInputMessage="1" showErrorMessage="1" prompt="Gross bonuses earned by applicant 4" sqref="J19" xr:uid="{00000000-0002-0000-0200-000037000000}">
      <formula1>0</formula1>
    </dataValidation>
    <dataValidation type="list" allowBlank="1" showInputMessage="1" showErrorMessage="1" error="Invalid loan type.  Please delete your input and select a loan type from the drop down list." prompt="Select the product you propose to take out_x000a_" sqref="E52:E57" xr:uid="{00000000-0002-0000-0200-000038000000}">
      <formula1>Loan_type</formula1>
    </dataValidation>
    <dataValidation type="list" allowBlank="1" showInputMessage="1" showErrorMessage="1" error="Invalid loan type.  Please delete your input and select a loan type from the drop down list." prompt="Select the product you are already committed to_x000a_" sqref="C39:C45" xr:uid="{00000000-0002-0000-0200-000039000000}">
      <formula1>Loan_type</formula1>
    </dataValidation>
    <dataValidation type="list" allowBlank="1" showInputMessage="1" showErrorMessage="1" prompt="Select the loan type" sqref="E67" xr:uid="{00000000-0002-0000-0200-00003A000000}">
      <formula1>Loan_type</formula1>
    </dataValidation>
    <dataValidation allowBlank="1" showInputMessage="1" showErrorMessage="1" prompt="Gross overtime earned by applicant 1" sqref="G18" xr:uid="{00000000-0002-0000-0200-00003B000000}"/>
    <dataValidation type="decimal" operator="greaterThanOrEqual" allowBlank="1" showInputMessage="1" showErrorMessage="1" prompt="Gross overtime earned by applicant 2" sqref="H18" xr:uid="{00000000-0002-0000-0200-00003C000000}">
      <formula1>0</formula1>
    </dataValidation>
    <dataValidation allowBlank="1" showInputMessage="1" showErrorMessage="1" prompt="Gross overtime earned by applicant 3_x000a_" sqref="I18" xr:uid="{00000000-0002-0000-0200-00003D000000}"/>
    <dataValidation type="decimal" operator="greaterThanOrEqual" allowBlank="1" showInputMessage="1" showErrorMessage="1" prompt="Gross overtime earned by applicant 4" sqref="J18" xr:uid="{00000000-0002-0000-0200-00003E000000}">
      <formula1>0</formula1>
    </dataValidation>
    <dataValidation type="decimal" operator="greaterThanOrEqual" allowBlank="1" showInputMessage="1" showErrorMessage="1" error="You must enter a positive decimal number for the assessment rate." prompt="Enter the final Assessment Rate (headline assessment rate less discount) applicable for this product. Note that this rate should not be below the floor of 5.1%. The headline assessment rates are available on CommBroker." sqref="H52:H57" xr:uid="{00000000-0002-0000-0200-00003F000000}">
      <formula1>0</formula1>
    </dataValidation>
    <dataValidation operator="greaterThanOrEqual" allowBlank="1" showInputMessage="1" showErrorMessage="1" prompt="Enter the final Assessment Rate (headline assessment rate less discount) applicable for this product. Note that this rate should not be below the floor of 5.1%. The headline assessment rates are available on CommBroker." sqref="H67" xr:uid="{00000000-0002-0000-0200-000040000000}"/>
    <dataValidation operator="greaterThanOrEqual" allowBlank="1" showErrorMessage="1" prompt="Final Assessment Rate (headline assessment rate less discount) applicable for this product. Note that this rate should not be below the floor of 7.25%. The headline assessment rates are available on CommBroker." sqref="H66" xr:uid="{00000000-0002-0000-0200-000041000000}"/>
    <dataValidation type="whole" operator="lessThanOrEqual" showInputMessage="1" showErrorMessage="1" error="This is restricted to a number up to 5 years for a home loan and investment home loan, interest only is not applicable for a Line of Credit." prompt="Enter the interest only period." sqref="J52:J57" xr:uid="{00000000-0002-0000-0200-000042000000}">
      <formula1>VLOOKUP(B52,Limits,3,0)</formula1>
    </dataValidation>
    <dataValidation allowBlank="1" showInputMessage="1" showErrorMessage="1" prompt="Click on the calculator icon to enter rental income" sqref="G20:J21" xr:uid="{00000000-0002-0000-0200-000043000000}"/>
    <dataValidation type="decimal" operator="greaterThanOrEqual" allowBlank="1" showInputMessage="1" showErrorMessage="1" error="You must enter a positive decimal amount for the interest rate." prompt="Insert the current interest rate." sqref="I39:I45" xr:uid="{00000000-0002-0000-0200-000044000000}">
      <formula1>0</formula1>
    </dataValidation>
    <dataValidation type="whole" showInputMessage="1" showErrorMessage="1" error="This is restricted to a number up to: 30 years for a Home Loan, 30 years for an Investment Home Loan, 7 years for a Personal Loan, 25 years for a Line of Credit, 5 years for a Hire or Lease and 30 years for Other loans." prompt="For HL/IHL enter the P&amp;I remaining term in years. For Line of Credit insert the term to retirement." sqref="H39:H45" xr:uid="{00000000-0002-0000-0200-000045000000}">
      <formula1>0</formula1>
      <formula2>VLOOKUP(B39,Table,2,0)</formula2>
    </dataValidation>
    <dataValidation type="whole" operator="greaterThan" allowBlank="1" showInputMessage="1" showErrorMessage="1" error="You must enter a whole number greater than 0." promptTitle="Monthly Living Expenses" prompt="the $ amount needed to maintain a reasonable standard of living, e.g Housing/Property Expenses, Food, Clothing, Personal Care, Medical, Health, Fitness, Insurance, Transport/Auto, Travel, Entertainment, Children, Pets, Education, Communication, and Other." sqref="H12:K12" xr:uid="{00000000-0002-0000-0200-000046000000}">
      <formula1>0</formula1>
    </dataValidation>
    <dataValidation type="list" allowBlank="1" showInputMessage="1" showErrorMessage="1" prompt="Select the household this applicant resides in" sqref="G16:J16" xr:uid="{00000000-0002-0000-0200-000047000000}">
      <formula1>"Household 1,Household 2,Household 3,Household 4"</formula1>
    </dataValidation>
    <dataValidation type="whole" operator="lessThanOrEqual" showInputMessage="1" showErrorMessage="1" error="This is restricted to a number up to: 30 years for a home loan, 30 years for an investment home loan, and 25 years for a Line of Credit." prompt="Enter the loan term." sqref="I52:I57" xr:uid="{00000000-0002-0000-0200-000048000000}">
      <formula1>VLOOKUP(B52,Limits,2,0)</formula1>
    </dataValidation>
    <dataValidation type="decimal" operator="greaterThanOrEqual" allowBlank="1" showInputMessage="1" showErrorMessage="1" prompt="Enter the limit for this liability. For HL/IHL, this is the balance + redraw + undrawn balance." sqref="G39:G45" xr:uid="{00000000-0002-0000-0200-000049000000}">
      <formula1>0</formula1>
    </dataValidation>
  </dataValidations>
  <printOptions horizontalCentered="1"/>
  <pageMargins left="0.19685039370078741" right="0.19685039370078741" top="0.19685039370078741" bottom="0.19685039370078741" header="0.51181102362204722" footer="0.23622047244094491"/>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3078" r:id="rId6">
          <objectPr defaultSize="0" print="0" macro="[0]!cmdSelf" r:id="rId7">
            <anchor moveWithCells="1">
              <from>
                <xdr:col>5</xdr:col>
                <xdr:colOff>482600</xdr:colOff>
                <xdr:row>24</xdr:row>
                <xdr:rowOff>12700</xdr:rowOff>
              </from>
              <to>
                <xdr:col>5</xdr:col>
                <xdr:colOff>711200</xdr:colOff>
                <xdr:row>25</xdr:row>
                <xdr:rowOff>25400</xdr:rowOff>
              </to>
            </anchor>
          </objectPr>
        </oleObject>
      </mc:Choice>
      <mc:Fallback>
        <oleObject progId="MSPhotoEd.3" shapeId="3078" r:id="rId6"/>
      </mc:Fallback>
    </mc:AlternateContent>
    <mc:AlternateContent xmlns:mc="http://schemas.openxmlformats.org/markup-compatibility/2006">
      <mc:Choice Requires="x14">
        <oleObject progId="MSPhotoEd.3" shapeId="3079" r:id="rId8">
          <objectPr defaultSize="0" print="0" macro="[0]!cmdSelf" r:id="rId7">
            <anchor moveWithCells="1">
              <from>
                <xdr:col>10</xdr:col>
                <xdr:colOff>63500</xdr:colOff>
                <xdr:row>24</xdr:row>
                <xdr:rowOff>12700</xdr:rowOff>
              </from>
              <to>
                <xdr:col>10</xdr:col>
                <xdr:colOff>292100</xdr:colOff>
                <xdr:row>25</xdr:row>
                <xdr:rowOff>25400</xdr:rowOff>
              </to>
            </anchor>
          </objectPr>
        </oleObject>
      </mc:Choice>
      <mc:Fallback>
        <oleObject progId="MSPhotoEd.3" shapeId="3079" r:id="rId8"/>
      </mc:Fallback>
    </mc:AlternateContent>
    <mc:AlternateContent xmlns:mc="http://schemas.openxmlformats.org/markup-compatibility/2006">
      <mc:Choice Requires="x14">
        <oleObject progId="MSPhotoEd.3" shapeId="3135" r:id="rId9">
          <objectPr defaultSize="0" autoPict="0" r:id="rId10">
            <anchor moveWithCells="1">
              <from>
                <xdr:col>10</xdr:col>
                <xdr:colOff>114300</xdr:colOff>
                <xdr:row>1</xdr:row>
                <xdr:rowOff>12700</xdr:rowOff>
              </from>
              <to>
                <xdr:col>12</xdr:col>
                <xdr:colOff>0</xdr:colOff>
                <xdr:row>2</xdr:row>
                <xdr:rowOff>76200</xdr:rowOff>
              </to>
            </anchor>
          </objectPr>
        </oleObject>
      </mc:Choice>
      <mc:Fallback>
        <oleObject progId="MSPhotoEd.3" shapeId="3135" r:id="rId9"/>
      </mc:Fallback>
    </mc:AlternateContent>
    <mc:AlternateContent xmlns:mc="http://schemas.openxmlformats.org/markup-compatibility/2006">
      <mc:Choice Requires="x14">
        <oleObject progId="MSPhotoEd.3" shapeId="3136" r:id="rId11">
          <objectPr defaultSize="0" print="0" macro="[0]!cmdRentalYield" r:id="rId7">
            <anchor moveWithCells="1">
              <from>
                <xdr:col>5</xdr:col>
                <xdr:colOff>482600</xdr:colOff>
                <xdr:row>19</xdr:row>
                <xdr:rowOff>63500</xdr:rowOff>
              </from>
              <to>
                <xdr:col>5</xdr:col>
                <xdr:colOff>711200</xdr:colOff>
                <xdr:row>20</xdr:row>
                <xdr:rowOff>76200</xdr:rowOff>
              </to>
            </anchor>
          </objectPr>
        </oleObject>
      </mc:Choice>
      <mc:Fallback>
        <oleObject progId="MSPhotoEd.3" shapeId="3136" r:id="rId11"/>
      </mc:Fallback>
    </mc:AlternateContent>
    <mc:AlternateContent xmlns:mc="http://schemas.openxmlformats.org/markup-compatibility/2006">
      <mc:Choice Requires="x14">
        <oleObject progId="MSPhotoEd.3" shapeId="3137" r:id="rId12">
          <objectPr defaultSize="0" print="0" macro="[0]!cmdRentalYield" r:id="rId7">
            <anchor moveWithCells="1">
              <from>
                <xdr:col>10</xdr:col>
                <xdr:colOff>63500</xdr:colOff>
                <xdr:row>19</xdr:row>
                <xdr:rowOff>76200</xdr:rowOff>
              </from>
              <to>
                <xdr:col>10</xdr:col>
                <xdr:colOff>292100</xdr:colOff>
                <xdr:row>20</xdr:row>
                <xdr:rowOff>88900</xdr:rowOff>
              </to>
            </anchor>
          </objectPr>
        </oleObject>
      </mc:Choice>
      <mc:Fallback>
        <oleObject progId="MSPhotoEd.3" shapeId="3137" r:id="rId12"/>
      </mc:Fallback>
    </mc:AlternateContent>
  </oleObjects>
  <mc:AlternateContent xmlns:mc="http://schemas.openxmlformats.org/markup-compatibility/2006">
    <mc:Choice Requires="x14">
      <controls>
        <mc:AlternateContent xmlns:mc="http://schemas.openxmlformats.org/markup-compatibility/2006">
          <mc:Choice Requires="x14">
            <control shapeId="3073" r:id="rId13" name="Button 1">
              <controlPr defaultSize="0" print="0" autoFill="0" autoPict="0" macro="[0]!cmdClearCalc">
                <anchor moveWithCells="1" sizeWithCells="1">
                  <from>
                    <xdr:col>1</xdr:col>
                    <xdr:colOff>0</xdr:colOff>
                    <xdr:row>2</xdr:row>
                    <xdr:rowOff>215900</xdr:rowOff>
                  </from>
                  <to>
                    <xdr:col>1</xdr:col>
                    <xdr:colOff>787400</xdr:colOff>
                    <xdr:row>4</xdr:row>
                    <xdr:rowOff>139700</xdr:rowOff>
                  </to>
                </anchor>
              </controlPr>
            </control>
          </mc:Choice>
        </mc:AlternateContent>
        <mc:AlternateContent xmlns:mc="http://schemas.openxmlformats.org/markup-compatibility/2006">
          <mc:Choice Requires="x14">
            <control shapeId="3074" r:id="rId14" name="Button 2">
              <controlPr defaultSize="0" print="0" autoFill="0" autoPict="0" macro="[0]!cmdMenu">
                <anchor moveWithCells="1" sizeWithCells="1">
                  <from>
                    <xdr:col>1</xdr:col>
                    <xdr:colOff>939800</xdr:colOff>
                    <xdr:row>3</xdr:row>
                    <xdr:rowOff>0</xdr:rowOff>
                  </from>
                  <to>
                    <xdr:col>1</xdr:col>
                    <xdr:colOff>1727200</xdr:colOff>
                    <xdr:row>4</xdr:row>
                    <xdr:rowOff>139700</xdr:rowOff>
                  </to>
                </anchor>
              </controlPr>
            </control>
          </mc:Choice>
        </mc:AlternateContent>
        <mc:AlternateContent xmlns:mc="http://schemas.openxmlformats.org/markup-compatibility/2006">
          <mc:Choice Requires="x14">
            <control shapeId="3075" r:id="rId15" name="Button 3">
              <controlPr defaultSize="0" print="0" autoFill="0" autoPict="0" macro="[0]!cmdClearCalc">
                <anchor moveWithCells="1" sizeWithCells="1">
                  <from>
                    <xdr:col>2</xdr:col>
                    <xdr:colOff>228600</xdr:colOff>
                    <xdr:row>70</xdr:row>
                    <xdr:rowOff>0</xdr:rowOff>
                  </from>
                  <to>
                    <xdr:col>2</xdr:col>
                    <xdr:colOff>914400</xdr:colOff>
                    <xdr:row>71</xdr:row>
                    <xdr:rowOff>114300</xdr:rowOff>
                  </to>
                </anchor>
              </controlPr>
            </control>
          </mc:Choice>
        </mc:AlternateContent>
        <mc:AlternateContent xmlns:mc="http://schemas.openxmlformats.org/markup-compatibility/2006">
          <mc:Choice Requires="x14">
            <control shapeId="3076" r:id="rId16" name="Button 4">
              <controlPr defaultSize="0" print="0" autoFill="0" autoPict="0" macro="[0]!cmdMenu">
                <anchor moveWithCells="1" sizeWithCells="1">
                  <from>
                    <xdr:col>3</xdr:col>
                    <xdr:colOff>127000</xdr:colOff>
                    <xdr:row>70</xdr:row>
                    <xdr:rowOff>0</xdr:rowOff>
                  </from>
                  <to>
                    <xdr:col>4</xdr:col>
                    <xdr:colOff>609600</xdr:colOff>
                    <xdr:row>71</xdr:row>
                    <xdr:rowOff>127000</xdr:rowOff>
                  </to>
                </anchor>
              </controlPr>
            </control>
          </mc:Choice>
        </mc:AlternateContent>
        <mc:AlternateContent xmlns:mc="http://schemas.openxmlformats.org/markup-compatibility/2006">
          <mc:Choice Requires="x14">
            <control shapeId="3077" r:id="rId17" name="Button 5">
              <controlPr defaultSize="0" print="0" autoFill="0" autoPict="0" macro="[0]!cmdNegGearing">
                <anchor moveWithCells="1" sizeWithCells="1">
                  <from>
                    <xdr:col>11</xdr:col>
                    <xdr:colOff>0</xdr:colOff>
                    <xdr:row>46</xdr:row>
                    <xdr:rowOff>114300</xdr:rowOff>
                  </from>
                  <to>
                    <xdr:col>12</xdr:col>
                    <xdr:colOff>0</xdr:colOff>
                    <xdr:row>47</xdr:row>
                    <xdr:rowOff>0</xdr:rowOff>
                  </to>
                </anchor>
              </controlPr>
            </control>
          </mc:Choice>
        </mc:AlternateContent>
        <mc:AlternateContent xmlns:mc="http://schemas.openxmlformats.org/markup-compatibility/2006">
          <mc:Choice Requires="x14">
            <control shapeId="3080" r:id="rId18" name="Button 8">
              <controlPr defaultSize="0" print="0" autoFill="0" autoPict="0" macro="[0]!cmdNegGearing">
                <anchor moveWithCells="1" sizeWithCells="1">
                  <from>
                    <xdr:col>11</xdr:col>
                    <xdr:colOff>0</xdr:colOff>
                    <xdr:row>58</xdr:row>
                    <xdr:rowOff>165100</xdr:rowOff>
                  </from>
                  <to>
                    <xdr:col>12</xdr:col>
                    <xdr:colOff>0</xdr:colOff>
                    <xdr:row>60</xdr:row>
                    <xdr:rowOff>25400</xdr:rowOff>
                  </to>
                </anchor>
              </controlPr>
            </control>
          </mc:Choice>
        </mc:AlternateContent>
        <mc:AlternateContent xmlns:mc="http://schemas.openxmlformats.org/markup-compatibility/2006">
          <mc:Choice Requires="x14">
            <control shapeId="3081" r:id="rId19" name="Button 9">
              <controlPr defaultSize="0" print="0" autoFill="0" autoPict="0" macro="[0]!cmdPrint">
                <anchor moveWithCells="1" sizeWithCells="1">
                  <from>
                    <xdr:col>11</xdr:col>
                    <xdr:colOff>215900</xdr:colOff>
                    <xdr:row>2</xdr:row>
                    <xdr:rowOff>215900</xdr:rowOff>
                  </from>
                  <to>
                    <xdr:col>11</xdr:col>
                    <xdr:colOff>1016000</xdr:colOff>
                    <xdr:row>4</xdr:row>
                    <xdr:rowOff>152400</xdr:rowOff>
                  </to>
                </anchor>
              </controlPr>
            </control>
          </mc:Choice>
        </mc:AlternateContent>
        <mc:AlternateContent xmlns:mc="http://schemas.openxmlformats.org/markup-compatibility/2006">
          <mc:Choice Requires="x14">
            <control shapeId="3082" r:id="rId20" name="Button 10">
              <controlPr defaultSize="0" print="0" autoFill="0" autoPict="0" macro="[0]!cmdPrint">
                <anchor moveWithCells="1" sizeWithCells="1">
                  <from>
                    <xdr:col>4</xdr:col>
                    <xdr:colOff>863600</xdr:colOff>
                    <xdr:row>70</xdr:row>
                    <xdr:rowOff>0</xdr:rowOff>
                  </from>
                  <to>
                    <xdr:col>5</xdr:col>
                    <xdr:colOff>558800</xdr:colOff>
                    <xdr:row>71</xdr:row>
                    <xdr:rowOff>127000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autoPageBreaks="0" fitToPage="1"/>
  </sheetPr>
  <dimension ref="A1:P86"/>
  <sheetViews>
    <sheetView showGridLines="0" showRowColHeaders="0" zoomScaleNormal="100" workbookViewId="0"/>
  </sheetViews>
  <sheetFormatPr baseColWidth="10" defaultColWidth="8.83203125" defaultRowHeight="13" x14ac:dyDescent="0.15"/>
  <cols>
    <col min="1" max="1" width="1.6640625" customWidth="1"/>
    <col min="2" max="2" width="3.6640625" customWidth="1"/>
    <col min="3" max="4" width="14.1640625" customWidth="1"/>
    <col min="6" max="6" width="16.1640625" customWidth="1"/>
    <col min="7" max="7" width="3.6640625" customWidth="1"/>
    <col min="8" max="8" width="16.1640625" customWidth="1"/>
    <col min="9" max="9" width="3.6640625" customWidth="1"/>
    <col min="10" max="10" width="16.1640625" customWidth="1"/>
    <col min="11" max="11" width="3.6640625" customWidth="1"/>
    <col min="12" max="12" width="15.33203125" customWidth="1"/>
    <col min="13" max="13" width="1.5" customWidth="1"/>
    <col min="15" max="15" width="9.1640625" style="1" hidden="1" customWidth="1"/>
    <col min="16" max="16" width="9.1640625" hidden="1" customWidth="1"/>
  </cols>
  <sheetData>
    <row r="1" spans="1:16" x14ac:dyDescent="0.15">
      <c r="A1" s="81"/>
      <c r="B1" s="82"/>
      <c r="C1" s="82"/>
      <c r="D1" s="82"/>
      <c r="E1" s="82"/>
      <c r="F1" s="82"/>
      <c r="G1" s="82"/>
      <c r="H1" s="82"/>
      <c r="I1" s="82"/>
      <c r="J1" s="82"/>
      <c r="K1" s="82"/>
      <c r="L1" s="82"/>
      <c r="M1" s="83"/>
      <c r="N1" s="1"/>
    </row>
    <row r="2" spans="1:16" ht="14" thickBot="1" x14ac:dyDescent="0.2">
      <c r="A2" s="84"/>
      <c r="B2" s="85"/>
      <c r="C2" s="85"/>
      <c r="D2" s="85"/>
      <c r="E2" s="85"/>
      <c r="F2" s="85"/>
      <c r="G2" s="85"/>
      <c r="H2" s="85"/>
      <c r="I2" s="85"/>
      <c r="J2" s="85"/>
      <c r="K2" s="85"/>
      <c r="L2" s="85"/>
      <c r="M2" s="86"/>
      <c r="N2" s="1"/>
    </row>
    <row r="3" spans="1:16" s="74" customFormat="1" ht="24" customHeight="1" thickBot="1" x14ac:dyDescent="0.2">
      <c r="A3" s="87"/>
      <c r="B3" s="88" t="s">
        <v>107</v>
      </c>
      <c r="C3" s="89"/>
      <c r="D3" s="89"/>
      <c r="E3" s="89"/>
      <c r="F3" s="89"/>
      <c r="G3" s="89"/>
      <c r="H3" s="90"/>
      <c r="I3" s="70"/>
      <c r="J3" s="70"/>
      <c r="K3" s="70"/>
      <c r="L3" s="70"/>
      <c r="M3" s="72"/>
      <c r="N3" s="73"/>
      <c r="O3" s="73"/>
    </row>
    <row r="4" spans="1:16" x14ac:dyDescent="0.15">
      <c r="A4" s="84"/>
      <c r="B4" s="85"/>
      <c r="C4" s="85"/>
      <c r="D4" s="85"/>
      <c r="E4" s="85"/>
      <c r="F4" s="85"/>
      <c r="G4" s="85"/>
      <c r="H4" s="85"/>
      <c r="I4" s="85"/>
      <c r="J4" s="85"/>
      <c r="K4" s="85"/>
      <c r="L4" s="85"/>
      <c r="M4" s="86"/>
      <c r="N4" s="1"/>
    </row>
    <row r="5" spans="1:16" s="74" customFormat="1" ht="23.25" customHeight="1" x14ac:dyDescent="0.15">
      <c r="A5" s="87"/>
      <c r="B5" s="36" t="s">
        <v>108</v>
      </c>
      <c r="C5" s="91"/>
      <c r="D5" s="91"/>
      <c r="E5" s="91"/>
      <c r="F5" s="91"/>
      <c r="G5" s="91"/>
      <c r="H5" s="91"/>
      <c r="I5" s="63"/>
      <c r="J5" s="63"/>
      <c r="K5" s="63"/>
      <c r="L5" s="66"/>
      <c r="M5" s="72"/>
      <c r="N5" s="73"/>
      <c r="O5" s="73"/>
    </row>
    <row r="6" spans="1:16" x14ac:dyDescent="0.15">
      <c r="A6" s="84"/>
      <c r="B6" s="85"/>
      <c r="C6" s="85"/>
      <c r="D6" s="85"/>
      <c r="E6" s="85"/>
      <c r="F6" s="85"/>
      <c r="G6" s="85"/>
      <c r="H6" s="85"/>
      <c r="I6" s="85"/>
      <c r="J6" s="85"/>
      <c r="K6" s="85"/>
      <c r="L6" s="85"/>
      <c r="M6" s="86"/>
      <c r="N6" s="1"/>
    </row>
    <row r="7" spans="1:16" x14ac:dyDescent="0.15">
      <c r="A7" s="84"/>
      <c r="B7" s="85"/>
      <c r="C7" s="85"/>
      <c r="D7" s="85"/>
      <c r="E7" s="85"/>
      <c r="F7" s="92" t="s">
        <v>109</v>
      </c>
      <c r="G7" s="92"/>
      <c r="H7" s="92" t="s">
        <v>110</v>
      </c>
      <c r="I7" s="85"/>
      <c r="J7" s="85"/>
      <c r="K7" s="85"/>
      <c r="L7" s="85"/>
      <c r="M7" s="86"/>
      <c r="N7" s="1"/>
    </row>
    <row r="8" spans="1:16" x14ac:dyDescent="0.15">
      <c r="A8" s="84"/>
      <c r="B8" s="85"/>
      <c r="C8" s="85"/>
      <c r="D8" s="85"/>
      <c r="E8" s="93" t="s">
        <v>111</v>
      </c>
      <c r="F8" s="94"/>
      <c r="G8" s="85"/>
      <c r="H8" s="94"/>
      <c r="I8" s="85"/>
      <c r="J8" s="95"/>
      <c r="K8" s="92"/>
      <c r="L8" s="95"/>
      <c r="M8" s="86"/>
      <c r="N8" s="1"/>
      <c r="O8" s="96" t="b">
        <f>IF(AND(F8&lt;&gt;"",F9&lt;&gt;"",F10&lt;&gt;""),TRUE,FALSE)</f>
        <v>0</v>
      </c>
      <c r="P8" s="97" t="b">
        <f>IF(AND(H8&lt;&gt;"",H9&lt;&gt;"",H10&lt;&gt;""),TRUE,FALSE)</f>
        <v>0</v>
      </c>
    </row>
    <row r="9" spans="1:16" x14ac:dyDescent="0.15">
      <c r="A9" s="98"/>
      <c r="B9" s="99"/>
      <c r="C9" s="99"/>
      <c r="D9" s="99"/>
      <c r="E9" s="100" t="s">
        <v>112</v>
      </c>
      <c r="F9" s="101"/>
      <c r="G9" s="99"/>
      <c r="H9" s="101"/>
      <c r="I9" s="99"/>
      <c r="J9" s="102" t="str">
        <f>IF(AND(F9&gt;0,H9&gt;0),IF(F9=H9,"Average","Extrapolated Average"),"Average")</f>
        <v>Average</v>
      </c>
      <c r="K9" s="103"/>
      <c r="L9" s="95" t="s">
        <v>113</v>
      </c>
      <c r="M9" s="104"/>
      <c r="N9" s="1"/>
    </row>
    <row r="10" spans="1:16" x14ac:dyDescent="0.15">
      <c r="A10" s="84"/>
      <c r="B10" s="105" t="s">
        <v>114</v>
      </c>
      <c r="C10" s="85"/>
      <c r="D10" s="85"/>
      <c r="E10" s="85"/>
      <c r="F10" s="346"/>
      <c r="G10" s="85"/>
      <c r="H10" s="346"/>
      <c r="I10" s="85"/>
      <c r="J10" s="350">
        <f>IF(AND($O$8,$P$8),(F10/$F$9+H10/$H$9)/2*12,IF($O$8,F10,IF($P$8,H10,0)))</f>
        <v>0</v>
      </c>
      <c r="K10" s="106"/>
      <c r="L10" s="107"/>
      <c r="M10" s="86"/>
      <c r="N10" s="1"/>
      <c r="O10" s="29"/>
    </row>
    <row r="11" spans="1:16" x14ac:dyDescent="0.15">
      <c r="A11" s="84"/>
      <c r="B11" s="85"/>
      <c r="C11" s="85"/>
      <c r="D11" s="85"/>
      <c r="E11" s="85"/>
      <c r="F11" s="85"/>
      <c r="G11" s="85"/>
      <c r="H11" s="85"/>
      <c r="I11" s="85"/>
      <c r="J11" s="85"/>
      <c r="K11" s="85"/>
      <c r="L11" s="85"/>
      <c r="M11" s="86"/>
      <c r="N11" s="1"/>
    </row>
    <row r="12" spans="1:16" x14ac:dyDescent="0.15">
      <c r="A12" s="84"/>
      <c r="B12" s="105" t="s">
        <v>115</v>
      </c>
      <c r="C12" s="85"/>
      <c r="D12" s="85"/>
      <c r="E12" s="85"/>
      <c r="F12" s="85"/>
      <c r="G12" s="85"/>
      <c r="H12" s="85"/>
      <c r="I12" s="85"/>
      <c r="J12" s="85"/>
      <c r="K12" s="85"/>
      <c r="L12" s="85"/>
      <c r="M12" s="86"/>
      <c r="N12" s="1"/>
    </row>
    <row r="13" spans="1:16" x14ac:dyDescent="0.15">
      <c r="A13" s="84"/>
      <c r="B13" s="85"/>
      <c r="C13" s="85" t="s">
        <v>116</v>
      </c>
      <c r="D13" s="85"/>
      <c r="E13" s="85"/>
      <c r="F13" s="347"/>
      <c r="G13" s="108"/>
      <c r="H13" s="347"/>
      <c r="I13" s="85"/>
      <c r="J13" s="109">
        <f t="shared" ref="J13:J19" si="0">IF(AND($O$8,$P$8),(F13/$F$9+H13/$H$9)/2*12,IF($O$8,F13,IF($P$8,H13,0)))</f>
        <v>0</v>
      </c>
      <c r="K13" s="110"/>
      <c r="L13" s="107"/>
      <c r="M13" s="86"/>
      <c r="N13" s="1"/>
    </row>
    <row r="14" spans="1:16" x14ac:dyDescent="0.15">
      <c r="A14" s="84"/>
      <c r="B14" s="85"/>
      <c r="C14" s="85" t="s">
        <v>117</v>
      </c>
      <c r="D14" s="85"/>
      <c r="E14" s="85"/>
      <c r="F14" s="347"/>
      <c r="G14" s="108"/>
      <c r="H14" s="347"/>
      <c r="I14" s="85"/>
      <c r="J14" s="109">
        <f t="shared" si="0"/>
        <v>0</v>
      </c>
      <c r="K14" s="110"/>
      <c r="L14" s="107"/>
      <c r="M14" s="86"/>
      <c r="N14" s="1"/>
    </row>
    <row r="15" spans="1:16" x14ac:dyDescent="0.15">
      <c r="A15" s="84"/>
      <c r="B15" s="85"/>
      <c r="C15" s="85" t="s">
        <v>118</v>
      </c>
      <c r="D15" s="85"/>
      <c r="E15" s="85"/>
      <c r="F15" s="347"/>
      <c r="G15" s="108"/>
      <c r="H15" s="347"/>
      <c r="I15" s="85"/>
      <c r="J15" s="109">
        <f t="shared" si="0"/>
        <v>0</v>
      </c>
      <c r="K15" s="110"/>
      <c r="L15" s="107"/>
      <c r="M15" s="86"/>
      <c r="N15" s="1"/>
    </row>
    <row r="16" spans="1:16" x14ac:dyDescent="0.15">
      <c r="A16" s="84"/>
      <c r="B16" s="85"/>
      <c r="C16" s="85" t="s">
        <v>119</v>
      </c>
      <c r="D16" s="85"/>
      <c r="E16" s="85"/>
      <c r="F16" s="347"/>
      <c r="G16" s="108"/>
      <c r="H16" s="347"/>
      <c r="I16" s="85"/>
      <c r="J16" s="109">
        <f t="shared" si="0"/>
        <v>0</v>
      </c>
      <c r="K16" s="110"/>
      <c r="L16" s="107"/>
      <c r="M16" s="86"/>
      <c r="N16" s="1"/>
    </row>
    <row r="17" spans="1:16" x14ac:dyDescent="0.15">
      <c r="A17" s="84"/>
      <c r="B17" s="85"/>
      <c r="C17" s="85" t="s">
        <v>120</v>
      </c>
      <c r="D17" s="85"/>
      <c r="E17" s="85"/>
      <c r="F17" s="347"/>
      <c r="G17" s="108"/>
      <c r="H17" s="347"/>
      <c r="I17" s="85"/>
      <c r="J17" s="109">
        <f t="shared" si="0"/>
        <v>0</v>
      </c>
      <c r="K17" s="110"/>
      <c r="L17" s="107"/>
      <c r="M17" s="86"/>
      <c r="N17" s="1"/>
    </row>
    <row r="18" spans="1:16" x14ac:dyDescent="0.15">
      <c r="A18" s="84"/>
      <c r="B18" s="85"/>
      <c r="C18" s="85" t="s">
        <v>121</v>
      </c>
      <c r="D18" s="1"/>
      <c r="E18" s="85"/>
      <c r="F18" s="348"/>
      <c r="G18" s="108"/>
      <c r="H18" s="348"/>
      <c r="I18" s="85"/>
      <c r="J18" s="109">
        <f t="shared" si="0"/>
        <v>0</v>
      </c>
      <c r="K18" s="110"/>
      <c r="L18" s="107"/>
      <c r="M18" s="86"/>
      <c r="N18" s="1"/>
    </row>
    <row r="19" spans="1:16" x14ac:dyDescent="0.15">
      <c r="A19" s="84"/>
      <c r="B19" s="85"/>
      <c r="C19" s="105" t="s">
        <v>122</v>
      </c>
      <c r="D19" s="111"/>
      <c r="E19" s="85"/>
      <c r="F19" s="349">
        <f>SUM(F13:F18)</f>
        <v>0</v>
      </c>
      <c r="G19" s="85"/>
      <c r="H19" s="349">
        <f>SUM(H13:H18)</f>
        <v>0</v>
      </c>
      <c r="I19" s="85"/>
      <c r="J19" s="112">
        <f t="shared" si="0"/>
        <v>0</v>
      </c>
      <c r="K19" s="113"/>
      <c r="L19" s="107"/>
      <c r="M19" s="86"/>
      <c r="N19" s="1"/>
    </row>
    <row r="20" spans="1:16" ht="14" thickBot="1" x14ac:dyDescent="0.2">
      <c r="A20" s="84"/>
      <c r="B20" s="85"/>
      <c r="C20" s="85"/>
      <c r="D20" s="85"/>
      <c r="E20" s="85"/>
      <c r="F20" s="85"/>
      <c r="G20" s="85"/>
      <c r="H20" s="85"/>
      <c r="I20" s="85"/>
      <c r="J20" s="85"/>
      <c r="K20" s="85"/>
      <c r="L20" s="85"/>
      <c r="M20" s="86"/>
      <c r="N20" s="1"/>
    </row>
    <row r="21" spans="1:16" ht="14" thickBot="1" x14ac:dyDescent="0.2">
      <c r="A21" s="84"/>
      <c r="B21" s="105" t="s">
        <v>123</v>
      </c>
      <c r="C21" s="85"/>
      <c r="D21" s="85"/>
      <c r="E21" s="85"/>
      <c r="F21" s="114">
        <f>IF(O8,F19+F10,0)</f>
        <v>0</v>
      </c>
      <c r="G21" s="85"/>
      <c r="H21" s="114">
        <f>IF(P8,H10+H19,0)</f>
        <v>0</v>
      </c>
      <c r="I21" s="85"/>
      <c r="J21" s="114">
        <f>IF(AND($O$8,$P$8),(F21/$F$9+H21/$H$9)/2*12,IF($O$8,F21,IF($P$8,H21,0)))</f>
        <v>0</v>
      </c>
      <c r="K21" s="106"/>
      <c r="L21" s="107"/>
      <c r="M21" s="86"/>
      <c r="N21" s="1"/>
    </row>
    <row r="22" spans="1:16" ht="14" thickBot="1" x14ac:dyDescent="0.2">
      <c r="A22" s="84"/>
      <c r="B22" s="105" t="s">
        <v>124</v>
      </c>
      <c r="C22" s="85"/>
      <c r="D22" s="85"/>
      <c r="E22" s="85"/>
      <c r="F22" s="114">
        <f>IF(O8,F21/F9,0)</f>
        <v>0</v>
      </c>
      <c r="G22" s="85"/>
      <c r="H22" s="114">
        <f>IF(P8,H21/H9,0)</f>
        <v>0</v>
      </c>
      <c r="I22" s="85"/>
      <c r="J22" s="114">
        <f>IF(AND($O$8,$P$8),(F22+H22)/2,IF($O$8,F22,IF($P$8,H22,0)))</f>
        <v>0</v>
      </c>
      <c r="K22" s="106"/>
      <c r="L22" s="107"/>
      <c r="M22" s="86"/>
      <c r="N22" s="1"/>
    </row>
    <row r="23" spans="1:16" ht="14" thickBot="1" x14ac:dyDescent="0.2">
      <c r="A23" s="84"/>
      <c r="B23" s="105" t="s">
        <v>125</v>
      </c>
      <c r="C23" s="85"/>
      <c r="D23" s="85"/>
      <c r="E23" s="85"/>
      <c r="F23" s="114">
        <f>IF(O8,F22*12,0)</f>
        <v>0</v>
      </c>
      <c r="G23" s="85"/>
      <c r="H23" s="114">
        <f>IF(P8,H22*12,0)</f>
        <v>0</v>
      </c>
      <c r="I23" s="85"/>
      <c r="J23" s="114">
        <f>IF(AND($O$8,$P$8),(F23+H23)/2,IF($O$8,F23,IF($P$8,H23,0)))</f>
        <v>0</v>
      </c>
      <c r="K23" s="106"/>
      <c r="L23" s="107"/>
      <c r="M23" s="86"/>
      <c r="N23" s="1"/>
    </row>
    <row r="24" spans="1:16" x14ac:dyDescent="0.15">
      <c r="A24" s="84"/>
      <c r="B24" s="105"/>
      <c r="C24" s="85"/>
      <c r="D24" s="85"/>
      <c r="E24" s="85"/>
      <c r="F24" s="106"/>
      <c r="G24" s="85"/>
      <c r="H24" s="106"/>
      <c r="I24" s="85"/>
      <c r="J24" s="106"/>
      <c r="K24" s="106"/>
      <c r="L24" s="115"/>
      <c r="M24" s="86"/>
      <c r="N24" s="1"/>
    </row>
    <row r="25" spans="1:16" s="74" customFormat="1" ht="24" customHeight="1" x14ac:dyDescent="0.15">
      <c r="A25" s="87"/>
      <c r="B25" s="36" t="s">
        <v>126</v>
      </c>
      <c r="C25" s="63"/>
      <c r="D25" s="63"/>
      <c r="E25" s="63"/>
      <c r="F25" s="63"/>
      <c r="G25" s="63"/>
      <c r="H25" s="63"/>
      <c r="I25" s="63"/>
      <c r="J25" s="63"/>
      <c r="K25" s="63"/>
      <c r="L25" s="66"/>
      <c r="M25" s="72"/>
      <c r="N25" s="73"/>
      <c r="O25" s="73"/>
    </row>
    <row r="26" spans="1:16" x14ac:dyDescent="0.15">
      <c r="A26" s="84"/>
      <c r="B26" s="85"/>
      <c r="C26" s="85"/>
      <c r="D26" s="85"/>
      <c r="E26" s="85"/>
      <c r="F26" s="85"/>
      <c r="G26" s="85"/>
      <c r="H26" s="85"/>
      <c r="I26" s="85"/>
      <c r="J26" s="85"/>
      <c r="K26" s="85"/>
      <c r="L26" s="85"/>
      <c r="M26" s="86"/>
      <c r="N26" s="1"/>
    </row>
    <row r="27" spans="1:16" x14ac:dyDescent="0.15">
      <c r="A27" s="84"/>
      <c r="B27" s="85"/>
      <c r="C27" s="85"/>
      <c r="D27" s="85"/>
      <c r="E27" s="85"/>
      <c r="F27" s="92" t="s">
        <v>109</v>
      </c>
      <c r="G27" s="85"/>
      <c r="H27" s="92" t="s">
        <v>110</v>
      </c>
      <c r="I27" s="85"/>
      <c r="J27" s="85"/>
      <c r="K27" s="85"/>
      <c r="L27" s="85"/>
      <c r="M27" s="86"/>
      <c r="N27" s="1"/>
    </row>
    <row r="28" spans="1:16" x14ac:dyDescent="0.15">
      <c r="A28" s="84"/>
      <c r="B28" s="85"/>
      <c r="C28" s="85"/>
      <c r="D28" s="85"/>
      <c r="E28" s="93" t="s">
        <v>111</v>
      </c>
      <c r="F28" s="94"/>
      <c r="G28" s="85"/>
      <c r="H28" s="94"/>
      <c r="I28" s="85"/>
      <c r="J28" s="95"/>
      <c r="K28" s="92"/>
      <c r="L28" s="95"/>
      <c r="M28" s="86"/>
      <c r="N28" s="1"/>
      <c r="O28" s="96" t="b">
        <f>IF(AND(F28&lt;&gt;"",F29&lt;&gt;"",F30&lt;&gt;""),TRUE,FALSE)</f>
        <v>0</v>
      </c>
      <c r="P28" s="97" t="b">
        <f>IF(AND(H28&lt;&gt;"",H29&lt;&gt;"",H30&lt;&gt;""),TRUE,FALSE)</f>
        <v>0</v>
      </c>
    </row>
    <row r="29" spans="1:16" x14ac:dyDescent="0.15">
      <c r="A29" s="98"/>
      <c r="B29" s="99"/>
      <c r="C29" s="99"/>
      <c r="D29" s="99"/>
      <c r="E29" s="100" t="s">
        <v>112</v>
      </c>
      <c r="F29" s="101"/>
      <c r="G29" s="99"/>
      <c r="H29" s="101"/>
      <c r="I29" s="99"/>
      <c r="J29" s="102" t="str">
        <f>IF(AND(F29&gt;0,H29&gt;0),IF(F29=H29,"Average","Extrapolated Average"),"Average")</f>
        <v>Average</v>
      </c>
      <c r="K29" s="103"/>
      <c r="L29" s="95" t="s">
        <v>113</v>
      </c>
      <c r="M29" s="104"/>
      <c r="N29" s="1"/>
    </row>
    <row r="30" spans="1:16" x14ac:dyDescent="0.15">
      <c r="A30" s="84"/>
      <c r="B30" s="105" t="s">
        <v>114</v>
      </c>
      <c r="C30" s="85"/>
      <c r="D30" s="85"/>
      <c r="E30" s="85"/>
      <c r="F30" s="346"/>
      <c r="G30" s="85"/>
      <c r="H30" s="346"/>
      <c r="I30" s="85"/>
      <c r="J30" s="350">
        <f>IF(AND($O$28,$P$28),(F30/$F$29+H30/$H$29)/2*12,IF($O$28,F30,IF($P$28,H30,0)))</f>
        <v>0</v>
      </c>
      <c r="K30" s="106"/>
      <c r="L30" s="107"/>
      <c r="M30" s="86"/>
      <c r="N30" s="1"/>
    </row>
    <row r="31" spans="1:16" x14ac:dyDescent="0.15">
      <c r="A31" s="84"/>
      <c r="B31" s="85"/>
      <c r="C31" s="85"/>
      <c r="D31" s="85"/>
      <c r="E31" s="85"/>
      <c r="F31" s="85"/>
      <c r="G31" s="85"/>
      <c r="H31" s="85"/>
      <c r="I31" s="85"/>
      <c r="J31" s="85"/>
      <c r="K31" s="85"/>
      <c r="L31" s="85"/>
      <c r="M31" s="86"/>
      <c r="N31" s="1"/>
    </row>
    <row r="32" spans="1:16" x14ac:dyDescent="0.15">
      <c r="A32" s="84"/>
      <c r="B32" s="105" t="s">
        <v>115</v>
      </c>
      <c r="C32" s="85"/>
      <c r="D32" s="85"/>
      <c r="E32" s="85"/>
      <c r="F32" s="85"/>
      <c r="G32" s="85"/>
      <c r="H32" s="85"/>
      <c r="I32" s="85"/>
      <c r="J32" s="85"/>
      <c r="K32" s="85"/>
      <c r="L32" s="85"/>
      <c r="M32" s="86"/>
      <c r="N32" s="1"/>
    </row>
    <row r="33" spans="1:16" x14ac:dyDescent="0.15">
      <c r="A33" s="84"/>
      <c r="B33" s="85"/>
      <c r="C33" s="85" t="s">
        <v>116</v>
      </c>
      <c r="D33" s="85"/>
      <c r="E33" s="85"/>
      <c r="F33" s="347"/>
      <c r="G33" s="108"/>
      <c r="H33" s="347"/>
      <c r="I33" s="85"/>
      <c r="J33" s="109">
        <f t="shared" ref="J33:J39" si="1">IF(AND($O$28,$P$28),(F33/$F$29+H33/$H$29)/2*12,IF($O$28,F33,IF($P$28,H33,0)))</f>
        <v>0</v>
      </c>
      <c r="K33" s="110"/>
      <c r="L33" s="107"/>
      <c r="M33" s="86"/>
      <c r="N33" s="1"/>
    </row>
    <row r="34" spans="1:16" x14ac:dyDescent="0.15">
      <c r="A34" s="84"/>
      <c r="B34" s="85"/>
      <c r="C34" s="85" t="s">
        <v>117</v>
      </c>
      <c r="D34" s="85"/>
      <c r="E34" s="85"/>
      <c r="F34" s="347"/>
      <c r="G34" s="108"/>
      <c r="H34" s="347"/>
      <c r="I34" s="85"/>
      <c r="J34" s="109">
        <f t="shared" si="1"/>
        <v>0</v>
      </c>
      <c r="K34" s="110"/>
      <c r="L34" s="107"/>
      <c r="M34" s="86"/>
      <c r="N34" s="1"/>
    </row>
    <row r="35" spans="1:16" x14ac:dyDescent="0.15">
      <c r="A35" s="84"/>
      <c r="B35" s="85"/>
      <c r="C35" s="85" t="s">
        <v>118</v>
      </c>
      <c r="D35" s="85"/>
      <c r="E35" s="85"/>
      <c r="F35" s="347"/>
      <c r="G35" s="108"/>
      <c r="H35" s="347"/>
      <c r="I35" s="85"/>
      <c r="J35" s="109">
        <f t="shared" si="1"/>
        <v>0</v>
      </c>
      <c r="K35" s="110"/>
      <c r="L35" s="107"/>
      <c r="M35" s="86"/>
      <c r="N35" s="1"/>
    </row>
    <row r="36" spans="1:16" x14ac:dyDescent="0.15">
      <c r="A36" s="84"/>
      <c r="B36" s="85"/>
      <c r="C36" s="85" t="s">
        <v>119</v>
      </c>
      <c r="D36" s="85"/>
      <c r="E36" s="85"/>
      <c r="F36" s="347"/>
      <c r="G36" s="108"/>
      <c r="H36" s="347"/>
      <c r="I36" s="85"/>
      <c r="J36" s="109">
        <f t="shared" si="1"/>
        <v>0</v>
      </c>
      <c r="K36" s="110"/>
      <c r="L36" s="107"/>
      <c r="M36" s="86"/>
      <c r="N36" s="1"/>
    </row>
    <row r="37" spans="1:16" x14ac:dyDescent="0.15">
      <c r="A37" s="84"/>
      <c r="B37" s="85"/>
      <c r="C37" s="85" t="s">
        <v>120</v>
      </c>
      <c r="D37" s="85"/>
      <c r="E37" s="85"/>
      <c r="F37" s="347"/>
      <c r="G37" s="108"/>
      <c r="H37" s="347"/>
      <c r="I37" s="85"/>
      <c r="J37" s="109">
        <f t="shared" si="1"/>
        <v>0</v>
      </c>
      <c r="K37" s="110"/>
      <c r="L37" s="107"/>
      <c r="M37" s="86"/>
      <c r="N37" s="1"/>
    </row>
    <row r="38" spans="1:16" x14ac:dyDescent="0.15">
      <c r="A38" s="84"/>
      <c r="B38" s="85"/>
      <c r="C38" s="85" t="s">
        <v>121</v>
      </c>
      <c r="D38" s="1"/>
      <c r="E38" s="85"/>
      <c r="F38" s="348"/>
      <c r="G38" s="108"/>
      <c r="H38" s="348"/>
      <c r="I38" s="85"/>
      <c r="J38" s="109">
        <f t="shared" si="1"/>
        <v>0</v>
      </c>
      <c r="K38" s="110"/>
      <c r="L38" s="107"/>
      <c r="M38" s="86"/>
      <c r="N38" s="1"/>
    </row>
    <row r="39" spans="1:16" x14ac:dyDescent="0.15">
      <c r="A39" s="84"/>
      <c r="B39" s="85"/>
      <c r="C39" s="105" t="s">
        <v>122</v>
      </c>
      <c r="D39" s="111"/>
      <c r="E39" s="85"/>
      <c r="F39" s="349">
        <f>SUM(F33:F38)</f>
        <v>0</v>
      </c>
      <c r="G39" s="85"/>
      <c r="H39" s="349">
        <f>SUM(H33:H38)</f>
        <v>0</v>
      </c>
      <c r="I39" s="85"/>
      <c r="J39" s="112">
        <f t="shared" si="1"/>
        <v>0</v>
      </c>
      <c r="K39" s="113"/>
      <c r="L39" s="107"/>
      <c r="M39" s="86"/>
      <c r="N39" s="1"/>
    </row>
    <row r="40" spans="1:16" ht="14" thickBot="1" x14ac:dyDescent="0.2">
      <c r="A40" s="84"/>
      <c r="B40" s="85"/>
      <c r="C40" s="85"/>
      <c r="D40" s="85"/>
      <c r="E40" s="85"/>
      <c r="F40" s="85"/>
      <c r="G40" s="85"/>
      <c r="H40" s="85"/>
      <c r="I40" s="85"/>
      <c r="J40" s="85"/>
      <c r="K40" s="85"/>
      <c r="L40" s="85"/>
      <c r="M40" s="86"/>
      <c r="N40" s="1"/>
    </row>
    <row r="41" spans="1:16" ht="14" thickBot="1" x14ac:dyDescent="0.2">
      <c r="A41" s="84"/>
      <c r="B41" s="105" t="s">
        <v>123</v>
      </c>
      <c r="C41" s="85"/>
      <c r="D41" s="85"/>
      <c r="E41" s="85"/>
      <c r="F41" s="114">
        <f>IF(O28,F30+F39,0)</f>
        <v>0</v>
      </c>
      <c r="G41" s="85"/>
      <c r="H41" s="114">
        <f>IF(P28,H30+H39,0)</f>
        <v>0</v>
      </c>
      <c r="I41" s="85"/>
      <c r="J41" s="114">
        <f>IF(AND($O$28,$P$28),(F41/$F$29+H41/$H$29)/2*12,IF($O$28,F41,IF($P$28,H41,0)))</f>
        <v>0</v>
      </c>
      <c r="K41" s="106"/>
      <c r="L41" s="107"/>
      <c r="M41" s="86"/>
      <c r="N41" s="1"/>
    </row>
    <row r="42" spans="1:16" ht="14" thickBot="1" x14ac:dyDescent="0.2">
      <c r="A42" s="84"/>
      <c r="B42" s="105" t="s">
        <v>124</v>
      </c>
      <c r="C42" s="85"/>
      <c r="D42" s="85"/>
      <c r="E42" s="85"/>
      <c r="F42" s="114">
        <f>IF(O28,F41/F29,0)</f>
        <v>0</v>
      </c>
      <c r="G42" s="85"/>
      <c r="H42" s="114">
        <f>IF(P28,H41/H29,0)</f>
        <v>0</v>
      </c>
      <c r="I42" s="85"/>
      <c r="J42" s="114">
        <f>IF(AND($O$28,$P$28),(F42+H42)/2,IF($O$28,F42,IF($P$28,H42,0)))</f>
        <v>0</v>
      </c>
      <c r="K42" s="106"/>
      <c r="L42" s="107"/>
      <c r="M42" s="86"/>
      <c r="N42" s="1"/>
    </row>
    <row r="43" spans="1:16" ht="14" thickBot="1" x14ac:dyDescent="0.2">
      <c r="A43" s="84"/>
      <c r="B43" s="105" t="s">
        <v>125</v>
      </c>
      <c r="C43" s="85"/>
      <c r="D43" s="85"/>
      <c r="E43" s="85"/>
      <c r="F43" s="114">
        <f>IF(O28,F42*12,0)</f>
        <v>0</v>
      </c>
      <c r="G43" s="85"/>
      <c r="H43" s="114">
        <f>IF(P28,H42*12,0)</f>
        <v>0</v>
      </c>
      <c r="I43" s="85"/>
      <c r="J43" s="114">
        <f>IF(AND($O$28,$P$28),(F43+H43)/2,IF($O$28,F43,IF($P$28,H43,0)))</f>
        <v>0</v>
      </c>
      <c r="K43" s="106"/>
      <c r="L43" s="107"/>
      <c r="M43" s="86"/>
      <c r="N43" s="1"/>
    </row>
    <row r="44" spans="1:16" x14ac:dyDescent="0.15">
      <c r="A44" s="84"/>
      <c r="B44" s="85"/>
      <c r="C44" s="85"/>
      <c r="D44" s="85"/>
      <c r="E44" s="85"/>
      <c r="F44" s="85"/>
      <c r="G44" s="85"/>
      <c r="H44" s="85"/>
      <c r="I44" s="85"/>
      <c r="J44" s="85"/>
      <c r="K44" s="85"/>
      <c r="L44" s="85"/>
      <c r="M44" s="86"/>
      <c r="N44" s="1"/>
    </row>
    <row r="45" spans="1:16" s="74" customFormat="1" ht="24" customHeight="1" x14ac:dyDescent="0.15">
      <c r="A45" s="87"/>
      <c r="B45" s="36" t="s">
        <v>127</v>
      </c>
      <c r="C45" s="63"/>
      <c r="D45" s="63"/>
      <c r="E45" s="63"/>
      <c r="F45" s="63"/>
      <c r="G45" s="63"/>
      <c r="H45" s="63"/>
      <c r="I45" s="63"/>
      <c r="J45" s="63"/>
      <c r="K45" s="63"/>
      <c r="L45" s="66"/>
      <c r="M45" s="72"/>
      <c r="N45" s="73"/>
      <c r="O45" s="73"/>
    </row>
    <row r="46" spans="1:16" x14ac:dyDescent="0.15">
      <c r="A46" s="84"/>
      <c r="B46" s="85"/>
      <c r="C46" s="85"/>
      <c r="D46" s="85"/>
      <c r="E46" s="85"/>
      <c r="F46" s="85"/>
      <c r="G46" s="85"/>
      <c r="H46" s="85"/>
      <c r="I46" s="85"/>
      <c r="J46" s="85"/>
      <c r="K46" s="85"/>
      <c r="L46" s="85"/>
      <c r="M46" s="86"/>
      <c r="N46" s="1"/>
    </row>
    <row r="47" spans="1:16" x14ac:dyDescent="0.15">
      <c r="A47" s="84"/>
      <c r="B47" s="85"/>
      <c r="C47" s="85"/>
      <c r="D47" s="85"/>
      <c r="E47" s="85"/>
      <c r="F47" s="92" t="s">
        <v>109</v>
      </c>
      <c r="G47" s="85"/>
      <c r="H47" s="92" t="s">
        <v>110</v>
      </c>
      <c r="I47" s="85"/>
      <c r="J47" s="85"/>
      <c r="K47" s="85"/>
      <c r="L47" s="85"/>
      <c r="M47" s="86"/>
      <c r="N47" s="1"/>
    </row>
    <row r="48" spans="1:16" x14ac:dyDescent="0.15">
      <c r="A48" s="84"/>
      <c r="B48" s="85"/>
      <c r="C48" s="85"/>
      <c r="D48" s="85"/>
      <c r="E48" s="93" t="s">
        <v>111</v>
      </c>
      <c r="F48" s="94"/>
      <c r="G48" s="85"/>
      <c r="H48" s="94"/>
      <c r="I48" s="85"/>
      <c r="J48" s="95"/>
      <c r="K48" s="92"/>
      <c r="L48" s="95"/>
      <c r="M48" s="86"/>
      <c r="N48" s="1"/>
      <c r="O48" s="96" t="b">
        <f>IF(AND(F48&lt;&gt;"",F49&lt;&gt;"",F50&lt;&gt;""),TRUE,FALSE)</f>
        <v>0</v>
      </c>
      <c r="P48" s="97" t="b">
        <f>IF(AND(H48&lt;&gt;"",H49&lt;&gt;"",H50&lt;&gt;""),TRUE,FALSE)</f>
        <v>0</v>
      </c>
    </row>
    <row r="49" spans="1:14" x14ac:dyDescent="0.15">
      <c r="A49" s="98"/>
      <c r="B49" s="99"/>
      <c r="C49" s="99"/>
      <c r="D49" s="99"/>
      <c r="E49" s="100" t="s">
        <v>112</v>
      </c>
      <c r="F49" s="101"/>
      <c r="G49" s="99"/>
      <c r="H49" s="101"/>
      <c r="I49" s="99"/>
      <c r="J49" s="102" t="str">
        <f>IF(AND(F49&gt;0,H49&gt;0),IF(F49=H49,"Average","Extrapolated Average"),"Average")</f>
        <v>Average</v>
      </c>
      <c r="K49" s="103"/>
      <c r="L49" s="95" t="s">
        <v>113</v>
      </c>
      <c r="M49" s="104"/>
      <c r="N49" s="1"/>
    </row>
    <row r="50" spans="1:14" x14ac:dyDescent="0.15">
      <c r="A50" s="84"/>
      <c r="B50" s="105" t="s">
        <v>114</v>
      </c>
      <c r="C50" s="85"/>
      <c r="D50" s="85"/>
      <c r="E50" s="85"/>
      <c r="F50" s="346"/>
      <c r="G50" s="85"/>
      <c r="H50" s="346"/>
      <c r="I50" s="85"/>
      <c r="J50" s="350">
        <f>IF(AND($O$48,$P$48),(F50/$F$49+H50/$H$49)/2*12,IF($O$48,F50,IF($P$48,H50,0)))</f>
        <v>0</v>
      </c>
      <c r="K50" s="106"/>
      <c r="L50" s="107"/>
      <c r="M50" s="86"/>
      <c r="N50" s="1"/>
    </row>
    <row r="51" spans="1:14" x14ac:dyDescent="0.15">
      <c r="A51" s="84"/>
      <c r="B51" s="85"/>
      <c r="C51" s="85"/>
      <c r="D51" s="85"/>
      <c r="E51" s="85"/>
      <c r="F51" s="85"/>
      <c r="G51" s="85"/>
      <c r="H51" s="85"/>
      <c r="I51" s="85"/>
      <c r="J51" s="85"/>
      <c r="K51" s="85"/>
      <c r="L51" s="85"/>
      <c r="M51" s="86"/>
      <c r="N51" s="1"/>
    </row>
    <row r="52" spans="1:14" x14ac:dyDescent="0.15">
      <c r="A52" s="84"/>
      <c r="B52" s="105" t="s">
        <v>115</v>
      </c>
      <c r="C52" s="85"/>
      <c r="D52" s="85"/>
      <c r="E52" s="85"/>
      <c r="F52" s="85"/>
      <c r="G52" s="85"/>
      <c r="H52" s="85"/>
      <c r="I52" s="85"/>
      <c r="J52" s="85"/>
      <c r="K52" s="85"/>
      <c r="L52" s="85"/>
      <c r="M52" s="86"/>
      <c r="N52" s="1"/>
    </row>
    <row r="53" spans="1:14" x14ac:dyDescent="0.15">
      <c r="A53" s="84"/>
      <c r="B53" s="85"/>
      <c r="C53" s="85" t="s">
        <v>116</v>
      </c>
      <c r="D53" s="85"/>
      <c r="E53" s="85"/>
      <c r="F53" s="347"/>
      <c r="G53" s="108"/>
      <c r="H53" s="347"/>
      <c r="I53" s="85"/>
      <c r="J53" s="109">
        <f t="shared" ref="J53:J59" si="2">IF(AND($O$48,$P$48),(F53/$F$49+H53/$H$49)/2*12,IF($O$48,F53,IF($P$48,H53,0)))</f>
        <v>0</v>
      </c>
      <c r="K53" s="110"/>
      <c r="L53" s="107"/>
      <c r="M53" s="86"/>
      <c r="N53" s="1"/>
    </row>
    <row r="54" spans="1:14" x14ac:dyDescent="0.15">
      <c r="A54" s="84"/>
      <c r="B54" s="85"/>
      <c r="C54" s="85" t="s">
        <v>117</v>
      </c>
      <c r="D54" s="85"/>
      <c r="E54" s="85"/>
      <c r="F54" s="347"/>
      <c r="G54" s="108"/>
      <c r="H54" s="347"/>
      <c r="I54" s="85"/>
      <c r="J54" s="109">
        <f t="shared" si="2"/>
        <v>0</v>
      </c>
      <c r="K54" s="110"/>
      <c r="L54" s="107"/>
      <c r="M54" s="86"/>
      <c r="N54" s="1"/>
    </row>
    <row r="55" spans="1:14" x14ac:dyDescent="0.15">
      <c r="A55" s="84"/>
      <c r="B55" s="85"/>
      <c r="C55" s="85" t="s">
        <v>118</v>
      </c>
      <c r="D55" s="85"/>
      <c r="E55" s="85"/>
      <c r="F55" s="347"/>
      <c r="G55" s="108"/>
      <c r="H55" s="347"/>
      <c r="I55" s="85"/>
      <c r="J55" s="109">
        <f t="shared" si="2"/>
        <v>0</v>
      </c>
      <c r="K55" s="110"/>
      <c r="L55" s="107"/>
      <c r="M55" s="86"/>
      <c r="N55" s="1"/>
    </row>
    <row r="56" spans="1:14" x14ac:dyDescent="0.15">
      <c r="A56" s="84"/>
      <c r="B56" s="85"/>
      <c r="C56" s="85" t="s">
        <v>119</v>
      </c>
      <c r="D56" s="85"/>
      <c r="E56" s="85"/>
      <c r="F56" s="347"/>
      <c r="G56" s="108"/>
      <c r="H56" s="347"/>
      <c r="I56" s="85"/>
      <c r="J56" s="109">
        <f t="shared" si="2"/>
        <v>0</v>
      </c>
      <c r="K56" s="110"/>
      <c r="L56" s="107"/>
      <c r="M56" s="86"/>
      <c r="N56" s="1"/>
    </row>
    <row r="57" spans="1:14" x14ac:dyDescent="0.15">
      <c r="A57" s="84"/>
      <c r="B57" s="85"/>
      <c r="C57" s="85" t="s">
        <v>120</v>
      </c>
      <c r="D57" s="85"/>
      <c r="E57" s="85"/>
      <c r="F57" s="347"/>
      <c r="G57" s="108"/>
      <c r="H57" s="347"/>
      <c r="I57" s="85"/>
      <c r="J57" s="109">
        <f t="shared" si="2"/>
        <v>0</v>
      </c>
      <c r="K57" s="110"/>
      <c r="L57" s="107"/>
      <c r="M57" s="86"/>
      <c r="N57" s="1"/>
    </row>
    <row r="58" spans="1:14" x14ac:dyDescent="0.15">
      <c r="A58" s="84"/>
      <c r="B58" s="85"/>
      <c r="C58" s="85" t="s">
        <v>121</v>
      </c>
      <c r="D58" s="1"/>
      <c r="E58" s="85"/>
      <c r="F58" s="348"/>
      <c r="G58" s="108"/>
      <c r="H58" s="348"/>
      <c r="I58" s="85"/>
      <c r="J58" s="109">
        <f t="shared" si="2"/>
        <v>0</v>
      </c>
      <c r="K58" s="110"/>
      <c r="L58" s="107"/>
      <c r="M58" s="86"/>
      <c r="N58" s="1"/>
    </row>
    <row r="59" spans="1:14" x14ac:dyDescent="0.15">
      <c r="A59" s="84"/>
      <c r="B59" s="85"/>
      <c r="C59" s="105" t="s">
        <v>122</v>
      </c>
      <c r="D59" s="111"/>
      <c r="E59" s="85"/>
      <c r="F59" s="349">
        <f>SUM(F53:F58)</f>
        <v>0</v>
      </c>
      <c r="G59" s="85"/>
      <c r="H59" s="349">
        <f>SUM(H53:H58)</f>
        <v>0</v>
      </c>
      <c r="I59" s="85"/>
      <c r="J59" s="112">
        <f t="shared" si="2"/>
        <v>0</v>
      </c>
      <c r="K59" s="113"/>
      <c r="L59" s="107"/>
      <c r="M59" s="86"/>
      <c r="N59" s="1"/>
    </row>
    <row r="60" spans="1:14" ht="14" thickBot="1" x14ac:dyDescent="0.2">
      <c r="A60" s="84"/>
      <c r="B60" s="85"/>
      <c r="C60" s="85"/>
      <c r="D60" s="85"/>
      <c r="E60" s="85"/>
      <c r="F60" s="85"/>
      <c r="G60" s="85"/>
      <c r="H60" s="85"/>
      <c r="I60" s="85"/>
      <c r="J60" s="85"/>
      <c r="K60" s="85"/>
      <c r="L60" s="85"/>
      <c r="M60" s="86"/>
      <c r="N60" s="1"/>
    </row>
    <row r="61" spans="1:14" ht="14" thickBot="1" x14ac:dyDescent="0.2">
      <c r="A61" s="84"/>
      <c r="B61" s="105" t="s">
        <v>123</v>
      </c>
      <c r="C61" s="85"/>
      <c r="D61" s="85"/>
      <c r="E61" s="85"/>
      <c r="F61" s="114">
        <f>IF(O48,F50+F59,0)</f>
        <v>0</v>
      </c>
      <c r="G61" s="85"/>
      <c r="H61" s="114">
        <f>IF(P48,H50+H59,0)</f>
        <v>0</v>
      </c>
      <c r="I61" s="85"/>
      <c r="J61" s="114">
        <f>IF(AND($O$48,$P$48),(F61/$F$49+H61/$H$49)/2*12,IF($O$48,F61,IF($P$48,H61,0)))</f>
        <v>0</v>
      </c>
      <c r="K61" s="106"/>
      <c r="L61" s="107"/>
      <c r="M61" s="86"/>
      <c r="N61" s="1"/>
    </row>
    <row r="62" spans="1:14" ht="14" thickBot="1" x14ac:dyDescent="0.2">
      <c r="A62" s="84"/>
      <c r="B62" s="105" t="s">
        <v>124</v>
      </c>
      <c r="C62" s="85"/>
      <c r="D62" s="85"/>
      <c r="E62" s="85"/>
      <c r="F62" s="114">
        <f>IF(O48,F61/F49,0)</f>
        <v>0</v>
      </c>
      <c r="G62" s="85"/>
      <c r="H62" s="114">
        <f>IF(P48,H61/H49,0)</f>
        <v>0</v>
      </c>
      <c r="I62" s="85"/>
      <c r="J62" s="114">
        <f>IF(AND($O$48,$P$48),(F62/$F$49+H62/$H$49)/2*12,IF($O$48,F62,IF($P$48,H62,0)))</f>
        <v>0</v>
      </c>
      <c r="K62" s="106"/>
      <c r="L62" s="107"/>
      <c r="M62" s="86"/>
      <c r="N62" s="1"/>
    </row>
    <row r="63" spans="1:14" ht="14" thickBot="1" x14ac:dyDescent="0.2">
      <c r="A63" s="84"/>
      <c r="B63" s="105" t="s">
        <v>125</v>
      </c>
      <c r="C63" s="85"/>
      <c r="D63" s="85"/>
      <c r="E63" s="85"/>
      <c r="F63" s="114">
        <f>IF(O48,F62*12,0)</f>
        <v>0</v>
      </c>
      <c r="G63" s="85"/>
      <c r="H63" s="114">
        <f>IF(P48,H62*12,0)</f>
        <v>0</v>
      </c>
      <c r="I63" s="85"/>
      <c r="J63" s="114">
        <f>IF(AND($O$48,$P$48),(F63/$F$49+H63/$H$49)/2*12,IF($O$48,F63,IF($P$48,H63,0)))</f>
        <v>0</v>
      </c>
      <c r="K63" s="106"/>
      <c r="L63" s="107"/>
      <c r="M63" s="86"/>
      <c r="N63" s="1"/>
    </row>
    <row r="64" spans="1:14" x14ac:dyDescent="0.15">
      <c r="A64" s="116"/>
      <c r="B64" s="108"/>
      <c r="C64" s="108"/>
      <c r="D64" s="108"/>
      <c r="E64" s="108"/>
      <c r="F64" s="108"/>
      <c r="G64" s="108"/>
      <c r="H64" s="108"/>
      <c r="I64" s="108"/>
      <c r="J64" s="108"/>
      <c r="K64" s="108"/>
      <c r="L64" s="108"/>
      <c r="M64" s="117"/>
      <c r="N64" s="1"/>
    </row>
    <row r="65" spans="1:16" s="74" customFormat="1" ht="24" customHeight="1" x14ac:dyDescent="0.15">
      <c r="A65" s="118"/>
      <c r="B65" s="36" t="s">
        <v>128</v>
      </c>
      <c r="C65" s="63"/>
      <c r="D65" s="63"/>
      <c r="E65" s="63"/>
      <c r="F65" s="63"/>
      <c r="G65" s="63"/>
      <c r="H65" s="63"/>
      <c r="I65" s="63"/>
      <c r="J65" s="63"/>
      <c r="K65" s="63"/>
      <c r="L65" s="66"/>
      <c r="M65" s="72"/>
      <c r="N65" s="73"/>
      <c r="O65" s="73"/>
    </row>
    <row r="66" spans="1:16" x14ac:dyDescent="0.15">
      <c r="A66" s="84"/>
      <c r="B66" s="85"/>
      <c r="C66" s="85"/>
      <c r="D66" s="85"/>
      <c r="E66" s="85"/>
      <c r="F66" s="85"/>
      <c r="G66" s="85"/>
      <c r="H66" s="85"/>
      <c r="I66" s="85"/>
      <c r="J66" s="85"/>
      <c r="K66" s="85"/>
      <c r="L66" s="85"/>
      <c r="M66" s="86"/>
      <c r="N66" s="1"/>
    </row>
    <row r="67" spans="1:16" x14ac:dyDescent="0.15">
      <c r="A67" s="84"/>
      <c r="B67" s="85"/>
      <c r="C67" s="85"/>
      <c r="D67" s="85"/>
      <c r="E67" s="85"/>
      <c r="F67" s="92" t="s">
        <v>109</v>
      </c>
      <c r="G67" s="85"/>
      <c r="H67" s="92" t="s">
        <v>110</v>
      </c>
      <c r="I67" s="85"/>
      <c r="J67" s="85"/>
      <c r="K67" s="85"/>
      <c r="L67" s="85"/>
      <c r="M67" s="86"/>
      <c r="N67" s="1"/>
    </row>
    <row r="68" spans="1:16" x14ac:dyDescent="0.15">
      <c r="A68" s="84"/>
      <c r="B68" s="85"/>
      <c r="C68" s="85"/>
      <c r="D68" s="85"/>
      <c r="E68" s="93" t="s">
        <v>111</v>
      </c>
      <c r="F68" s="94"/>
      <c r="G68" s="85"/>
      <c r="H68" s="94"/>
      <c r="I68" s="85"/>
      <c r="J68" s="95"/>
      <c r="K68" s="92"/>
      <c r="L68" s="95"/>
      <c r="M68" s="86"/>
      <c r="N68" s="1"/>
      <c r="O68" s="96" t="b">
        <f>IF(AND(F68&lt;&gt;"",F69&lt;&gt;"",F70&lt;&gt;""),TRUE,FALSE)</f>
        <v>0</v>
      </c>
      <c r="P68" s="97" t="b">
        <f>IF(AND(H68&lt;&gt;"",H69&lt;&gt;"",H70&lt;&gt;""),TRUE,FALSE)</f>
        <v>0</v>
      </c>
    </row>
    <row r="69" spans="1:16" x14ac:dyDescent="0.15">
      <c r="A69" s="98"/>
      <c r="B69" s="99"/>
      <c r="C69" s="99"/>
      <c r="D69" s="99"/>
      <c r="E69" s="100" t="s">
        <v>112</v>
      </c>
      <c r="F69" s="101"/>
      <c r="G69" s="99"/>
      <c r="H69" s="101"/>
      <c r="I69" s="99"/>
      <c r="J69" s="102" t="str">
        <f>IF(AND(F69&gt;0,H69&gt;0),IF(F69=H69,"Average","Extrapolated Average"),"Average")</f>
        <v>Average</v>
      </c>
      <c r="K69" s="103"/>
      <c r="L69" s="95" t="s">
        <v>113</v>
      </c>
      <c r="M69" s="104"/>
      <c r="N69" s="1"/>
    </row>
    <row r="70" spans="1:16" x14ac:dyDescent="0.15">
      <c r="A70" s="84"/>
      <c r="B70" s="105" t="s">
        <v>114</v>
      </c>
      <c r="C70" s="85"/>
      <c r="D70" s="85"/>
      <c r="E70" s="85"/>
      <c r="F70" s="346"/>
      <c r="G70" s="85"/>
      <c r="H70" s="346"/>
      <c r="I70" s="85"/>
      <c r="J70" s="350">
        <f>IF(AND($O$68,$P$68),(F70/$F$69+H70/$H$69)/2*12,IF($O$68,F70,IF($P$68,H70,0)))</f>
        <v>0</v>
      </c>
      <c r="K70" s="106"/>
      <c r="L70" s="107"/>
      <c r="M70" s="86"/>
      <c r="N70" s="1"/>
    </row>
    <row r="71" spans="1:16" x14ac:dyDescent="0.15">
      <c r="A71" s="84"/>
      <c r="B71" s="85"/>
      <c r="C71" s="85"/>
      <c r="D71" s="85"/>
      <c r="E71" s="85"/>
      <c r="F71" s="85"/>
      <c r="G71" s="85"/>
      <c r="H71" s="85"/>
      <c r="I71" s="85"/>
      <c r="J71" s="85"/>
      <c r="K71" s="85"/>
      <c r="L71" s="85"/>
      <c r="M71" s="86"/>
      <c r="N71" s="1"/>
    </row>
    <row r="72" spans="1:16" x14ac:dyDescent="0.15">
      <c r="A72" s="84"/>
      <c r="B72" s="105" t="s">
        <v>115</v>
      </c>
      <c r="C72" s="85"/>
      <c r="D72" s="85"/>
      <c r="E72" s="85"/>
      <c r="F72" s="85"/>
      <c r="G72" s="85"/>
      <c r="H72" s="85"/>
      <c r="I72" s="85"/>
      <c r="J72" s="85"/>
      <c r="K72" s="85"/>
      <c r="L72" s="85"/>
      <c r="M72" s="86"/>
      <c r="N72" s="1"/>
    </row>
    <row r="73" spans="1:16" x14ac:dyDescent="0.15">
      <c r="A73" s="84"/>
      <c r="B73" s="85"/>
      <c r="C73" s="85" t="s">
        <v>116</v>
      </c>
      <c r="D73" s="85"/>
      <c r="E73" s="85"/>
      <c r="F73" s="347"/>
      <c r="G73" s="108"/>
      <c r="H73" s="347"/>
      <c r="I73" s="85"/>
      <c r="J73" s="109">
        <f>IF(AND($O$68,$P$68),(F73/$F$69+H73/$H$69)/2*12,IF($O$68,F73,IF($P$68,H73,0)))</f>
        <v>0</v>
      </c>
      <c r="K73" s="110"/>
      <c r="L73" s="107"/>
      <c r="M73" s="86"/>
      <c r="N73" s="1"/>
    </row>
    <row r="74" spans="1:16" x14ac:dyDescent="0.15">
      <c r="A74" s="84"/>
      <c r="B74" s="85"/>
      <c r="C74" s="85" t="s">
        <v>117</v>
      </c>
      <c r="D74" s="85"/>
      <c r="E74" s="85"/>
      <c r="F74" s="347"/>
      <c r="G74" s="108"/>
      <c r="H74" s="347"/>
      <c r="I74" s="85"/>
      <c r="J74" s="109">
        <f t="shared" ref="J74:J83" si="3">IF(AND($O$68,$P$68),(F74/$F$69+H74/$H$69)/2*12,IF($O$68,F74,IF($P$68,H74,0)))</f>
        <v>0</v>
      </c>
      <c r="K74" s="110"/>
      <c r="L74" s="107"/>
      <c r="M74" s="86"/>
      <c r="N74" s="1"/>
    </row>
    <row r="75" spans="1:16" x14ac:dyDescent="0.15">
      <c r="A75" s="84"/>
      <c r="B75" s="85"/>
      <c r="C75" s="85" t="s">
        <v>118</v>
      </c>
      <c r="D75" s="85"/>
      <c r="E75" s="85"/>
      <c r="F75" s="347"/>
      <c r="G75" s="108"/>
      <c r="H75" s="347"/>
      <c r="I75" s="85"/>
      <c r="J75" s="109">
        <f t="shared" si="3"/>
        <v>0</v>
      </c>
      <c r="K75" s="110"/>
      <c r="L75" s="107"/>
      <c r="M75" s="86"/>
      <c r="N75" s="1"/>
    </row>
    <row r="76" spans="1:16" x14ac:dyDescent="0.15">
      <c r="A76" s="84"/>
      <c r="B76" s="85"/>
      <c r="C76" s="85" t="s">
        <v>119</v>
      </c>
      <c r="D76" s="85"/>
      <c r="E76" s="85"/>
      <c r="F76" s="347"/>
      <c r="G76" s="108"/>
      <c r="H76" s="347"/>
      <c r="I76" s="85"/>
      <c r="J76" s="109">
        <f t="shared" si="3"/>
        <v>0</v>
      </c>
      <c r="K76" s="110"/>
      <c r="L76" s="107"/>
      <c r="M76" s="86"/>
      <c r="N76" s="1"/>
    </row>
    <row r="77" spans="1:16" x14ac:dyDescent="0.15">
      <c r="A77" s="84"/>
      <c r="B77" s="85"/>
      <c r="C77" s="85" t="s">
        <v>120</v>
      </c>
      <c r="D77" s="85"/>
      <c r="E77" s="85"/>
      <c r="F77" s="347"/>
      <c r="G77" s="108"/>
      <c r="H77" s="347"/>
      <c r="I77" s="85"/>
      <c r="J77" s="109">
        <f t="shared" si="3"/>
        <v>0</v>
      </c>
      <c r="K77" s="110"/>
      <c r="L77" s="107"/>
      <c r="M77" s="86"/>
      <c r="N77" s="1"/>
    </row>
    <row r="78" spans="1:16" x14ac:dyDescent="0.15">
      <c r="A78" s="84"/>
      <c r="B78" s="85"/>
      <c r="C78" s="85" t="s">
        <v>121</v>
      </c>
      <c r="D78" s="1"/>
      <c r="E78" s="85"/>
      <c r="F78" s="348"/>
      <c r="G78" s="108"/>
      <c r="H78" s="348"/>
      <c r="I78" s="85"/>
      <c r="J78" s="109">
        <f t="shared" si="3"/>
        <v>0</v>
      </c>
      <c r="K78" s="110"/>
      <c r="L78" s="107"/>
      <c r="M78" s="86"/>
      <c r="N78" s="1"/>
    </row>
    <row r="79" spans="1:16" x14ac:dyDescent="0.15">
      <c r="A79" s="84"/>
      <c r="B79" s="85"/>
      <c r="C79" s="105" t="s">
        <v>122</v>
      </c>
      <c r="D79" s="111"/>
      <c r="E79" s="85"/>
      <c r="F79" s="349">
        <f>SUM(F73:F78)</f>
        <v>0</v>
      </c>
      <c r="G79" s="85"/>
      <c r="H79" s="349">
        <f>SUM(H73:H78)</f>
        <v>0</v>
      </c>
      <c r="I79" s="85"/>
      <c r="J79" s="112">
        <f t="shared" si="3"/>
        <v>0</v>
      </c>
      <c r="K79" s="113"/>
      <c r="L79" s="107"/>
      <c r="M79" s="86"/>
      <c r="N79" s="1"/>
    </row>
    <row r="80" spans="1:16" ht="14" thickBot="1" x14ac:dyDescent="0.2">
      <c r="A80" s="84"/>
      <c r="B80" s="85"/>
      <c r="C80" s="85"/>
      <c r="D80" s="85"/>
      <c r="E80" s="85"/>
      <c r="F80" s="85"/>
      <c r="G80" s="85"/>
      <c r="H80" s="85"/>
      <c r="I80" s="85"/>
      <c r="J80" s="85"/>
      <c r="K80" s="85"/>
      <c r="L80" s="85"/>
      <c r="M80" s="86"/>
      <c r="N80" s="1"/>
    </row>
    <row r="81" spans="1:14" ht="14" thickBot="1" x14ac:dyDescent="0.2">
      <c r="A81" s="84"/>
      <c r="B81" s="105" t="s">
        <v>123</v>
      </c>
      <c r="C81" s="85"/>
      <c r="D81" s="85"/>
      <c r="E81" s="85"/>
      <c r="F81" s="114">
        <f>IF(O68,F70+F79,0)</f>
        <v>0</v>
      </c>
      <c r="G81" s="85"/>
      <c r="H81" s="114">
        <f>IF(P68,H70+H79,0)</f>
        <v>0</v>
      </c>
      <c r="I81" s="85"/>
      <c r="J81" s="114">
        <f t="shared" si="3"/>
        <v>0</v>
      </c>
      <c r="K81" s="106"/>
      <c r="L81" s="107"/>
      <c r="M81" s="86"/>
      <c r="N81" s="1"/>
    </row>
    <row r="82" spans="1:14" ht="14" thickBot="1" x14ac:dyDescent="0.2">
      <c r="A82" s="84"/>
      <c r="B82" s="105" t="s">
        <v>124</v>
      </c>
      <c r="C82" s="85"/>
      <c r="D82" s="85"/>
      <c r="E82" s="85"/>
      <c r="F82" s="114">
        <f>IF(O68,F81/F69,0)</f>
        <v>0</v>
      </c>
      <c r="G82" s="85"/>
      <c r="H82" s="114">
        <f>IF(P68,H81/H69,0)</f>
        <v>0</v>
      </c>
      <c r="I82" s="85"/>
      <c r="J82" s="114">
        <f t="shared" si="3"/>
        <v>0</v>
      </c>
      <c r="K82" s="106"/>
      <c r="L82" s="107"/>
      <c r="M82" s="86"/>
      <c r="N82" s="1"/>
    </row>
    <row r="83" spans="1:14" ht="14" thickBot="1" x14ac:dyDescent="0.2">
      <c r="A83" s="84"/>
      <c r="B83" s="105" t="s">
        <v>125</v>
      </c>
      <c r="C83" s="85"/>
      <c r="D83" s="85"/>
      <c r="E83" s="85"/>
      <c r="F83" s="114">
        <f>IF(O68,F82*12,0)</f>
        <v>0</v>
      </c>
      <c r="G83" s="85"/>
      <c r="H83" s="114">
        <f>IF(P68,H82*12,0)</f>
        <v>0</v>
      </c>
      <c r="I83" s="85"/>
      <c r="J83" s="114">
        <f t="shared" si="3"/>
        <v>0</v>
      </c>
      <c r="K83" s="106"/>
      <c r="L83" s="107"/>
      <c r="M83" s="86"/>
      <c r="N83" s="1"/>
    </row>
    <row r="84" spans="1:14" x14ac:dyDescent="0.15">
      <c r="A84" s="116"/>
      <c r="B84" s="108"/>
      <c r="C84" s="108"/>
      <c r="D84" s="108"/>
      <c r="E84" s="108"/>
      <c r="F84" s="108"/>
      <c r="G84" s="108"/>
      <c r="H84" s="108"/>
      <c r="I84" s="108"/>
      <c r="J84" s="108"/>
      <c r="K84" s="108"/>
      <c r="L84" s="108"/>
      <c r="M84" s="117"/>
      <c r="N84" s="1"/>
    </row>
    <row r="85" spans="1:14" x14ac:dyDescent="0.15">
      <c r="A85" s="116"/>
      <c r="B85" s="119"/>
      <c r="C85" s="119"/>
      <c r="D85" s="119"/>
      <c r="E85" s="119"/>
      <c r="F85" s="120"/>
      <c r="G85" s="120"/>
      <c r="H85" s="120"/>
      <c r="I85" s="119"/>
      <c r="J85" s="119"/>
      <c r="K85" s="121"/>
      <c r="L85" s="341" t="s">
        <v>129</v>
      </c>
      <c r="M85" s="117"/>
      <c r="N85" s="1"/>
    </row>
    <row r="86" spans="1:14" x14ac:dyDescent="0.15">
      <c r="A86" s="122"/>
      <c r="B86" s="123"/>
      <c r="C86" s="123"/>
      <c r="D86" s="123"/>
      <c r="E86" s="123"/>
      <c r="F86" s="123"/>
      <c r="G86" s="123"/>
      <c r="H86" s="123"/>
      <c r="I86" s="123"/>
      <c r="J86" s="123"/>
      <c r="K86" s="123"/>
      <c r="L86" s="123"/>
      <c r="M86" s="124"/>
      <c r="N86" s="1"/>
    </row>
  </sheetData>
  <sheetProtection algorithmName="SHA-512" hashValue="1mY6Z7eEjkAcCz0cC2WQGyr1qK96eLfeteBg6VVg4Q4fkOZuAzsgomVAvGcnLQxn0A74OqEsLLkFeJGp/5XBEw==" saltValue="XxkaXQZjOWenTfZ94K/RRA==" spinCount="100000" sheet="1" objects="1" scenarios="1"/>
  <customSheetViews>
    <customSheetView guid="{878686E5-D823-11D7-9EB6-0000F6FFAA54}" scale="90" showGridLines="0" showRowCol="0" fitToPage="1" hiddenColumns="1" showRuler="0">
      <pageMargins left="0.19685039370078741" right="0.19685039370078741" top="0.19685039370078741" bottom="0.19685039370078741" header="0.51181102362204722" footer="0.15748031496062992"/>
      <printOptions horizontalCentered="1"/>
      <pageSetup paperSize="9" scale="71" orientation="portrait" r:id="rId1"/>
      <headerFooter alignWithMargins="0">
        <oddFooter>&amp;LPrinted: &amp;D &amp;T&amp;RLast modified: 03/03/2004</oddFooter>
      </headerFooter>
    </customSheetView>
    <customSheetView guid="{47743E36-E3F1-4AC8-AB28-1C3AD83F86F4}" scale="90" showGridLines="0" showRowCol="0" fitToPage="1" hiddenColumns="1" showRuler="0">
      <pageMargins left="0.19685039370078741" right="0.19685039370078741" top="0.19685039370078741" bottom="0.19685039370078741" header="0.51181102362204722" footer="0.15748031496062992"/>
      <printOptions horizontalCentered="1"/>
      <pageSetup paperSize="9" orientation="portrait" r:id="rId2"/>
      <headerFooter alignWithMargins="0">
        <oddFooter>&amp;LPrinted: &amp;D &amp;T&amp;RLast modified: 21/11/2005</oddFooter>
      </headerFooter>
    </customSheetView>
  </customSheetViews>
  <phoneticPr fontId="27" type="noConversion"/>
  <conditionalFormatting sqref="J24">
    <cfRule type="cellIs" dxfId="83" priority="1" stopIfTrue="1" operator="lessThan">
      <formula>0</formula>
    </cfRule>
  </conditionalFormatting>
  <conditionalFormatting sqref="F85:H85">
    <cfRule type="expression" dxfId="82" priority="2" stopIfTrue="1">
      <formula>$O$64</formula>
    </cfRule>
  </conditionalFormatting>
  <conditionalFormatting sqref="H24 F24">
    <cfRule type="expression" dxfId="81" priority="3" stopIfTrue="1">
      <formula>F24="No. of Months?"</formula>
    </cfRule>
    <cfRule type="cellIs" dxfId="80" priority="4" stopIfTrue="1" operator="lessThan">
      <formula>0</formula>
    </cfRule>
  </conditionalFormatting>
  <conditionalFormatting sqref="F8 F28 F48 F68 H8 H28 H48 H68">
    <cfRule type="expression" dxfId="79" priority="5" stopIfTrue="1">
      <formula>AND(F8="",OR(F9&lt;&gt;"",F10&lt;&gt;""))</formula>
    </cfRule>
  </conditionalFormatting>
  <conditionalFormatting sqref="F9 F29 F49 F69 H9 H29 H49 H69">
    <cfRule type="expression" dxfId="78" priority="6" stopIfTrue="1">
      <formula>AND(F9="",OR(F8&lt;&gt;"",F10&lt;&gt;""))</formula>
    </cfRule>
  </conditionalFormatting>
  <conditionalFormatting sqref="F10 F30 F50 F70 H10 H30 H50 H70">
    <cfRule type="expression" dxfId="77" priority="7" stopIfTrue="1">
      <formula>AND(F10="",OR(F8&lt;&gt;"",F9&lt;&gt;""))</formula>
    </cfRule>
  </conditionalFormatting>
  <dataValidations xWindow="323" yWindow="221" count="16">
    <dataValidation type="date" errorStyle="warning" operator="lessThanOrEqual" allowBlank="1" showInputMessage="1" showErrorMessage="1" errorTitle="Invalid Date" error="Please check the Statement Date Entered." prompt="Enter Statement Date of Financial Data (eg. 30/6/xx)" sqref="F8 H8 H48 F28 H28 F68 F48 H68" xr:uid="{00000000-0002-0000-0300-000000000000}">
      <formula1>TODAY()</formula1>
    </dataValidation>
    <dataValidation type="decimal" operator="lessThanOrEqual" allowBlank="1" showInputMessage="1" showErrorMessage="1" prompt="Enter the net profit before tax.  A loss should be expressed as a negative number." sqref="F10 H10 H50 F30 H30 F70 F50 H70" xr:uid="{00000000-0002-0000-0300-000001000000}">
      <formula1>9999999999</formula1>
    </dataValidation>
    <dataValidation type="whole" showInputMessage="1" showErrorMessage="1" error="Please Check Number of Months Input (Maximum 12 Months)" prompt="Enter the number of months that the financial data covers (between 1 and 12)." sqref="F9 H9 H49 F29 H29 F69 F49 H69" xr:uid="{00000000-0002-0000-0300-000002000000}">
      <formula1>1</formula1>
      <formula2>12</formula2>
    </dataValidation>
    <dataValidation type="decimal" operator="lessThanOrEqual" allowBlank="1" showInputMessage="1" showErrorMessage="1" prompt="Enter any interest for year 1." sqref="F13 F33 F53 F73" xr:uid="{00000000-0002-0000-0300-000003000000}">
      <formula1>9999999999</formula1>
    </dataValidation>
    <dataValidation type="decimal" operator="lessThanOrEqual" allowBlank="1" showInputMessage="1" showErrorMessage="1" prompt="Enter any interest for year 2." sqref="H13 H33 H53 H73" xr:uid="{00000000-0002-0000-0300-000004000000}">
      <formula1>9999999999</formula1>
    </dataValidation>
    <dataValidation type="decimal" operator="lessThanOrEqual" allowBlank="1" showInputMessage="1" showErrorMessage="1" prompt="Enter any depreciation/amortisation for year 1." sqref="F14 F34 F54 F74" xr:uid="{00000000-0002-0000-0300-000005000000}">
      <formula1>9999999999</formula1>
    </dataValidation>
    <dataValidation type="decimal" operator="lessThanOrEqual" allowBlank="1" showInputMessage="1" showErrorMessage="1" prompt="Enter any wages/salary for year 1." sqref="F15 F35 F55 F75" xr:uid="{00000000-0002-0000-0300-000006000000}">
      <formula1>9999999999</formula1>
    </dataValidation>
    <dataValidation type="decimal" operator="lessThanOrEqual" allowBlank="1" showInputMessage="1" showErrorMessage="1" prompt="Enter any depreciation/amortisation for year 2." sqref="H14 H34 H54 H74" xr:uid="{00000000-0002-0000-0300-000007000000}">
      <formula1>9999999999</formula1>
    </dataValidation>
    <dataValidation type="decimal" operator="lessThanOrEqual" allowBlank="1" showInputMessage="1" showErrorMessage="1" prompt="Enter any wages/salary for year 2." sqref="H15 H35 H55 H75" xr:uid="{00000000-0002-0000-0300-000008000000}">
      <formula1>9999999999</formula1>
    </dataValidation>
    <dataValidation type="decimal" operator="lessThanOrEqual" allowBlank="1" showInputMessage="1" showErrorMessage="1" prompt="Enter any non-cash personal benefits for year 1." sqref="F16 F36 F56 F76" xr:uid="{00000000-0002-0000-0300-000009000000}">
      <formula1>9999999999</formula1>
    </dataValidation>
    <dataValidation type="decimal" operator="lessThanOrEqual" allowBlank="1" showInputMessage="1" showErrorMessage="1" prompt="Enter any non-cash personal benefits for year 2." sqref="H16 H36 H56 H76" xr:uid="{00000000-0002-0000-0300-00000A000000}">
      <formula1>9999999999</formula1>
    </dataValidation>
    <dataValidation type="decimal" operator="lessThanOrEqual" allowBlank="1" showInputMessage="1" showErrorMessage="1" prompt="Enter any other non-cash/non-recurring expenses for year 1." sqref="F17 F37 F57 F77" xr:uid="{00000000-0002-0000-0300-00000B000000}">
      <formula1>9999999999</formula1>
    </dataValidation>
    <dataValidation type="decimal" operator="lessThanOrEqual" allowBlank="1" showInputMessage="1" showErrorMessage="1" prompt="Enter any other non-cash/non-recurring expenses for year 2." sqref="H17 H37 H57 H77" xr:uid="{00000000-0002-0000-0300-00000C000000}">
      <formula1>9999999999</formula1>
    </dataValidation>
    <dataValidation type="decimal" operator="lessThanOrEqual" allowBlank="1" showInputMessage="1" showErrorMessage="1" prompt="Enter any other add backs for year 1." sqref="F18 F38 F58 F78" xr:uid="{00000000-0002-0000-0300-00000D000000}">
      <formula1>9999999999</formula1>
    </dataValidation>
    <dataValidation type="decimal" operator="lessThanOrEqual" allowBlank="1" showInputMessage="1" showErrorMessage="1" prompt="Enter any other add backs for year 2." sqref="H18 H38 H58 H78" xr:uid="{00000000-0002-0000-0300-00000E000000}">
      <formula1>9999999999</formula1>
    </dataValidation>
    <dataValidation allowBlank="1" showInputMessage="1" showErrorMessage="1" prompt="Enter any comments." sqref="L10 L13:L19 L21:L23 L30 L33:L39 L41:L43 L50 L53:L59 L61:L63 L70 L73:L79 L81:L83" xr:uid="{00000000-0002-0000-0300-00000F000000}"/>
  </dataValidations>
  <printOptions horizontalCentered="1"/>
  <pageMargins left="0.19685039370078741" right="0.19685039370078741" top="0.19685039370078741" bottom="0.19685039370078741" header="0.51181102362204722" footer="0.15748031496062992"/>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4104" r:id="rId6">
          <objectPr defaultSize="0" autoPict="0" r:id="rId7">
            <anchor moveWithCells="1">
              <from>
                <xdr:col>9</xdr:col>
                <xdr:colOff>330200</xdr:colOff>
                <xdr:row>1</xdr:row>
                <xdr:rowOff>12700</xdr:rowOff>
              </from>
              <to>
                <xdr:col>12</xdr:col>
                <xdr:colOff>0</xdr:colOff>
                <xdr:row>2</xdr:row>
                <xdr:rowOff>215900</xdr:rowOff>
              </to>
            </anchor>
          </objectPr>
        </oleObject>
      </mc:Choice>
      <mc:Fallback>
        <oleObject progId="MSPhotoEd.3" shapeId="4104" r:id="rId6"/>
      </mc:Fallback>
    </mc:AlternateContent>
  </oleObjects>
  <mc:AlternateContent xmlns:mc="http://schemas.openxmlformats.org/markup-compatibility/2006">
    <mc:Choice Requires="x14">
      <controls>
        <mc:AlternateContent xmlns:mc="http://schemas.openxmlformats.org/markup-compatibility/2006">
          <mc:Choice Requires="x14">
            <control shapeId="4097" r:id="rId8" name="Button 1">
              <controlPr defaultSize="0" print="0" autoFill="0" autoPict="0" macro="[0]!cmdClearSelf">
                <anchor moveWithCells="1" sizeWithCells="1">
                  <from>
                    <xdr:col>9</xdr:col>
                    <xdr:colOff>12700</xdr:colOff>
                    <xdr:row>5</xdr:row>
                    <xdr:rowOff>63500</xdr:rowOff>
                  </from>
                  <to>
                    <xdr:col>9</xdr:col>
                    <xdr:colOff>850900</xdr:colOff>
                    <xdr:row>7</xdr:row>
                    <xdr:rowOff>0</xdr:rowOff>
                  </to>
                </anchor>
              </controlPr>
            </control>
          </mc:Choice>
        </mc:AlternateContent>
        <mc:AlternateContent xmlns:mc="http://schemas.openxmlformats.org/markup-compatibility/2006">
          <mc:Choice Requires="x14">
            <control shapeId="4098" r:id="rId9" name="Button 2">
              <controlPr defaultSize="0" print="0" autoFill="0" autoPict="0" macro="[0]!cmdClearSelf">
                <anchor moveWithCells="1" sizeWithCells="1">
                  <from>
                    <xdr:col>1</xdr:col>
                    <xdr:colOff>50800</xdr:colOff>
                    <xdr:row>83</xdr:row>
                    <xdr:rowOff>76200</xdr:rowOff>
                  </from>
                  <to>
                    <xdr:col>2</xdr:col>
                    <xdr:colOff>609600</xdr:colOff>
                    <xdr:row>85</xdr:row>
                    <xdr:rowOff>50800</xdr:rowOff>
                  </to>
                </anchor>
              </controlPr>
            </control>
          </mc:Choice>
        </mc:AlternateContent>
        <mc:AlternateContent xmlns:mc="http://schemas.openxmlformats.org/markup-compatibility/2006">
          <mc:Choice Requires="x14">
            <control shapeId="4099" r:id="rId10" name="Button 3">
              <controlPr defaultSize="0" print="0" autoFill="0" autoPict="0" macro="[0]!cmdCalculator">
                <anchor moveWithCells="1" sizeWithCells="1">
                  <from>
                    <xdr:col>9</xdr:col>
                    <xdr:colOff>1016000</xdr:colOff>
                    <xdr:row>5</xdr:row>
                    <xdr:rowOff>63500</xdr:rowOff>
                  </from>
                  <to>
                    <xdr:col>11</xdr:col>
                    <xdr:colOff>1016000</xdr:colOff>
                    <xdr:row>6</xdr:row>
                    <xdr:rowOff>152400</xdr:rowOff>
                  </to>
                </anchor>
              </controlPr>
            </control>
          </mc:Choice>
        </mc:AlternateContent>
        <mc:AlternateContent xmlns:mc="http://schemas.openxmlformats.org/markup-compatibility/2006">
          <mc:Choice Requires="x14">
            <control shapeId="4100" r:id="rId11" name="Button 4">
              <controlPr defaultSize="0" print="0" autoFill="0" autoPict="0" macro="[0]!cmdCalculator">
                <anchor moveWithCells="1" sizeWithCells="1">
                  <from>
                    <xdr:col>2</xdr:col>
                    <xdr:colOff>711200</xdr:colOff>
                    <xdr:row>83</xdr:row>
                    <xdr:rowOff>76200</xdr:rowOff>
                  </from>
                  <to>
                    <xdr:col>4</xdr:col>
                    <xdr:colOff>190500</xdr:colOff>
                    <xdr:row>85</xdr:row>
                    <xdr:rowOff>50800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fitToPage="1"/>
  </sheetPr>
  <dimension ref="A1:I36"/>
  <sheetViews>
    <sheetView showGridLines="0" showRowColHeaders="0" workbookViewId="0"/>
  </sheetViews>
  <sheetFormatPr baseColWidth="10" defaultColWidth="9.1640625" defaultRowHeight="13" x14ac:dyDescent="0.15"/>
  <cols>
    <col min="1" max="1" width="1.6640625" style="56" customWidth="1"/>
    <col min="2" max="8" width="14.1640625" style="56" customWidth="1"/>
    <col min="9" max="9" width="1.6640625" style="56" customWidth="1"/>
    <col min="10" max="16384" width="9.1640625" style="56"/>
  </cols>
  <sheetData>
    <row r="1" spans="1:9" ht="14" thickBot="1" x14ac:dyDescent="0.2">
      <c r="A1" s="255"/>
      <c r="B1" s="256"/>
      <c r="C1" s="256"/>
      <c r="D1" s="256"/>
      <c r="E1" s="256"/>
      <c r="F1" s="256"/>
      <c r="G1" s="256"/>
      <c r="H1" s="256"/>
      <c r="I1" s="257"/>
    </row>
    <row r="2" spans="1:9" s="131" customFormat="1" ht="24" customHeight="1" thickBot="1" x14ac:dyDescent="0.2">
      <c r="A2" s="125"/>
      <c r="B2" s="126" t="s">
        <v>130</v>
      </c>
      <c r="C2" s="127"/>
      <c r="D2" s="128"/>
      <c r="E2" s="128"/>
      <c r="F2" s="369"/>
      <c r="G2" s="129"/>
      <c r="H2" s="129"/>
      <c r="I2" s="130"/>
    </row>
    <row r="3" spans="1:9" ht="114.75" customHeight="1" x14ac:dyDescent="0.15">
      <c r="A3" s="132"/>
      <c r="B3" s="1002" t="s">
        <v>420</v>
      </c>
      <c r="C3" s="1002"/>
      <c r="D3" s="1002"/>
      <c r="E3" s="1002"/>
      <c r="F3" s="1002"/>
      <c r="G3" s="1002"/>
      <c r="H3" s="1002"/>
      <c r="I3" s="135"/>
    </row>
    <row r="4" spans="1:9" s="142" customFormat="1" ht="24" customHeight="1" x14ac:dyDescent="0.15">
      <c r="A4" s="136"/>
      <c r="B4" s="137" t="s">
        <v>131</v>
      </c>
      <c r="C4" s="138"/>
      <c r="D4" s="139"/>
      <c r="E4" s="138"/>
      <c r="F4" s="138"/>
      <c r="G4" s="138"/>
      <c r="H4" s="140"/>
      <c r="I4" s="141"/>
    </row>
    <row r="5" spans="1:9" x14ac:dyDescent="0.15">
      <c r="A5" s="143"/>
      <c r="B5" s="601">
        <f>Calculations!Z9</f>
        <v>1</v>
      </c>
      <c r="C5" s="266"/>
      <c r="D5" s="266"/>
      <c r="E5" s="266"/>
      <c r="F5" s="266"/>
      <c r="G5" s="266"/>
      <c r="H5" s="266"/>
      <c r="I5" s="135"/>
    </row>
    <row r="6" spans="1:9" x14ac:dyDescent="0.15">
      <c r="A6" s="143"/>
      <c r="B6" s="266"/>
      <c r="C6" s="266"/>
      <c r="D6" s="266"/>
      <c r="E6" s="999" t="s">
        <v>260</v>
      </c>
      <c r="F6" s="1000"/>
      <c r="G6" s="1000"/>
      <c r="H6" s="1001"/>
      <c r="I6" s="135"/>
    </row>
    <row r="7" spans="1:9" ht="25.5" customHeight="1" x14ac:dyDescent="0.15">
      <c r="A7" s="144"/>
      <c r="B7" s="145" t="s">
        <v>132</v>
      </c>
      <c r="C7" s="157" t="s">
        <v>61</v>
      </c>
      <c r="D7" s="145" t="s">
        <v>116</v>
      </c>
      <c r="E7" s="157" t="s">
        <v>85</v>
      </c>
      <c r="F7" s="157" t="s">
        <v>86</v>
      </c>
      <c r="G7" s="157" t="s">
        <v>87</v>
      </c>
      <c r="H7" s="157" t="s">
        <v>88</v>
      </c>
      <c r="I7" s="146"/>
    </row>
    <row r="8" spans="1:9" x14ac:dyDescent="0.15">
      <c r="A8" s="147"/>
      <c r="B8" s="148" t="str">
        <f>IF(Calculations!V8,IF(OR(Model!B39="CBA Line of Credit",Model!B39="OFI Line of Credit (Other financial institution)"),Model!G39,Model!F39),"")</f>
        <v/>
      </c>
      <c r="C8" s="746"/>
      <c r="D8" s="371" t="str">
        <f t="shared" ref="D8:D14" si="0">IF(AND(B8&lt;&gt;"",C8&lt;&gt;""),B8*C8,"")</f>
        <v/>
      </c>
      <c r="E8" s="149"/>
      <c r="F8" s="149"/>
      <c r="G8" s="149"/>
      <c r="H8" s="149"/>
      <c r="I8" s="150"/>
    </row>
    <row r="9" spans="1:9" x14ac:dyDescent="0.15">
      <c r="A9" s="147"/>
      <c r="B9" s="148" t="str">
        <f>IF(Calculations!V9,IF(OR(Model!B40="CBA Line of Credit",Model!B40="OFI Line of Credit (Other financial institution)"),Model!G40,Model!F40),"")</f>
        <v/>
      </c>
      <c r="C9" s="746"/>
      <c r="D9" s="371" t="str">
        <f t="shared" si="0"/>
        <v/>
      </c>
      <c r="E9" s="149"/>
      <c r="F9" s="149"/>
      <c r="G9" s="149"/>
      <c r="H9" s="149"/>
      <c r="I9" s="150"/>
    </row>
    <row r="10" spans="1:9" x14ac:dyDescent="0.15">
      <c r="A10" s="147"/>
      <c r="B10" s="148" t="str">
        <f>IF(Calculations!V10,IF(OR(Model!B41="CBA Line of Credit",Model!B41="OFI Line of Credit (Other financial institution)"),Model!G41,Model!F41),"")</f>
        <v/>
      </c>
      <c r="C10" s="746"/>
      <c r="D10" s="371" t="str">
        <f t="shared" si="0"/>
        <v/>
      </c>
      <c r="E10" s="149"/>
      <c r="F10" s="149"/>
      <c r="G10" s="149"/>
      <c r="H10" s="149"/>
      <c r="I10" s="150"/>
    </row>
    <row r="11" spans="1:9" x14ac:dyDescent="0.15">
      <c r="A11" s="147"/>
      <c r="B11" s="148" t="str">
        <f>IF(Calculations!V11,IF(OR(Model!B42="CBA Line of Credit",Model!B42="OFI Line of Credit (Other financial institution)"),Model!G42,Model!F42),"")</f>
        <v/>
      </c>
      <c r="C11" s="746"/>
      <c r="D11" s="371" t="str">
        <f t="shared" si="0"/>
        <v/>
      </c>
      <c r="E11" s="149"/>
      <c r="F11" s="149"/>
      <c r="G11" s="149"/>
      <c r="H11" s="149"/>
      <c r="I11" s="150"/>
    </row>
    <row r="12" spans="1:9" x14ac:dyDescent="0.15">
      <c r="A12" s="147"/>
      <c r="B12" s="148" t="str">
        <f>IF(Calculations!V12,IF(OR(Model!B43="CBA Line of Credit",Model!B43="OFI Line of Credit (Other financial institution)"),Model!G43,Model!F43),"")</f>
        <v/>
      </c>
      <c r="C12" s="746"/>
      <c r="D12" s="371" t="str">
        <f t="shared" si="0"/>
        <v/>
      </c>
      <c r="E12" s="149"/>
      <c r="F12" s="149"/>
      <c r="G12" s="149"/>
      <c r="H12" s="149"/>
      <c r="I12" s="150"/>
    </row>
    <row r="13" spans="1:9" x14ac:dyDescent="0.15">
      <c r="A13" s="147"/>
      <c r="B13" s="148" t="str">
        <f>IF(Calculations!V13,IF(OR(Model!B44="CBA Line of Credit",Model!B44="OFI Line of Credit (Other financial institution)"),Model!G44,Model!F44),"")</f>
        <v/>
      </c>
      <c r="C13" s="746"/>
      <c r="D13" s="371" t="str">
        <f t="shared" si="0"/>
        <v/>
      </c>
      <c r="E13" s="149"/>
      <c r="F13" s="149"/>
      <c r="G13" s="149"/>
      <c r="H13" s="149"/>
      <c r="I13" s="150"/>
    </row>
    <row r="14" spans="1:9" x14ac:dyDescent="0.15">
      <c r="A14" s="147"/>
      <c r="B14" s="148" t="str">
        <f>IF(Calculations!V14,IF(OR(Model!B45="CBA Line of Credit",Model!B45="OFI Line of Credit (Other financial institution)"),Model!G45,Model!F45),"")</f>
        <v/>
      </c>
      <c r="C14" s="746"/>
      <c r="D14" s="371" t="str">
        <f t="shared" si="0"/>
        <v/>
      </c>
      <c r="E14" s="149"/>
      <c r="F14" s="149"/>
      <c r="G14" s="149"/>
      <c r="H14" s="149"/>
      <c r="I14" s="150"/>
    </row>
    <row r="15" spans="1:9" x14ac:dyDescent="0.15">
      <c r="A15" s="151"/>
      <c r="B15" s="133"/>
      <c r="C15" s="134"/>
      <c r="D15" s="133"/>
      <c r="E15" s="134"/>
      <c r="F15" s="134"/>
      <c r="G15" s="134"/>
      <c r="H15" s="134"/>
      <c r="I15" s="135"/>
    </row>
    <row r="16" spans="1:9" s="156" customFormat="1" ht="24" customHeight="1" x14ac:dyDescent="0.15">
      <c r="A16" s="152"/>
      <c r="B16" s="137" t="s">
        <v>133</v>
      </c>
      <c r="C16" s="153"/>
      <c r="D16" s="153"/>
      <c r="E16" s="153"/>
      <c r="F16" s="153"/>
      <c r="G16" s="153"/>
      <c r="H16" s="154"/>
      <c r="I16" s="155"/>
    </row>
    <row r="17" spans="1:9" x14ac:dyDescent="0.15">
      <c r="A17" s="143"/>
      <c r="B17" s="266"/>
      <c r="C17" s="266"/>
      <c r="D17" s="266"/>
      <c r="E17" s="266"/>
      <c r="F17" s="266"/>
      <c r="G17" s="266"/>
      <c r="H17" s="266"/>
      <c r="I17" s="135"/>
    </row>
    <row r="18" spans="1:9" x14ac:dyDescent="0.15">
      <c r="A18" s="143"/>
      <c r="B18" s="266"/>
      <c r="C18" s="266"/>
      <c r="D18" s="266"/>
      <c r="E18" s="999" t="s">
        <v>260</v>
      </c>
      <c r="F18" s="1000"/>
      <c r="G18" s="1000"/>
      <c r="H18" s="1001"/>
      <c r="I18" s="135"/>
    </row>
    <row r="19" spans="1:9" ht="25.5" customHeight="1" x14ac:dyDescent="0.15">
      <c r="A19" s="144"/>
      <c r="B19" s="145" t="s">
        <v>132</v>
      </c>
      <c r="C19" s="157" t="s">
        <v>61</v>
      </c>
      <c r="D19" s="145" t="s">
        <v>116</v>
      </c>
      <c r="E19" s="370" t="s">
        <v>85</v>
      </c>
      <c r="F19" s="157" t="s">
        <v>86</v>
      </c>
      <c r="G19" s="157" t="s">
        <v>87</v>
      </c>
      <c r="H19" s="157" t="s">
        <v>88</v>
      </c>
      <c r="I19" s="135"/>
    </row>
    <row r="20" spans="1:9" x14ac:dyDescent="0.15">
      <c r="A20" s="151"/>
      <c r="B20" s="158" t="str">
        <f>IF(Calculations!V17,Model!G52,"")</f>
        <v/>
      </c>
      <c r="C20" s="602"/>
      <c r="D20" s="371" t="str">
        <f t="shared" ref="D20:D25" si="1">IF(AND(B20&lt;&gt;"",C20&lt;&gt;""),B20*C20,"")</f>
        <v/>
      </c>
      <c r="E20" s="149"/>
      <c r="F20" s="149"/>
      <c r="G20" s="149"/>
      <c r="H20" s="149"/>
      <c r="I20" s="150"/>
    </row>
    <row r="21" spans="1:9" x14ac:dyDescent="0.15">
      <c r="A21" s="151"/>
      <c r="B21" s="158" t="str">
        <f>IF(Calculations!V18,Model!G53,"")</f>
        <v/>
      </c>
      <c r="C21" s="602"/>
      <c r="D21" s="371" t="str">
        <f t="shared" si="1"/>
        <v/>
      </c>
      <c r="E21" s="149"/>
      <c r="F21" s="149"/>
      <c r="G21" s="149"/>
      <c r="H21" s="149"/>
      <c r="I21" s="150"/>
    </row>
    <row r="22" spans="1:9" x14ac:dyDescent="0.15">
      <c r="A22" s="151"/>
      <c r="B22" s="158" t="str">
        <f>IF(Calculations!V19,Model!G54,"")</f>
        <v/>
      </c>
      <c r="C22" s="602"/>
      <c r="D22" s="371" t="str">
        <f t="shared" si="1"/>
        <v/>
      </c>
      <c r="E22" s="149"/>
      <c r="F22" s="149"/>
      <c r="G22" s="149"/>
      <c r="H22" s="149"/>
      <c r="I22" s="150"/>
    </row>
    <row r="23" spans="1:9" x14ac:dyDescent="0.15">
      <c r="A23" s="151"/>
      <c r="B23" s="158" t="str">
        <f>IF(Calculations!V20,Model!G55,"")</f>
        <v/>
      </c>
      <c r="C23" s="602"/>
      <c r="D23" s="371" t="str">
        <f t="shared" si="1"/>
        <v/>
      </c>
      <c r="E23" s="149"/>
      <c r="F23" s="149"/>
      <c r="G23" s="149"/>
      <c r="H23" s="149"/>
      <c r="I23" s="135"/>
    </row>
    <row r="24" spans="1:9" x14ac:dyDescent="0.15">
      <c r="A24" s="151"/>
      <c r="B24" s="158" t="str">
        <f>IF(Calculations!V21,Model!G56,"")</f>
        <v/>
      </c>
      <c r="C24" s="602"/>
      <c r="D24" s="371" t="str">
        <f t="shared" si="1"/>
        <v/>
      </c>
      <c r="E24" s="149"/>
      <c r="F24" s="149"/>
      <c r="G24" s="149"/>
      <c r="H24" s="149"/>
      <c r="I24" s="135"/>
    </row>
    <row r="25" spans="1:9" x14ac:dyDescent="0.15">
      <c r="A25" s="151"/>
      <c r="B25" s="158" t="str">
        <f>IF(Calculations!V22,Model!G57,"")</f>
        <v/>
      </c>
      <c r="C25" s="602"/>
      <c r="D25" s="371" t="str">
        <f t="shared" si="1"/>
        <v/>
      </c>
      <c r="E25" s="149"/>
      <c r="F25" s="149"/>
      <c r="G25" s="149"/>
      <c r="H25" s="149"/>
      <c r="I25" s="135"/>
    </row>
    <row r="26" spans="1:9" x14ac:dyDescent="0.15">
      <c r="A26" s="151"/>
      <c r="B26" s="266"/>
      <c r="C26" s="266"/>
      <c r="D26" s="159"/>
      <c r="E26" s="134"/>
      <c r="F26" s="134"/>
      <c r="G26" s="134"/>
      <c r="H26" s="134"/>
      <c r="I26" s="135"/>
    </row>
    <row r="27" spans="1:9" x14ac:dyDescent="0.15">
      <c r="A27" s="151"/>
      <c r="B27" s="269" t="s">
        <v>254</v>
      </c>
      <c r="C27" s="269"/>
      <c r="D27" s="159"/>
      <c r="E27" s="160" t="s">
        <v>134</v>
      </c>
      <c r="F27" s="160" t="s">
        <v>135</v>
      </c>
      <c r="G27" s="160" t="s">
        <v>136</v>
      </c>
      <c r="H27" s="134"/>
      <c r="I27" s="135"/>
    </row>
    <row r="28" spans="1:9" x14ac:dyDescent="0.15">
      <c r="A28" s="151"/>
      <c r="B28" s="266"/>
      <c r="C28" s="266"/>
      <c r="D28" s="161" t="s">
        <v>255</v>
      </c>
      <c r="E28" s="162">
        <f t="array" ref="E28">SUM(IF(D8:D14&lt;&gt;"",D8:D14*E8:E14))</f>
        <v>0</v>
      </c>
      <c r="F28" s="163">
        <f t="array" ref="F28">SUM(IF(D20:D25&lt;&gt;"",D20:D25*E20:E25))</f>
        <v>0</v>
      </c>
      <c r="G28" s="164">
        <f>SUM(E28:F28)</f>
        <v>0</v>
      </c>
      <c r="H28" s="134"/>
      <c r="I28" s="135"/>
    </row>
    <row r="29" spans="1:9" x14ac:dyDescent="0.15">
      <c r="A29" s="151"/>
      <c r="B29" s="266"/>
      <c r="C29" s="266"/>
      <c r="D29" s="161" t="s">
        <v>256</v>
      </c>
      <c r="E29" s="162">
        <f t="array" ref="E29">SUM(IF(D8:D14&lt;&gt;"",D8:D14*F8:F14))</f>
        <v>0</v>
      </c>
      <c r="F29" s="165">
        <f t="array" ref="F29">SUM(IF(D20:D25&lt;&gt;"",D20:D25*F20:F25))</f>
        <v>0</v>
      </c>
      <c r="G29" s="164">
        <f>SUM(E29:F29)</f>
        <v>0</v>
      </c>
      <c r="H29" s="134"/>
      <c r="I29" s="135"/>
    </row>
    <row r="30" spans="1:9" x14ac:dyDescent="0.15">
      <c r="A30" s="151"/>
      <c r="B30" s="266"/>
      <c r="C30" s="266"/>
      <c r="D30" s="161" t="s">
        <v>257</v>
      </c>
      <c r="E30" s="162">
        <f t="array" ref="E30">SUM(IF(D8:D14&lt;&gt;"",D8:D14*G8:G14))</f>
        <v>0</v>
      </c>
      <c r="F30" s="165">
        <f t="array" ref="F30">SUM(IF(D20:D25&lt;&gt;"",D20:D25*G20:G25))</f>
        <v>0</v>
      </c>
      <c r="G30" s="164">
        <f>SUM(E30:F30)</f>
        <v>0</v>
      </c>
      <c r="H30" s="134"/>
      <c r="I30" s="135"/>
    </row>
    <row r="31" spans="1:9" x14ac:dyDescent="0.15">
      <c r="A31" s="151"/>
      <c r="B31" s="266"/>
      <c r="C31" s="266"/>
      <c r="D31" s="161" t="s">
        <v>258</v>
      </c>
      <c r="E31" s="162">
        <f t="array" ref="E31">SUM(IF(D8:D14&lt;&gt;"",D8:D14*H8:H14))</f>
        <v>0</v>
      </c>
      <c r="F31" s="165">
        <f t="array" ref="F31">SUM(IF(D20:D25&lt;&gt;"",D20:D25*H20:H25))</f>
        <v>0</v>
      </c>
      <c r="G31" s="164">
        <f>SUM(E31:F31)</f>
        <v>0</v>
      </c>
      <c r="H31" s="134"/>
      <c r="I31" s="135"/>
    </row>
    <row r="32" spans="1:9" x14ac:dyDescent="0.15">
      <c r="A32" s="151"/>
      <c r="B32" s="266"/>
      <c r="C32" s="266"/>
      <c r="D32" s="161" t="s">
        <v>259</v>
      </c>
      <c r="E32" s="166">
        <f>SUM(E28:E31)</f>
        <v>0</v>
      </c>
      <c r="F32" s="166">
        <f>SUM(F28:F31)</f>
        <v>0</v>
      </c>
      <c r="G32" s="167">
        <f>SUM(E32:F32)</f>
        <v>0</v>
      </c>
      <c r="H32" s="134"/>
      <c r="I32" s="135"/>
    </row>
    <row r="33" spans="1:9" x14ac:dyDescent="0.15">
      <c r="A33" s="151"/>
      <c r="B33" s="266"/>
      <c r="C33" s="266"/>
      <c r="D33" s="266"/>
      <c r="E33" s="266"/>
      <c r="F33" s="266"/>
      <c r="G33" s="266"/>
      <c r="H33" s="266"/>
      <c r="I33" s="135"/>
    </row>
    <row r="34" spans="1:9" x14ac:dyDescent="0.15">
      <c r="A34" s="151"/>
      <c r="B34" s="722"/>
      <c r="C34" s="722"/>
      <c r="D34" s="722"/>
      <c r="E34" s="722"/>
      <c r="F34" s="722"/>
      <c r="G34" s="722"/>
      <c r="H34" s="722"/>
      <c r="I34" s="135"/>
    </row>
    <row r="35" spans="1:9" x14ac:dyDescent="0.15">
      <c r="A35" s="151"/>
      <c r="B35" s="266"/>
      <c r="C35" s="266"/>
      <c r="D35" s="266"/>
      <c r="E35" s="266"/>
      <c r="F35" s="266"/>
      <c r="G35" s="266"/>
      <c r="H35" s="345" t="s">
        <v>106</v>
      </c>
      <c r="I35" s="135"/>
    </row>
    <row r="36" spans="1:9" x14ac:dyDescent="0.15">
      <c r="A36" s="168"/>
      <c r="B36" s="169"/>
      <c r="C36" s="170"/>
      <c r="D36" s="169"/>
      <c r="E36" s="170"/>
      <c r="F36" s="170"/>
      <c r="G36" s="170"/>
      <c r="H36" s="170"/>
      <c r="I36" s="171"/>
    </row>
  </sheetData>
  <sheetProtection algorithmName="SHA-512" hashValue="F3GsAtPz0mkLOl00CjuENChG+YNwXZ2DIu2hbEnC44YnTRpPzyswQsNuhc1AkmmtiNzvIs/88asds2+9Lir07A==" saltValue="YLuC0AEhvfeycHZkyeb+kQ==" spinCount="100000" sheet="1" objects="1" scenarios="1"/>
  <customSheetViews>
    <customSheetView guid="{878686E5-D823-11D7-9EB6-0000F6FFAA54}" showGridLines="0" showRowCol="0" fitToPage="1" hiddenColumns="1" showRuler="0">
      <pageMargins left="0.19685039370078741" right="0.19685039370078741" top="0.19685039370078741" bottom="0.19685039370078741" header="0.51181102362204722" footer="0.23622047244094491"/>
      <printOptions horizontalCentered="1"/>
      <pageSetup paperSize="9" scale="97" orientation="portrait" r:id="rId1"/>
      <headerFooter alignWithMargins="0">
        <oddFooter>&amp;LPrinted: &amp;D &amp;T&amp;RLast modified: 03/03/2004</oddFooter>
      </headerFooter>
    </customSheetView>
    <customSheetView guid="{47743E36-E3F1-4AC8-AB28-1C3AD83F86F4}" showGridLines="0" showRowCol="0" fitToPage="1" hiddenColumns="1" showRuler="0">
      <pageMargins left="0.19685039370078741" right="0.19685039370078741" top="0.19685039370078741" bottom="0.19685039370078741" header="0.51181102362204722" footer="0.23622047244094491"/>
      <printOptions horizontalCentered="1"/>
      <pageSetup paperSize="9" orientation="portrait" r:id="rId2"/>
      <headerFooter alignWithMargins="0">
        <oddFooter>&amp;LPrinted: &amp;D &amp;T&amp;RLast modified: 21/11/2005</oddFooter>
      </headerFooter>
    </customSheetView>
  </customSheetViews>
  <mergeCells count="3">
    <mergeCell ref="E6:H6"/>
    <mergeCell ref="E18:H18"/>
    <mergeCell ref="B3:H3"/>
  </mergeCells>
  <phoneticPr fontId="27" type="noConversion"/>
  <conditionalFormatting sqref="C20:C25">
    <cfRule type="expression" dxfId="76" priority="17" stopIfTrue="1">
      <formula>AND(B20&lt;&gt;"",C20="")</formula>
    </cfRule>
  </conditionalFormatting>
  <conditionalFormatting sqref="E8:H14">
    <cfRule type="expression" dxfId="75" priority="3" stopIfTrue="1">
      <formula>AND($D8&lt;&gt;"",COUNTBLANK($E8:$H8)=4)</formula>
    </cfRule>
  </conditionalFormatting>
  <conditionalFormatting sqref="E20:H25">
    <cfRule type="expression" dxfId="74" priority="2" stopIfTrue="1">
      <formula>AND($D20&lt;&gt;"",COUNTBLANK($E20:$H20)=4)</formula>
    </cfRule>
  </conditionalFormatting>
  <conditionalFormatting sqref="C8:C14">
    <cfRule type="expression" dxfId="73" priority="1">
      <formula>AND(B8&lt;&gt;"",C8="")</formula>
    </cfRule>
  </conditionalFormatting>
  <dataValidations xWindow="403" yWindow="298" count="10">
    <dataValidation type="custom" allowBlank="1" showInputMessage="1" showErrorMessage="1" error="Total Tax benefit % of all four applicants must not be greater than 100%." prompt="Enter the tax benefit % applicable for applicant 1 on this existing loan" sqref="E8:E14" xr:uid="{00000000-0002-0000-0400-000000000000}">
      <formula1>SUM($E8:$H8)&lt;=100%</formula1>
    </dataValidation>
    <dataValidation type="custom" allowBlank="1" showInputMessage="1" showErrorMessage="1" error="Total Tax benefit % of all four applicants must not be greater than 100%." prompt="Enter the tax benefit % applicable for applicant 2 on this existing loan" sqref="F8:F14" xr:uid="{00000000-0002-0000-0400-000001000000}">
      <formula1>SUM($E8:$H8)&lt;=100%</formula1>
    </dataValidation>
    <dataValidation type="custom" allowBlank="1" showInputMessage="1" showErrorMessage="1" error="Total Tax benefit % of all four applicants must not be greater than 100%." prompt="Enter the tax benefit % applicable for applicant 1 on this proposed  loan" sqref="E20:E25" xr:uid="{00000000-0002-0000-0400-000002000000}">
      <formula1>SUM($E20:$H20)&lt;=100%</formula1>
    </dataValidation>
    <dataValidation type="custom" allowBlank="1" showInputMessage="1" showErrorMessage="1" error="Total Tax benefit % of all four applicants must not be greater than 100%." prompt="Enter the tax benefit % applicable for applicant 2 on this proposed  loan" sqref="F20:F25" xr:uid="{00000000-0002-0000-0400-000003000000}">
      <formula1>SUM($E20:$H20)&lt;=100%</formula1>
    </dataValidation>
    <dataValidation type="custom" allowBlank="1" showInputMessage="1" showErrorMessage="1" error="Total Tax benefit % of all four applicants must not be greater than 100%." prompt="Enter the tax benefit % applicable for applicant 3 on this proposed  loan" sqref="G20:G25" xr:uid="{00000000-0002-0000-0400-000004000000}">
      <formula1>SUM($E20:$H20)&lt;=100%</formula1>
    </dataValidation>
    <dataValidation type="custom" allowBlank="1" showInputMessage="1" showErrorMessage="1" error="Total Tax benefit % of all four applicants must not be greater than 100%." prompt="Enter the tax benefit % applicable for applicant 4 on this proposed  loan" sqref="H20:H25" xr:uid="{00000000-0002-0000-0400-000005000000}">
      <formula1>SUM($E20:$H20)&lt;=100%</formula1>
    </dataValidation>
    <dataValidation type="custom" allowBlank="1" showInputMessage="1" showErrorMessage="1" error="Total Tax benefit % of all four applicants must not be greater than 100%." prompt="Enter the tax benefit % applicable for applicant 3 on this existing loan" sqref="G8:G14" xr:uid="{00000000-0002-0000-0400-000006000000}">
      <formula1>SUM($E8:$H8)&lt;=100%</formula1>
    </dataValidation>
    <dataValidation type="custom" allowBlank="1" showInputMessage="1" showErrorMessage="1" error="Total Tax benefit % of all four applicants must not be greater than 100%." prompt="Enter the tax benefit % applicable for applicant 4 on this existing loan" sqref="H8:H14" xr:uid="{00000000-0002-0000-0400-000007000000}">
      <formula1>SUM($E8:$H8)&lt;=100%</formula1>
    </dataValidation>
    <dataValidation type="decimal" operator="greaterThanOrEqual" allowBlank="1" showInputMessage="1" showErrorMessage="1" error="You must enter a positive number." prompt="Enter the interest rate (post discount) for this proposed loan." sqref="C20:C25" xr:uid="{00000000-0002-0000-0400-000008000000}">
      <formula1>0</formula1>
    </dataValidation>
    <dataValidation type="decimal" operator="greaterThanOrEqual" allowBlank="1" showInputMessage="1" showErrorMessage="1" error="You must enter a positive number." prompt="Enter the actual interest rate" sqref="C8:C14" xr:uid="{00000000-0002-0000-0400-000009000000}">
      <formula1>0</formula1>
    </dataValidation>
  </dataValidations>
  <printOptions horizontalCentered="1"/>
  <pageMargins left="0.19685039370078741" right="0.19685039370078741" top="0.19685039370078741" bottom="0.19685039370078741" header="0.51181102362204722" footer="0.23622047244094491"/>
  <pageSetup paperSize="9" orientation="portrait" r:id="rId3"/>
  <headerFooter alignWithMargins="0">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5130" r:id="rId6">
          <objectPr defaultSize="0" autoPict="0" r:id="rId7">
            <anchor moveWithCells="1">
              <from>
                <xdr:col>6</xdr:col>
                <xdr:colOff>127000</xdr:colOff>
                <xdr:row>1</xdr:row>
                <xdr:rowOff>12700</xdr:rowOff>
              </from>
              <to>
                <xdr:col>7</xdr:col>
                <xdr:colOff>939800</xdr:colOff>
                <xdr:row>2</xdr:row>
                <xdr:rowOff>25400</xdr:rowOff>
              </to>
            </anchor>
          </objectPr>
        </oleObject>
      </mc:Choice>
      <mc:Fallback>
        <oleObject progId="MSPhotoEd.3" shapeId="5130" r:id="rId6"/>
      </mc:Fallback>
    </mc:AlternateContent>
  </oleObjects>
  <mc:AlternateContent xmlns:mc="http://schemas.openxmlformats.org/markup-compatibility/2006">
    <mc:Choice Requires="x14">
      <controls>
        <mc:AlternateContent xmlns:mc="http://schemas.openxmlformats.org/markup-compatibility/2006">
          <mc:Choice Requires="x14">
            <control shapeId="5121" r:id="rId8" name="Button 1">
              <controlPr defaultSize="0" print="0" autoFill="0" autoPict="0" macro="[0]!cmdClearNeg">
                <anchor moveWithCells="1" sizeWithCells="1">
                  <from>
                    <xdr:col>5</xdr:col>
                    <xdr:colOff>660400</xdr:colOff>
                    <xdr:row>2</xdr:row>
                    <xdr:rowOff>101600</xdr:rowOff>
                  </from>
                  <to>
                    <xdr:col>6</xdr:col>
                    <xdr:colOff>520700</xdr:colOff>
                    <xdr:row>2</xdr:row>
                    <xdr:rowOff>406400</xdr:rowOff>
                  </to>
                </anchor>
              </controlPr>
            </control>
          </mc:Choice>
        </mc:AlternateContent>
        <mc:AlternateContent xmlns:mc="http://schemas.openxmlformats.org/markup-compatibility/2006">
          <mc:Choice Requires="x14">
            <control shapeId="5122" r:id="rId9" name="Button 2">
              <controlPr defaultSize="0" print="0" autoFill="0" autoPict="0" macro="[0]!cmdCalculator">
                <anchor moveWithCells="1" sizeWithCells="1">
                  <from>
                    <xdr:col>6</xdr:col>
                    <xdr:colOff>584200</xdr:colOff>
                    <xdr:row>2</xdr:row>
                    <xdr:rowOff>88900</xdr:rowOff>
                  </from>
                  <to>
                    <xdr:col>8</xdr:col>
                    <xdr:colOff>0</xdr:colOff>
                    <xdr:row>2</xdr:row>
                    <xdr:rowOff>406400</xdr:rowOff>
                  </to>
                </anchor>
              </controlPr>
            </control>
          </mc:Choice>
        </mc:AlternateContent>
        <mc:AlternateContent xmlns:mc="http://schemas.openxmlformats.org/markup-compatibility/2006">
          <mc:Choice Requires="x14">
            <control shapeId="5123" r:id="rId10" name="Button 3">
              <controlPr defaultSize="0" print="0" autoFill="0" autoPict="0" macro="[0]!cmdClearNeg">
                <anchor moveWithCells="1" sizeWithCells="1">
                  <from>
                    <xdr:col>7</xdr:col>
                    <xdr:colOff>50800</xdr:colOff>
                    <xdr:row>27</xdr:row>
                    <xdr:rowOff>0</xdr:rowOff>
                  </from>
                  <to>
                    <xdr:col>8</xdr:col>
                    <xdr:colOff>0</xdr:colOff>
                    <xdr:row>28</xdr:row>
                    <xdr:rowOff>152400</xdr:rowOff>
                  </to>
                </anchor>
              </controlPr>
            </control>
          </mc:Choice>
        </mc:AlternateContent>
        <mc:AlternateContent xmlns:mc="http://schemas.openxmlformats.org/markup-compatibility/2006">
          <mc:Choice Requires="x14">
            <control shapeId="5124" r:id="rId11" name="Button 4">
              <controlPr defaultSize="0" print="0" autoFill="0" autoPict="0" macro="[0]!cmdCalculator">
                <anchor moveWithCells="1" sizeWithCells="1">
                  <from>
                    <xdr:col>7</xdr:col>
                    <xdr:colOff>63500</xdr:colOff>
                    <xdr:row>29</xdr:row>
                    <xdr:rowOff>50800</xdr:rowOff>
                  </from>
                  <to>
                    <xdr:col>8</xdr:col>
                    <xdr:colOff>0</xdr:colOff>
                    <xdr:row>31</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pageSetUpPr fitToPage="1"/>
  </sheetPr>
  <dimension ref="A1:N59"/>
  <sheetViews>
    <sheetView showGridLines="0" showRowColHeaders="0" zoomScaleNormal="100" workbookViewId="0"/>
  </sheetViews>
  <sheetFormatPr baseColWidth="10" defaultColWidth="8.83203125" defaultRowHeight="13" x14ac:dyDescent="0.15"/>
  <cols>
    <col min="1" max="1" width="1.6640625" customWidth="1"/>
    <col min="2" max="2" width="4.6640625" customWidth="1"/>
    <col min="3" max="3" width="23.1640625" customWidth="1"/>
    <col min="4" max="4" width="18.1640625" customWidth="1"/>
    <col min="5" max="5" width="14.1640625" customWidth="1"/>
    <col min="6" max="6" width="13.83203125" bestFit="1" customWidth="1"/>
    <col min="7" max="7" width="14.6640625" customWidth="1"/>
    <col min="8" max="9" width="13.6640625" customWidth="1"/>
    <col min="10" max="11" width="16.1640625" customWidth="1"/>
    <col min="12" max="12" width="1.6640625" customWidth="1"/>
    <col min="14" max="14" width="9.1640625" hidden="1" customWidth="1"/>
  </cols>
  <sheetData>
    <row r="1" spans="1:14" ht="14" thickBot="1" x14ac:dyDescent="0.2">
      <c r="A1" s="255"/>
      <c r="B1" s="256"/>
      <c r="C1" s="256"/>
      <c r="D1" s="256"/>
      <c r="E1" s="256"/>
      <c r="F1" s="256"/>
      <c r="G1" s="256"/>
      <c r="H1" s="256"/>
      <c r="I1" s="256"/>
      <c r="J1" s="256"/>
      <c r="K1" s="256"/>
      <c r="L1" s="257"/>
    </row>
    <row r="2" spans="1:14" ht="24" customHeight="1" thickBot="1" x14ac:dyDescent="0.2">
      <c r="A2" s="265"/>
      <c r="B2" s="693" t="s">
        <v>419</v>
      </c>
      <c r="C2" s="694"/>
      <c r="D2" s="695"/>
      <c r="E2" s="695"/>
      <c r="F2" s="695"/>
      <c r="G2" s="695"/>
      <c r="H2" s="696"/>
      <c r="I2" s="266"/>
      <c r="J2" s="266"/>
      <c r="K2" s="266"/>
      <c r="L2" s="267"/>
    </row>
    <row r="3" spans="1:14" ht="25.5" customHeight="1" x14ac:dyDescent="0.15">
      <c r="A3" s="265"/>
      <c r="B3" s="266"/>
      <c r="C3" s="266"/>
      <c r="D3" s="266"/>
      <c r="E3" s="266"/>
      <c r="F3" s="266"/>
      <c r="G3" s="266"/>
      <c r="H3" s="266"/>
      <c r="I3" s="266"/>
      <c r="J3" s="266"/>
      <c r="K3" s="266"/>
      <c r="L3" s="267"/>
    </row>
    <row r="4" spans="1:14" ht="24" customHeight="1" x14ac:dyDescent="0.15">
      <c r="A4" s="265"/>
      <c r="B4" s="689" t="s">
        <v>398</v>
      </c>
      <c r="C4" s="690"/>
      <c r="D4" s="691"/>
      <c r="E4" s="691"/>
      <c r="F4" s="691"/>
      <c r="G4" s="691"/>
      <c r="H4" s="691"/>
      <c r="I4" s="691"/>
      <c r="J4" s="691"/>
      <c r="K4" s="692"/>
      <c r="L4" s="267"/>
    </row>
    <row r="5" spans="1:14" x14ac:dyDescent="0.15">
      <c r="A5" s="265"/>
      <c r="B5" s="266"/>
      <c r="C5" s="266"/>
      <c r="D5" s="266"/>
      <c r="E5" s="266"/>
      <c r="F5" s="266"/>
      <c r="G5" s="266"/>
      <c r="H5" s="266"/>
      <c r="I5" s="266"/>
      <c r="J5" s="266"/>
      <c r="K5" s="266"/>
      <c r="L5" s="267"/>
    </row>
    <row r="6" spans="1:14" ht="42" x14ac:dyDescent="0.15">
      <c r="A6" s="265"/>
      <c r="B6" s="653"/>
      <c r="C6" s="654" t="s">
        <v>399</v>
      </c>
      <c r="D6" s="654" t="s">
        <v>400</v>
      </c>
      <c r="E6" s="654" t="s">
        <v>401</v>
      </c>
      <c r="F6" s="654" t="s">
        <v>402</v>
      </c>
      <c r="G6" s="654" t="s">
        <v>403</v>
      </c>
      <c r="H6" s="654" t="s">
        <v>404</v>
      </c>
      <c r="I6" s="655" t="s">
        <v>405</v>
      </c>
      <c r="J6" s="655" t="s">
        <v>406</v>
      </c>
      <c r="K6" s="655" t="s">
        <v>407</v>
      </c>
      <c r="L6" s="267"/>
    </row>
    <row r="7" spans="1:14" x14ac:dyDescent="0.15">
      <c r="A7" s="265"/>
      <c r="B7" s="656">
        <v>1</v>
      </c>
      <c r="C7" s="657"/>
      <c r="D7" s="657"/>
      <c r="E7" s="658"/>
      <c r="F7" s="659"/>
      <c r="G7" s="660"/>
      <c r="H7" s="657"/>
      <c r="I7" s="731" t="str">
        <f>IF(AND(NOT(Calculations!J44),Calculations!K44),(G7*52)/F7,"")</f>
        <v/>
      </c>
      <c r="J7" s="661" t="str">
        <f>IF(AND(NOT(Calculations!J44),Calculations!K44),MIN((G7*52)/12,(F7*0.06)/12),"")</f>
        <v/>
      </c>
      <c r="K7" s="661" t="str">
        <f>IF(AND(NOT(Calculations!J44),Calculations!K44),J7*12,"")</f>
        <v/>
      </c>
      <c r="L7" s="267"/>
      <c r="N7" t="b">
        <f>Calculations!J44</f>
        <v>1</v>
      </c>
    </row>
    <row r="8" spans="1:14" x14ac:dyDescent="0.15">
      <c r="A8" s="265"/>
      <c r="B8" s="656">
        <v>2</v>
      </c>
      <c r="C8" s="657"/>
      <c r="D8" s="657"/>
      <c r="E8" s="658"/>
      <c r="F8" s="659"/>
      <c r="G8" s="660"/>
      <c r="H8" s="657"/>
      <c r="I8" s="731" t="str">
        <f>IF(AND(NOT(Calculations!J45),Calculations!K45),(G8*52)/F8,"")</f>
        <v/>
      </c>
      <c r="J8" s="661" t="str">
        <f>IF(AND(NOT(Calculations!J45),Calculations!K45),MIN((G8*52)/12,(F8*0.06)/12),"")</f>
        <v/>
      </c>
      <c r="K8" s="661" t="str">
        <f>IF(AND(NOT(Calculations!J45),Calculations!K45),J8*12,"")</f>
        <v/>
      </c>
      <c r="L8" s="267"/>
      <c r="N8" t="b">
        <f>Calculations!J45</f>
        <v>1</v>
      </c>
    </row>
    <row r="9" spans="1:14" x14ac:dyDescent="0.15">
      <c r="A9" s="265"/>
      <c r="B9" s="656">
        <v>3</v>
      </c>
      <c r="C9" s="657"/>
      <c r="D9" s="657"/>
      <c r="E9" s="658"/>
      <c r="F9" s="659"/>
      <c r="G9" s="660"/>
      <c r="H9" s="657"/>
      <c r="I9" s="731" t="str">
        <f>IF(AND(NOT(Calculations!J46),Calculations!K46),(G9*52)/F9,"")</f>
        <v/>
      </c>
      <c r="J9" s="661" t="str">
        <f>IF(AND(NOT(Calculations!J46),Calculations!K46),MIN((G9*52)/12,(F9*0.06)/12),"")</f>
        <v/>
      </c>
      <c r="K9" s="661" t="str">
        <f>IF(AND(NOT(Calculations!J46),Calculations!K46),J9*12,"")</f>
        <v/>
      </c>
      <c r="L9" s="267"/>
      <c r="N9" t="b">
        <f>Calculations!J46</f>
        <v>1</v>
      </c>
    </row>
    <row r="10" spans="1:14" x14ac:dyDescent="0.15">
      <c r="A10" s="265"/>
      <c r="B10" s="383">
        <v>4</v>
      </c>
      <c r="C10" s="657"/>
      <c r="D10" s="657"/>
      <c r="E10" s="658"/>
      <c r="F10" s="659"/>
      <c r="G10" s="660"/>
      <c r="H10" s="657"/>
      <c r="I10" s="731" t="str">
        <f>IF(AND(NOT(Calculations!J47),Calculations!K47),(G10*52)/F10,"")</f>
        <v/>
      </c>
      <c r="J10" s="661" t="str">
        <f>IF(AND(NOT(Calculations!J47),Calculations!K47),MIN((G10*52)/12,(F10*0.06)/12),"")</f>
        <v/>
      </c>
      <c r="K10" s="661" t="str">
        <f>IF(AND(NOT(Calculations!J47),Calculations!K47),J10*12,"")</f>
        <v/>
      </c>
      <c r="L10" s="267"/>
      <c r="N10" t="b">
        <f>Calculations!J47</f>
        <v>1</v>
      </c>
    </row>
    <row r="11" spans="1:14" x14ac:dyDescent="0.15">
      <c r="A11" s="265"/>
      <c r="B11" s="383">
        <v>5</v>
      </c>
      <c r="C11" s="658"/>
      <c r="D11" s="658"/>
      <c r="E11" s="658"/>
      <c r="F11" s="659"/>
      <c r="G11" s="660"/>
      <c r="H11" s="657"/>
      <c r="I11" s="731" t="str">
        <f>IF(AND(NOT(Calculations!J48),Calculations!K48),(G11*52)/F11,"")</f>
        <v/>
      </c>
      <c r="J11" s="661" t="str">
        <f>IF(AND(NOT(Calculations!J48),Calculations!K48),MIN((G11*52)/12,(F11*0.06)/12),"")</f>
        <v/>
      </c>
      <c r="K11" s="661" t="str">
        <f>IF(AND(NOT(Calculations!J48),Calculations!K48),J11*12,"")</f>
        <v/>
      </c>
      <c r="L11" s="267"/>
      <c r="N11" t="b">
        <f>Calculations!J48</f>
        <v>1</v>
      </c>
    </row>
    <row r="12" spans="1:14" x14ac:dyDescent="0.15">
      <c r="A12" s="265"/>
      <c r="B12" s="383">
        <v>6</v>
      </c>
      <c r="C12" s="658"/>
      <c r="D12" s="658"/>
      <c r="E12" s="658"/>
      <c r="F12" s="659"/>
      <c r="G12" s="660"/>
      <c r="H12" s="657"/>
      <c r="I12" s="731" t="str">
        <f>IF(AND(NOT(Calculations!J49),Calculations!K49),(G12*52)/F12,"")</f>
        <v/>
      </c>
      <c r="J12" s="661" t="str">
        <f>IF(AND(NOT(Calculations!J49),Calculations!K49),MIN((G12*52)/12,(F12*0.06)/12),"")</f>
        <v/>
      </c>
      <c r="K12" s="661" t="str">
        <f>IF(AND(NOT(Calculations!J49),Calculations!K49),J12*12,"")</f>
        <v/>
      </c>
      <c r="L12" s="267"/>
      <c r="N12" t="b">
        <f>Calculations!J49</f>
        <v>1</v>
      </c>
    </row>
    <row r="13" spans="1:14" x14ac:dyDescent="0.15">
      <c r="A13" s="265"/>
      <c r="B13" s="383">
        <v>7</v>
      </c>
      <c r="C13" s="658"/>
      <c r="D13" s="657"/>
      <c r="E13" s="658"/>
      <c r="F13" s="659"/>
      <c r="G13" s="660"/>
      <c r="H13" s="657"/>
      <c r="I13" s="731" t="str">
        <f>IF(AND(NOT(Calculations!J50),Calculations!K50),(G13*52)/F13,"")</f>
        <v/>
      </c>
      <c r="J13" s="661" t="str">
        <f>IF(AND(NOT(Calculations!J50),Calculations!K50),MIN((G13*52)/12,(F13*0.06)/12),"")</f>
        <v/>
      </c>
      <c r="K13" s="661" t="str">
        <f>IF(AND(NOT(Calculations!J50),Calculations!K50),J13*12,"")</f>
        <v/>
      </c>
      <c r="L13" s="267"/>
      <c r="N13" t="b">
        <f>Calculations!J50</f>
        <v>1</v>
      </c>
    </row>
    <row r="14" spans="1:14" x14ac:dyDescent="0.15">
      <c r="A14" s="265"/>
      <c r="B14" s="383">
        <v>8</v>
      </c>
      <c r="C14" s="658"/>
      <c r="D14" s="658"/>
      <c r="E14" s="658"/>
      <c r="F14" s="659"/>
      <c r="G14" s="660"/>
      <c r="H14" s="657"/>
      <c r="I14" s="731" t="str">
        <f>IF(AND(NOT(Calculations!J51),Calculations!K51),(G14*52)/F14,"")</f>
        <v/>
      </c>
      <c r="J14" s="661" t="str">
        <f>IF(AND(NOT(Calculations!J51),Calculations!K51),MIN((G14*52)/12,(F14*0.06)/12),"")</f>
        <v/>
      </c>
      <c r="K14" s="661" t="str">
        <f>IF(AND(NOT(Calculations!J51),Calculations!K51),J14*12,"")</f>
        <v/>
      </c>
      <c r="L14" s="267"/>
      <c r="N14" t="b">
        <f>Calculations!J51</f>
        <v>1</v>
      </c>
    </row>
    <row r="15" spans="1:14" x14ac:dyDescent="0.15">
      <c r="A15" s="265"/>
      <c r="B15" s="383">
        <v>9</v>
      </c>
      <c r="C15" s="658"/>
      <c r="D15" s="658"/>
      <c r="E15" s="658"/>
      <c r="F15" s="659"/>
      <c r="G15" s="660"/>
      <c r="H15" s="657"/>
      <c r="I15" s="731" t="str">
        <f>IF(AND(NOT(Calculations!J52),Calculations!K52),(G15*52)/F15,"")</f>
        <v/>
      </c>
      <c r="J15" s="661" t="str">
        <f>IF(AND(NOT(Calculations!J52),Calculations!K52),MIN((G15*52)/12,(F15*0.06)/12),"")</f>
        <v/>
      </c>
      <c r="K15" s="661" t="str">
        <f>IF(AND(NOT(Calculations!J52),Calculations!K52),J15*12,"")</f>
        <v/>
      </c>
      <c r="L15" s="267"/>
      <c r="N15" t="b">
        <f>Calculations!J52</f>
        <v>1</v>
      </c>
    </row>
    <row r="16" spans="1:14" x14ac:dyDescent="0.15">
      <c r="A16" s="265"/>
      <c r="B16" s="383">
        <v>10</v>
      </c>
      <c r="C16" s="658"/>
      <c r="D16" s="658"/>
      <c r="E16" s="658"/>
      <c r="F16" s="659"/>
      <c r="G16" s="660"/>
      <c r="H16" s="657"/>
      <c r="I16" s="731" t="str">
        <f>IF(AND(NOT(Calculations!J53),Calculations!K53),(G16*52)/F16,"")</f>
        <v/>
      </c>
      <c r="J16" s="661" t="str">
        <f>IF(AND(NOT(Calculations!J53),Calculations!K53),MIN((G16*52)/12,(F16*0.06)/12),"")</f>
        <v/>
      </c>
      <c r="K16" s="661" t="str">
        <f>IF(AND(NOT(Calculations!J53),Calculations!K53),J16*12,"")</f>
        <v/>
      </c>
      <c r="L16" s="267"/>
      <c r="N16" t="b">
        <f>Calculations!J53</f>
        <v>1</v>
      </c>
    </row>
    <row r="17" spans="1:14" x14ac:dyDescent="0.15">
      <c r="A17" s="265"/>
      <c r="B17" s="383">
        <v>11</v>
      </c>
      <c r="C17" s="658"/>
      <c r="D17" s="658"/>
      <c r="E17" s="658"/>
      <c r="F17" s="659"/>
      <c r="G17" s="660"/>
      <c r="H17" s="657"/>
      <c r="I17" s="732" t="str">
        <f>IF(AND(NOT(Calculations!J54),Calculations!K54),(G17*52)/F17,"")</f>
        <v/>
      </c>
      <c r="J17" s="661" t="str">
        <f>IF(AND(NOT(Calculations!J54),Calculations!K54),MIN((G17*52)/12,(F17*0.06)/12),"")</f>
        <v/>
      </c>
      <c r="K17" s="661" t="str">
        <f>IF(AND(NOT(Calculations!J54),Calculations!K54),J17*12,"")</f>
        <v/>
      </c>
      <c r="L17" s="267"/>
      <c r="N17" t="b">
        <f>Calculations!J54</f>
        <v>1</v>
      </c>
    </row>
    <row r="18" spans="1:14" x14ac:dyDescent="0.15">
      <c r="A18" s="265"/>
      <c r="B18" s="383">
        <v>12</v>
      </c>
      <c r="C18" s="658"/>
      <c r="D18" s="658"/>
      <c r="E18" s="658"/>
      <c r="F18" s="659"/>
      <c r="G18" s="660"/>
      <c r="H18" s="657"/>
      <c r="I18" s="732" t="str">
        <f>IF(AND(NOT(Calculations!J55),Calculations!K55),(G18*52)/F18,"")</f>
        <v/>
      </c>
      <c r="J18" s="661" t="str">
        <f>IF(AND(NOT(Calculations!J55),Calculations!K55),MIN((G18*52)/12,(F18*0.06)/12),"")</f>
        <v/>
      </c>
      <c r="K18" s="661" t="str">
        <f>IF(AND(NOT(Calculations!J55),Calculations!K55),J18*12,"")</f>
        <v/>
      </c>
      <c r="L18" s="267"/>
      <c r="N18" t="b">
        <f>Calculations!J55</f>
        <v>1</v>
      </c>
    </row>
    <row r="19" spans="1:14" x14ac:dyDescent="0.15">
      <c r="A19" s="265"/>
      <c r="B19" s="383">
        <v>13</v>
      </c>
      <c r="C19" s="658"/>
      <c r="D19" s="658"/>
      <c r="E19" s="658"/>
      <c r="F19" s="659"/>
      <c r="G19" s="660"/>
      <c r="H19" s="657"/>
      <c r="I19" s="732" t="str">
        <f>IF(AND(NOT(Calculations!J56),Calculations!K56),(G19*52)/F19,"")</f>
        <v/>
      </c>
      <c r="J19" s="661" t="str">
        <f>IF(AND(NOT(Calculations!J56),Calculations!K56),MIN((G19*52)/12,(F19*0.06)/12),"")</f>
        <v/>
      </c>
      <c r="K19" s="661" t="str">
        <f>IF(AND(NOT(Calculations!J56),Calculations!K56),J19*12,"")</f>
        <v/>
      </c>
      <c r="L19" s="267"/>
      <c r="N19" t="b">
        <f>Calculations!J56</f>
        <v>1</v>
      </c>
    </row>
    <row r="20" spans="1:14" x14ac:dyDescent="0.15">
      <c r="A20" s="265"/>
      <c r="B20" s="383">
        <v>14</v>
      </c>
      <c r="C20" s="658"/>
      <c r="D20" s="658"/>
      <c r="E20" s="658"/>
      <c r="F20" s="659"/>
      <c r="G20" s="660"/>
      <c r="H20" s="657"/>
      <c r="I20" s="732" t="str">
        <f>IF(AND(NOT(Calculations!J57),Calculations!K57),(G20*52)/F20,"")</f>
        <v/>
      </c>
      <c r="J20" s="661" t="str">
        <f>IF(AND(NOT(Calculations!J57),Calculations!K57),MIN((G20*52)/12,(F20*0.06)/12),"")</f>
        <v/>
      </c>
      <c r="K20" s="661" t="str">
        <f>IF(AND(NOT(Calculations!J57),Calculations!K57),J20*12,"")</f>
        <v/>
      </c>
      <c r="L20" s="267"/>
      <c r="N20" t="b">
        <f>Calculations!J57</f>
        <v>1</v>
      </c>
    </row>
    <row r="21" spans="1:14" x14ac:dyDescent="0.15">
      <c r="A21" s="265"/>
      <c r="B21" s="383">
        <v>15</v>
      </c>
      <c r="C21" s="658"/>
      <c r="D21" s="658"/>
      <c r="E21" s="658"/>
      <c r="F21" s="659"/>
      <c r="G21" s="660"/>
      <c r="H21" s="657"/>
      <c r="I21" s="732" t="str">
        <f>IF(AND(NOT(Calculations!J58),Calculations!K58),(G21*52)/F21,"")</f>
        <v/>
      </c>
      <c r="J21" s="661" t="str">
        <f>IF(AND(NOT(Calculations!J58),Calculations!K58),MIN((G21*52)/12,(F21*0.06)/12),"")</f>
        <v/>
      </c>
      <c r="K21" s="661" t="str">
        <f>IF(AND(NOT(Calculations!J58),Calculations!K58),J21*12,"")</f>
        <v/>
      </c>
      <c r="L21" s="267"/>
      <c r="N21" t="b">
        <f>Calculations!J58</f>
        <v>1</v>
      </c>
    </row>
    <row r="22" spans="1:14" x14ac:dyDescent="0.15">
      <c r="A22" s="265"/>
      <c r="B22" s="383">
        <v>16</v>
      </c>
      <c r="C22" s="658"/>
      <c r="D22" s="658"/>
      <c r="E22" s="658"/>
      <c r="F22" s="659"/>
      <c r="G22" s="660"/>
      <c r="H22" s="657"/>
      <c r="I22" s="732" t="str">
        <f>IF(AND(NOT(Calculations!J59),Calculations!K59),(G22*52)/F22,"")</f>
        <v/>
      </c>
      <c r="J22" s="661" t="str">
        <f>IF(AND(NOT(Calculations!J59),Calculations!K59),MIN((G22*52)/12,(F22*0.06)/12),"")</f>
        <v/>
      </c>
      <c r="K22" s="661" t="str">
        <f>IF(AND(NOT(Calculations!J59),Calculations!K59),J22*12,"")</f>
        <v/>
      </c>
      <c r="L22" s="267"/>
      <c r="N22" t="b">
        <f>Calculations!J59</f>
        <v>1</v>
      </c>
    </row>
    <row r="23" spans="1:14" x14ac:dyDescent="0.15">
      <c r="A23" s="265"/>
      <c r="B23" s="383">
        <v>17</v>
      </c>
      <c r="C23" s="658"/>
      <c r="D23" s="658"/>
      <c r="E23" s="658"/>
      <c r="F23" s="659"/>
      <c r="G23" s="660"/>
      <c r="H23" s="657"/>
      <c r="I23" s="732" t="str">
        <f>IF(AND(NOT(Calculations!J60),Calculations!K60),(G23*52)/F23,"")</f>
        <v/>
      </c>
      <c r="J23" s="661" t="str">
        <f>IF(AND(NOT(Calculations!J60),Calculations!K60),MIN((G23*52)/12,(F23*0.06)/12),"")</f>
        <v/>
      </c>
      <c r="K23" s="661" t="str">
        <f>IF(AND(NOT(Calculations!J60),Calculations!K60),J23*12,"")</f>
        <v/>
      </c>
      <c r="L23" s="267"/>
      <c r="N23" t="b">
        <f>Calculations!J60</f>
        <v>1</v>
      </c>
    </row>
    <row r="24" spans="1:14" x14ac:dyDescent="0.15">
      <c r="A24" s="265"/>
      <c r="B24" s="383">
        <v>18</v>
      </c>
      <c r="C24" s="658"/>
      <c r="D24" s="658"/>
      <c r="E24" s="658"/>
      <c r="F24" s="659"/>
      <c r="G24" s="660"/>
      <c r="H24" s="657"/>
      <c r="I24" s="732" t="str">
        <f>IF(AND(NOT(Calculations!J61),Calculations!K61),(G24*52)/F24,"")</f>
        <v/>
      </c>
      <c r="J24" s="661" t="str">
        <f>IF(AND(NOT(Calculations!J61),Calculations!K61),MIN((G24*52)/12,(F24*0.06)/12),"")</f>
        <v/>
      </c>
      <c r="K24" s="661" t="str">
        <f>IF(AND(NOT(Calculations!J61),Calculations!K61),J24*12,"")</f>
        <v/>
      </c>
      <c r="L24" s="267"/>
      <c r="N24" t="b">
        <f>Calculations!J61</f>
        <v>1</v>
      </c>
    </row>
    <row r="25" spans="1:14" x14ac:dyDescent="0.15">
      <c r="A25" s="265"/>
      <c r="B25" s="383">
        <v>19</v>
      </c>
      <c r="C25" s="658"/>
      <c r="D25" s="658"/>
      <c r="E25" s="658"/>
      <c r="F25" s="659"/>
      <c r="G25" s="660"/>
      <c r="H25" s="657"/>
      <c r="I25" s="732" t="str">
        <f>IF(AND(NOT(Calculations!J62),Calculations!K62),(G25*52)/F25,"")</f>
        <v/>
      </c>
      <c r="J25" s="661" t="str">
        <f>IF(AND(NOT(Calculations!J62),Calculations!K62),MIN((G25*52)/12,(F25*0.06)/12),"")</f>
        <v/>
      </c>
      <c r="K25" s="661" t="str">
        <f>IF(AND(NOT(Calculations!J62),Calculations!K62),J25*12,"")</f>
        <v/>
      </c>
      <c r="L25" s="267"/>
      <c r="N25" t="b">
        <f>Calculations!J62</f>
        <v>1</v>
      </c>
    </row>
    <row r="26" spans="1:14" x14ac:dyDescent="0.15">
      <c r="A26" s="265"/>
      <c r="B26" s="383">
        <v>20</v>
      </c>
      <c r="C26" s="658"/>
      <c r="D26" s="658"/>
      <c r="E26" s="658"/>
      <c r="F26" s="659"/>
      <c r="G26" s="660"/>
      <c r="H26" s="657"/>
      <c r="I26" s="732" t="str">
        <f>IF(AND(NOT(Calculations!J63),Calculations!K63),(G26*52)/F26,"")</f>
        <v/>
      </c>
      <c r="J26" s="661" t="str">
        <f>IF(AND(NOT(Calculations!J63),Calculations!K63),MIN((G26*52)/12,(F26*0.06)/12),"")</f>
        <v/>
      </c>
      <c r="K26" s="661" t="str">
        <f>IF(AND(NOT(Calculations!J63),Calculations!K63),J26*12,"")</f>
        <v/>
      </c>
      <c r="L26" s="267"/>
      <c r="N26" t="b">
        <f>Calculations!J63</f>
        <v>1</v>
      </c>
    </row>
    <row r="27" spans="1:14" ht="25.5" customHeight="1" x14ac:dyDescent="0.15">
      <c r="A27" s="265"/>
      <c r="B27" s="266"/>
      <c r="C27" s="266"/>
      <c r="D27" s="266"/>
      <c r="E27" s="266"/>
      <c r="F27" s="266"/>
      <c r="G27" s="266"/>
      <c r="H27" s="266"/>
      <c r="I27" s="266"/>
      <c r="J27" s="266"/>
      <c r="K27" s="266"/>
      <c r="L27" s="267"/>
    </row>
    <row r="28" spans="1:14" x14ac:dyDescent="0.15">
      <c r="A28" s="265"/>
      <c r="B28" s="266"/>
      <c r="C28" s="266"/>
      <c r="D28" s="266"/>
      <c r="E28" s="266"/>
      <c r="F28" s="1003" t="s">
        <v>408</v>
      </c>
      <c r="G28" s="1004"/>
      <c r="H28" s="1004"/>
      <c r="I28" s="1005"/>
      <c r="J28" s="687"/>
      <c r="K28" s="688"/>
      <c r="L28" s="267"/>
    </row>
    <row r="29" spans="1:14" ht="28" x14ac:dyDescent="0.15">
      <c r="A29" s="265"/>
      <c r="B29" s="266"/>
      <c r="C29" s="655" t="s">
        <v>407</v>
      </c>
      <c r="D29" s="662" t="s">
        <v>428</v>
      </c>
      <c r="E29" s="663" t="s">
        <v>89</v>
      </c>
      <c r="F29" s="664" t="s">
        <v>85</v>
      </c>
      <c r="G29" s="664" t="s">
        <v>86</v>
      </c>
      <c r="H29" s="664" t="s">
        <v>87</v>
      </c>
      <c r="I29" s="665" t="s">
        <v>88</v>
      </c>
      <c r="J29" s="683"/>
      <c r="K29" s="684"/>
      <c r="L29" s="267"/>
    </row>
    <row r="30" spans="1:14" x14ac:dyDescent="0.15">
      <c r="A30" s="265"/>
      <c r="B30" s="383">
        <v>1</v>
      </c>
      <c r="C30" s="666" t="str">
        <f>IF(AND(NOT(Calculations!J44),Calculations!K44),K7,"")</f>
        <v/>
      </c>
      <c r="D30" s="667"/>
      <c r="E30" s="668" t="str">
        <f>IF(AND(NOT(Calculations!J44),Calculations!K44),C30*D30,"")</f>
        <v/>
      </c>
      <c r="F30" s="669"/>
      <c r="G30" s="669"/>
      <c r="H30" s="669"/>
      <c r="I30" s="669"/>
      <c r="J30" s="685"/>
      <c r="K30" s="686"/>
      <c r="L30" s="267"/>
      <c r="N30" s="670">
        <f>SUM(F30:K30)</f>
        <v>0</v>
      </c>
    </row>
    <row r="31" spans="1:14" x14ac:dyDescent="0.15">
      <c r="A31" s="265"/>
      <c r="B31" s="383">
        <v>2</v>
      </c>
      <c r="C31" s="666" t="str">
        <f>IF(AND(NOT(Calculations!J45),Calculations!K45),K8,"")</f>
        <v/>
      </c>
      <c r="D31" s="667"/>
      <c r="E31" s="668" t="str">
        <f>IF(AND(NOT(Calculations!J45),Calculations!K45),C31*D31,"")</f>
        <v/>
      </c>
      <c r="F31" s="669"/>
      <c r="G31" s="669"/>
      <c r="H31" s="669"/>
      <c r="I31" s="669"/>
      <c r="J31" s="685"/>
      <c r="K31" s="686"/>
      <c r="L31" s="267"/>
      <c r="N31" s="670">
        <f t="shared" ref="N31:N49" si="0">SUM(F31:K31)</f>
        <v>0</v>
      </c>
    </row>
    <row r="32" spans="1:14" x14ac:dyDescent="0.15">
      <c r="A32" s="265"/>
      <c r="B32" s="383">
        <v>3</v>
      </c>
      <c r="C32" s="666" t="str">
        <f>IF(AND(NOT(Calculations!J46),Calculations!K46),K9,"")</f>
        <v/>
      </c>
      <c r="D32" s="671"/>
      <c r="E32" s="668" t="str">
        <f>IF(AND(NOT(Calculations!J46),Calculations!K46),C32*D32,"")</f>
        <v/>
      </c>
      <c r="F32" s="669"/>
      <c r="G32" s="669"/>
      <c r="H32" s="669"/>
      <c r="I32" s="669"/>
      <c r="J32" s="685"/>
      <c r="K32" s="686"/>
      <c r="L32" s="267"/>
      <c r="N32" s="670">
        <f t="shared" si="0"/>
        <v>0</v>
      </c>
    </row>
    <row r="33" spans="1:14" x14ac:dyDescent="0.15">
      <c r="A33" s="265"/>
      <c r="B33" s="383">
        <v>4</v>
      </c>
      <c r="C33" s="666" t="str">
        <f>IF(AND(NOT(Calculations!J47),Calculations!K47),K10,"")</f>
        <v/>
      </c>
      <c r="D33" s="671"/>
      <c r="E33" s="668" t="str">
        <f>IF(AND(NOT(Calculations!J47),Calculations!K47),C33*D33,"")</f>
        <v/>
      </c>
      <c r="F33" s="669"/>
      <c r="G33" s="669"/>
      <c r="H33" s="669"/>
      <c r="I33" s="669"/>
      <c r="J33" s="685"/>
      <c r="K33" s="686"/>
      <c r="L33" s="267"/>
      <c r="N33" s="670">
        <f t="shared" si="0"/>
        <v>0</v>
      </c>
    </row>
    <row r="34" spans="1:14" x14ac:dyDescent="0.15">
      <c r="A34" s="265"/>
      <c r="B34" s="383">
        <v>5</v>
      </c>
      <c r="C34" s="666" t="str">
        <f>IF(AND(NOT(Calculations!J48),Calculations!K48),K11,"")</f>
        <v/>
      </c>
      <c r="D34" s="735"/>
      <c r="E34" s="668" t="str">
        <f>IF(AND(NOT(Calculations!J48),Calculations!K48),C34*D34,"")</f>
        <v/>
      </c>
      <c r="F34" s="669"/>
      <c r="G34" s="669"/>
      <c r="H34" s="669"/>
      <c r="I34" s="669"/>
      <c r="J34" s="685"/>
      <c r="K34" s="686"/>
      <c r="L34" s="267"/>
      <c r="N34" s="670">
        <f t="shared" si="0"/>
        <v>0</v>
      </c>
    </row>
    <row r="35" spans="1:14" x14ac:dyDescent="0.15">
      <c r="A35" s="265"/>
      <c r="B35" s="383">
        <v>6</v>
      </c>
      <c r="C35" s="666" t="str">
        <f>IF(AND(NOT(Calculations!J49),Calculations!K49),K12,"")</f>
        <v/>
      </c>
      <c r="D35" s="735"/>
      <c r="E35" s="668" t="str">
        <f>IF(AND(NOT(Calculations!J49),Calculations!K49),C35*D35,"")</f>
        <v/>
      </c>
      <c r="F35" s="672"/>
      <c r="G35" s="669"/>
      <c r="H35" s="669"/>
      <c r="I35" s="669"/>
      <c r="J35" s="685"/>
      <c r="K35" s="686"/>
      <c r="L35" s="267"/>
      <c r="N35" s="670">
        <f t="shared" si="0"/>
        <v>0</v>
      </c>
    </row>
    <row r="36" spans="1:14" x14ac:dyDescent="0.15">
      <c r="A36" s="265"/>
      <c r="B36" s="383">
        <v>7</v>
      </c>
      <c r="C36" s="666" t="str">
        <f>IF(AND(NOT(Calculations!J50),Calculations!K50),K13,"")</f>
        <v/>
      </c>
      <c r="D36" s="735"/>
      <c r="E36" s="668" t="str">
        <f>IF(AND(NOT(Calculations!J50),Calculations!K50),C36*D36,"")</f>
        <v/>
      </c>
      <c r="F36" s="669"/>
      <c r="G36" s="669"/>
      <c r="H36" s="669"/>
      <c r="I36" s="669"/>
      <c r="J36" s="685"/>
      <c r="K36" s="686"/>
      <c r="L36" s="267"/>
      <c r="N36" s="670">
        <f t="shared" si="0"/>
        <v>0</v>
      </c>
    </row>
    <row r="37" spans="1:14" x14ac:dyDescent="0.15">
      <c r="A37" s="265"/>
      <c r="B37" s="383">
        <v>8</v>
      </c>
      <c r="C37" s="666" t="str">
        <f>IF(AND(NOT(Calculations!J51),Calculations!K51),K14,"")</f>
        <v/>
      </c>
      <c r="D37" s="735"/>
      <c r="E37" s="668" t="str">
        <f>IF(AND(NOT(Calculations!J51),Calculations!K51),C37*D37,"")</f>
        <v/>
      </c>
      <c r="F37" s="669"/>
      <c r="G37" s="669"/>
      <c r="H37" s="669"/>
      <c r="I37" s="669"/>
      <c r="J37" s="685"/>
      <c r="K37" s="686"/>
      <c r="L37" s="267"/>
      <c r="N37" s="670">
        <f t="shared" si="0"/>
        <v>0</v>
      </c>
    </row>
    <row r="38" spans="1:14" x14ac:dyDescent="0.15">
      <c r="A38" s="265"/>
      <c r="B38" s="383">
        <v>9</v>
      </c>
      <c r="C38" s="666" t="str">
        <f>IF(AND(NOT(Calculations!J52),Calculations!K52),K15,"")</f>
        <v/>
      </c>
      <c r="D38" s="735"/>
      <c r="E38" s="668" t="str">
        <f>IF(AND(NOT(Calculations!J52),Calculations!K52),C38*D38,"")</f>
        <v/>
      </c>
      <c r="F38" s="669"/>
      <c r="G38" s="669"/>
      <c r="H38" s="669"/>
      <c r="I38" s="669"/>
      <c r="J38" s="685"/>
      <c r="K38" s="686"/>
      <c r="L38" s="267"/>
      <c r="N38" s="670">
        <f t="shared" si="0"/>
        <v>0</v>
      </c>
    </row>
    <row r="39" spans="1:14" x14ac:dyDescent="0.15">
      <c r="A39" s="265"/>
      <c r="B39" s="383">
        <v>10</v>
      </c>
      <c r="C39" s="666" t="str">
        <f>IF(AND(NOT(Calculations!J53),Calculations!K53),K16,"")</f>
        <v/>
      </c>
      <c r="D39" s="735"/>
      <c r="E39" s="668" t="str">
        <f>IF(AND(NOT(Calculations!J53),Calculations!K53),C39*D39,"")</f>
        <v/>
      </c>
      <c r="F39" s="669"/>
      <c r="G39" s="669"/>
      <c r="H39" s="669"/>
      <c r="I39" s="669"/>
      <c r="J39" s="685"/>
      <c r="K39" s="686"/>
      <c r="L39" s="267"/>
      <c r="N39" s="670">
        <f t="shared" si="0"/>
        <v>0</v>
      </c>
    </row>
    <row r="40" spans="1:14" x14ac:dyDescent="0.15">
      <c r="A40" s="265"/>
      <c r="B40" s="383">
        <v>11</v>
      </c>
      <c r="C40" s="734" t="str">
        <f>IF(AND(NOT(Calculations!J54),Calculations!K54),K17,"")</f>
        <v/>
      </c>
      <c r="D40" s="735"/>
      <c r="E40" s="733" t="str">
        <f>IF(AND(NOT(Calculations!J54),Calculations!K54),C40*D40,"")</f>
        <v/>
      </c>
      <c r="F40" s="669"/>
      <c r="G40" s="669"/>
      <c r="H40" s="669"/>
      <c r="I40" s="669"/>
      <c r="J40" s="686"/>
      <c r="K40" s="686"/>
      <c r="L40" s="267"/>
      <c r="N40" s="670">
        <f t="shared" si="0"/>
        <v>0</v>
      </c>
    </row>
    <row r="41" spans="1:14" x14ac:dyDescent="0.15">
      <c r="A41" s="265"/>
      <c r="B41" s="383">
        <v>12</v>
      </c>
      <c r="C41" s="734" t="str">
        <f>IF(AND(NOT(Calculations!J55),Calculations!K55),K18,"")</f>
        <v/>
      </c>
      <c r="D41" s="735"/>
      <c r="E41" s="733" t="str">
        <f>IF(AND(NOT(Calculations!J55),Calculations!K55),C41*D41,"")</f>
        <v/>
      </c>
      <c r="F41" s="669"/>
      <c r="G41" s="669"/>
      <c r="H41" s="669"/>
      <c r="I41" s="669"/>
      <c r="J41" s="686"/>
      <c r="K41" s="686"/>
      <c r="L41" s="267"/>
      <c r="N41" s="670">
        <f t="shared" si="0"/>
        <v>0</v>
      </c>
    </row>
    <row r="42" spans="1:14" x14ac:dyDescent="0.15">
      <c r="A42" s="265"/>
      <c r="B42" s="383">
        <v>13</v>
      </c>
      <c r="C42" s="734" t="str">
        <f>IF(AND(NOT(Calculations!J56),Calculations!K56),K19,"")</f>
        <v/>
      </c>
      <c r="D42" s="735"/>
      <c r="E42" s="733" t="str">
        <f>IF(AND(NOT(Calculations!J56),Calculations!K56),C42*D42,"")</f>
        <v/>
      </c>
      <c r="F42" s="669"/>
      <c r="G42" s="669"/>
      <c r="H42" s="669"/>
      <c r="I42" s="669"/>
      <c r="J42" s="686"/>
      <c r="K42" s="686"/>
      <c r="L42" s="267"/>
      <c r="N42" s="670">
        <f t="shared" si="0"/>
        <v>0</v>
      </c>
    </row>
    <row r="43" spans="1:14" x14ac:dyDescent="0.15">
      <c r="A43" s="265"/>
      <c r="B43" s="383">
        <v>14</v>
      </c>
      <c r="C43" s="734" t="str">
        <f>IF(AND(NOT(Calculations!J57),Calculations!K57),K20,"")</f>
        <v/>
      </c>
      <c r="D43" s="735"/>
      <c r="E43" s="733" t="str">
        <f>IF(AND(NOT(Calculations!J57),Calculations!K57),C43*D43,"")</f>
        <v/>
      </c>
      <c r="F43" s="669"/>
      <c r="G43" s="669"/>
      <c r="H43" s="669"/>
      <c r="I43" s="669"/>
      <c r="J43" s="686"/>
      <c r="K43" s="686"/>
      <c r="L43" s="267"/>
      <c r="N43" s="670">
        <f t="shared" si="0"/>
        <v>0</v>
      </c>
    </row>
    <row r="44" spans="1:14" x14ac:dyDescent="0.15">
      <c r="A44" s="265"/>
      <c r="B44" s="383">
        <v>15</v>
      </c>
      <c r="C44" s="734" t="str">
        <f>IF(AND(NOT(Calculations!J58),Calculations!K58),K21,"")</f>
        <v/>
      </c>
      <c r="D44" s="735"/>
      <c r="E44" s="733" t="str">
        <f>IF(AND(NOT(Calculations!J58),Calculations!K58),C44*D44,"")</f>
        <v/>
      </c>
      <c r="F44" s="669"/>
      <c r="G44" s="669"/>
      <c r="H44" s="669"/>
      <c r="I44" s="669"/>
      <c r="J44" s="686"/>
      <c r="K44" s="686"/>
      <c r="L44" s="267"/>
      <c r="N44" s="670">
        <f t="shared" si="0"/>
        <v>0</v>
      </c>
    </row>
    <row r="45" spans="1:14" x14ac:dyDescent="0.15">
      <c r="A45" s="265"/>
      <c r="B45" s="383">
        <v>16</v>
      </c>
      <c r="C45" s="734" t="str">
        <f>IF(AND(NOT(Calculations!J59),Calculations!K59),K22,"")</f>
        <v/>
      </c>
      <c r="D45" s="735"/>
      <c r="E45" s="733" t="str">
        <f>IF(AND(NOT(Calculations!J59),Calculations!K59),C45*D45,"")</f>
        <v/>
      </c>
      <c r="F45" s="669"/>
      <c r="G45" s="669"/>
      <c r="H45" s="669"/>
      <c r="I45" s="669"/>
      <c r="J45" s="686"/>
      <c r="K45" s="686"/>
      <c r="L45" s="267"/>
      <c r="N45" s="670">
        <f t="shared" si="0"/>
        <v>0</v>
      </c>
    </row>
    <row r="46" spans="1:14" x14ac:dyDescent="0.15">
      <c r="A46" s="265"/>
      <c r="B46" s="383">
        <v>17</v>
      </c>
      <c r="C46" s="734" t="str">
        <f>IF(AND(NOT(Calculations!J60),Calculations!K60),K23,"")</f>
        <v/>
      </c>
      <c r="D46" s="735"/>
      <c r="E46" s="733" t="str">
        <f>IF(AND(NOT(Calculations!J60),Calculations!K60),C46*D46,"")</f>
        <v/>
      </c>
      <c r="F46" s="669"/>
      <c r="G46" s="669"/>
      <c r="H46" s="669"/>
      <c r="I46" s="669"/>
      <c r="J46" s="686"/>
      <c r="K46" s="686"/>
      <c r="L46" s="267"/>
      <c r="N46" s="670">
        <f t="shared" si="0"/>
        <v>0</v>
      </c>
    </row>
    <row r="47" spans="1:14" x14ac:dyDescent="0.15">
      <c r="A47" s="265"/>
      <c r="B47" s="383">
        <v>18</v>
      </c>
      <c r="C47" s="734" t="str">
        <f>IF(AND(NOT(Calculations!J61),Calculations!K61),K24,"")</f>
        <v/>
      </c>
      <c r="D47" s="735"/>
      <c r="E47" s="733" t="str">
        <f>IF(AND(NOT(Calculations!J61),Calculations!K61),C47*D47,"")</f>
        <v/>
      </c>
      <c r="F47" s="669"/>
      <c r="G47" s="669"/>
      <c r="H47" s="669"/>
      <c r="I47" s="669"/>
      <c r="J47" s="686"/>
      <c r="K47" s="686"/>
      <c r="L47" s="267"/>
      <c r="N47" s="670">
        <f t="shared" si="0"/>
        <v>0</v>
      </c>
    </row>
    <row r="48" spans="1:14" x14ac:dyDescent="0.15">
      <c r="A48" s="265"/>
      <c r="B48" s="383">
        <v>19</v>
      </c>
      <c r="C48" s="734" t="str">
        <f>IF(AND(NOT(Calculations!J62),Calculations!K62),K25,"")</f>
        <v/>
      </c>
      <c r="D48" s="735"/>
      <c r="E48" s="733" t="str">
        <f>IF(AND(NOT(Calculations!J62),Calculations!K62),C48*D48,"")</f>
        <v/>
      </c>
      <c r="F48" s="669"/>
      <c r="G48" s="669"/>
      <c r="H48" s="669"/>
      <c r="I48" s="669"/>
      <c r="J48" s="686"/>
      <c r="K48" s="686"/>
      <c r="L48" s="267"/>
      <c r="N48" s="670">
        <f t="shared" si="0"/>
        <v>0</v>
      </c>
    </row>
    <row r="49" spans="1:14" x14ac:dyDescent="0.15">
      <c r="A49" s="265"/>
      <c r="B49" s="383">
        <v>20</v>
      </c>
      <c r="C49" s="734" t="str">
        <f>IF(AND(NOT(Calculations!J63),Calculations!K63),K26,"")</f>
        <v/>
      </c>
      <c r="D49" s="735"/>
      <c r="E49" s="733" t="str">
        <f>IF(AND(NOT(Calculations!J63),Calculations!K63),C49*D49,"")</f>
        <v/>
      </c>
      <c r="F49" s="669"/>
      <c r="G49" s="669"/>
      <c r="H49" s="669"/>
      <c r="I49" s="669"/>
      <c r="J49" s="686"/>
      <c r="K49" s="686"/>
      <c r="L49" s="267"/>
      <c r="N49" s="670">
        <f t="shared" si="0"/>
        <v>0</v>
      </c>
    </row>
    <row r="50" spans="1:14" ht="25.5" customHeight="1" x14ac:dyDescent="0.15">
      <c r="A50" s="265"/>
      <c r="B50" s="266"/>
      <c r="C50" s="266"/>
      <c r="D50" s="673"/>
      <c r="E50" s="266"/>
      <c r="F50" s="266"/>
      <c r="G50" s="266"/>
      <c r="H50" s="266"/>
      <c r="I50" s="266"/>
      <c r="J50" s="266"/>
      <c r="K50" s="266"/>
      <c r="L50" s="267"/>
    </row>
    <row r="51" spans="1:14" ht="24" customHeight="1" x14ac:dyDescent="0.15">
      <c r="A51" s="265"/>
      <c r="B51" s="689" t="s">
        <v>409</v>
      </c>
      <c r="C51" s="690"/>
      <c r="D51" s="691"/>
      <c r="E51" s="691"/>
      <c r="F51" s="691"/>
      <c r="G51" s="691"/>
      <c r="H51" s="691"/>
      <c r="I51" s="691"/>
      <c r="J51" s="691"/>
      <c r="K51" s="692"/>
      <c r="L51" s="267"/>
    </row>
    <row r="52" spans="1:14" x14ac:dyDescent="0.15">
      <c r="A52" s="265"/>
      <c r="B52" s="266"/>
      <c r="C52" s="266"/>
      <c r="D52" s="673"/>
      <c r="E52" s="266"/>
      <c r="F52" s="266"/>
      <c r="G52" s="266"/>
      <c r="H52" s="266"/>
      <c r="I52" s="266"/>
      <c r="J52" s="266"/>
      <c r="K52" s="266"/>
      <c r="L52" s="267"/>
    </row>
    <row r="53" spans="1:14" ht="25.5" customHeight="1" x14ac:dyDescent="0.15">
      <c r="A53" s="265"/>
      <c r="B53" s="266"/>
      <c r="C53" s="266"/>
      <c r="D53" s="266"/>
      <c r="E53" s="266"/>
      <c r="F53" s="674" t="s">
        <v>85</v>
      </c>
      <c r="G53" s="674" t="s">
        <v>86</v>
      </c>
      <c r="H53" s="674" t="s">
        <v>87</v>
      </c>
      <c r="I53" s="674" t="s">
        <v>88</v>
      </c>
      <c r="J53" s="680"/>
      <c r="K53" s="653"/>
      <c r="L53" s="267"/>
    </row>
    <row r="54" spans="1:14" x14ac:dyDescent="0.15">
      <c r="A54" s="265"/>
      <c r="B54" s="266"/>
      <c r="C54" s="266"/>
      <c r="D54" s="266"/>
      <c r="E54" s="521" t="s">
        <v>410</v>
      </c>
      <c r="F54" s="661">
        <f t="array" ref="F54">SUM(IF($H$7:$H$26="Existing",($E$30:$E$49)*(F30:F49),0))</f>
        <v>0</v>
      </c>
      <c r="G54" s="661">
        <f t="array" ref="G54">SUM(IF($H$7:$H$26="Existing",($E$30:$E$49)*(G30:G49),0))</f>
        <v>0</v>
      </c>
      <c r="H54" s="661">
        <f t="array" ref="H54">SUM(IF($H$7:$H$26="Existing",($E$30:$E$49)*(H30:H49),0))</f>
        <v>0</v>
      </c>
      <c r="I54" s="661">
        <f t="array" ref="I54">SUM(IF($H$7:$H$26="Existing",($E$30:$E$49)*(I30:I49),0))</f>
        <v>0</v>
      </c>
      <c r="J54" s="681"/>
      <c r="K54" s="682"/>
      <c r="L54" s="267"/>
    </row>
    <row r="55" spans="1:14" x14ac:dyDescent="0.15">
      <c r="A55" s="265"/>
      <c r="B55" s="266"/>
      <c r="C55" s="266"/>
      <c r="D55" s="266"/>
      <c r="E55" s="521" t="s">
        <v>411</v>
      </c>
      <c r="F55" s="661">
        <f t="array" ref="F55">SUM(IF($H$7:$H$26="Proposed",($E$30:$E$49)*(F30:F49),0))</f>
        <v>0</v>
      </c>
      <c r="G55" s="661">
        <f t="array" ref="G55">SUM(IF($H$7:$H$26="Proposed",($E$30:$E$49)*(G30:G49),0))</f>
        <v>0</v>
      </c>
      <c r="H55" s="661">
        <f t="array" ref="H55">SUM(IF($H$7:$H$26="Proposed",($E$30:$E$49)*(H30:H49),0))</f>
        <v>0</v>
      </c>
      <c r="I55" s="661">
        <f t="array" ref="I55">SUM(IF($H$7:$H$26="Proposed",($E$30:$E$49)*(I30:I49),0))</f>
        <v>0</v>
      </c>
      <c r="J55" s="681"/>
      <c r="K55" s="682"/>
      <c r="L55" s="267"/>
    </row>
    <row r="56" spans="1:14" x14ac:dyDescent="0.15">
      <c r="A56" s="265"/>
      <c r="B56" s="266"/>
      <c r="C56" s="266"/>
      <c r="D56" s="266"/>
      <c r="E56" s="266"/>
      <c r="F56" s="266"/>
      <c r="G56" s="266"/>
      <c r="H56" s="675"/>
      <c r="I56" s="675"/>
      <c r="J56" s="676"/>
      <c r="K56" s="266"/>
      <c r="L56" s="267"/>
    </row>
    <row r="57" spans="1:14" x14ac:dyDescent="0.15">
      <c r="A57" s="265"/>
      <c r="B57" s="266"/>
      <c r="C57" s="266"/>
      <c r="D57" s="266"/>
      <c r="E57" s="266"/>
      <c r="F57" s="266"/>
      <c r="G57" s="266"/>
      <c r="H57" s="675"/>
      <c r="I57" s="266"/>
      <c r="J57" s="266"/>
      <c r="K57" s="266"/>
      <c r="L57" s="267"/>
    </row>
    <row r="58" spans="1:14" x14ac:dyDescent="0.15">
      <c r="A58" s="677"/>
      <c r="B58" s="678"/>
      <c r="C58" s="678"/>
      <c r="D58" s="678"/>
      <c r="E58" s="678"/>
      <c r="F58" s="678"/>
      <c r="G58" s="678"/>
      <c r="H58" s="679"/>
      <c r="I58" s="678"/>
      <c r="J58" s="678"/>
      <c r="K58" s="679" t="s">
        <v>129</v>
      </c>
      <c r="L58" s="267"/>
    </row>
    <row r="59" spans="1:14" x14ac:dyDescent="0.15">
      <c r="A59" s="274"/>
      <c r="B59" s="275"/>
      <c r="C59" s="275"/>
      <c r="D59" s="275"/>
      <c r="E59" s="275"/>
      <c r="F59" s="275"/>
      <c r="G59" s="275"/>
      <c r="H59" s="275"/>
      <c r="I59" s="275"/>
      <c r="J59" s="275"/>
      <c r="K59" s="275"/>
      <c r="L59" s="276"/>
    </row>
  </sheetData>
  <sheetProtection algorithmName="SHA-512" hashValue="0FdSWedycMGp9z+SZdcyirC0S3y09iJ6tDNxgfi2iHV2aQ4okF764twJ7cr8Qfmc78OGSgw85OHhifgvJsOr6g==" saltValue="d2ADLGYTnnefDjcXYpPl5w==" spinCount="100000" sheet="1" objects="1" scenarios="1"/>
  <mergeCells count="1">
    <mergeCell ref="F28:I28"/>
  </mergeCells>
  <conditionalFormatting sqref="K7:K26">
    <cfRule type="expression" dxfId="72" priority="4" stopIfTrue="1">
      <formula>$K7=($F7*0.08)</formula>
    </cfRule>
  </conditionalFormatting>
  <conditionalFormatting sqref="D30:D49">
    <cfRule type="expression" dxfId="71" priority="3">
      <formula>AND(D30="",C30&lt;&gt;"")</formula>
    </cfRule>
  </conditionalFormatting>
  <conditionalFormatting sqref="F30:I49">
    <cfRule type="expression" dxfId="70" priority="2">
      <formula>AND($E30&lt;&gt;"",$E30&gt;0,SUM($F30:$K30)=0)</formula>
    </cfRule>
  </conditionalFormatting>
  <conditionalFormatting sqref="F7:H26">
    <cfRule type="expression" dxfId="69" priority="1">
      <formula>AND($N7=FALSE,F7="")</formula>
    </cfRule>
  </conditionalFormatting>
  <dataValidations count="8">
    <dataValidation type="decimal" allowBlank="1" showInputMessage="1" showErrorMessage="1" promptTitle="Share of Rental Income" prompt="Enter this applicant's share of rental income as a percentage between 0 and 100." sqref="F30:I49" xr:uid="{00000000-0002-0000-0500-000000000000}">
      <formula1>0</formula1>
      <formula2>100</formula2>
    </dataValidation>
    <dataValidation type="list" allowBlank="1" showInputMessage="1" showErrorMessage="1" promptTitle="Eligible Percentage" prompt="% of income eligible to be used for servicing. Please refer to the postcode tool for any specific geographic policies that may apply." sqref="D30:D49" xr:uid="{00000000-0002-0000-0500-000001000000}">
      <formula1>"0%,10%,20%,30%,40%,50%,60%,70%,80%"</formula1>
    </dataValidation>
    <dataValidation allowBlank="1" showInputMessage="1" showErrorMessage="1" promptTitle="Declared Weekly Rental Income" prompt="Enter the weekly rental income from this property" sqref="G7:G26" xr:uid="{00000000-0002-0000-0500-000002000000}"/>
    <dataValidation type="whole" operator="greaterThan" allowBlank="1" showInputMessage="1" showErrorMessage="1" error="OEV must be a whole number greater than $0." promptTitle="OEV" prompt="Enter the owners estimated value of the property" sqref="F7:F26" xr:uid="{00000000-0002-0000-0500-000003000000}">
      <formula1>0</formula1>
    </dataValidation>
    <dataValidation allowBlank="1" showInputMessage="1" showErrorMessage="1" promptTitle="Suburb" prompt="Enter the suburb of the property" sqref="D7:D26" xr:uid="{00000000-0002-0000-0500-000004000000}"/>
    <dataValidation allowBlank="1" showInputMessage="1" showErrorMessage="1" promptTitle="Address" prompt="Enter the address of the property" sqref="C7:C26" xr:uid="{00000000-0002-0000-0500-000005000000}"/>
    <dataValidation type="whole" operator="lessThanOrEqual" allowBlank="1" showInputMessage="1" showErrorMessage="1" promptTitle="Postcode" prompt="Enter the postcode of the property" sqref="E7:E26" xr:uid="{00000000-0002-0000-0500-000006000000}">
      <formula1>9999</formula1>
    </dataValidation>
    <dataValidation type="list" allowBlank="1" showInputMessage="1" showErrorMessage="1" promptTitle="Existing or Proposed" prompt="Select whether this property is either an existing or proposed" sqref="H7:H26" xr:uid="{00000000-0002-0000-0500-000007000000}">
      <formula1>"Existing,Proposed"</formula1>
    </dataValidation>
  </dataValidations>
  <pageMargins left="0.19685039370078741" right="0.19685039370078741" top="0.19685039370078741" bottom="0.19685039370078741" header="0.31496062992125984" footer="0.31496062992125984"/>
  <pageSetup scale="68" orientation="portrait" r:id="rId1"/>
  <headerFooter>
    <oddFooter>&amp;L&amp;"Calibri"&amp;11&amp;K000000&amp;"Calibri"&amp;11&amp;K000000&amp;"Calibri"&amp;11&amp;K000000&amp;"Calibri"&amp;11&amp;K000000&amp;"Calibri"&amp;11&amp;K000000&amp;"Calibri"&amp;11&amp;K000000&amp;"Calibri"&amp;11&amp;K000000&amp;"Calibri"&amp;11&amp;K000000Printed: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0481" r:id="rId4">
          <objectPr defaultSize="0" autoPict="0" r:id="rId5">
            <anchor moveWithCells="1">
              <from>
                <xdr:col>9</xdr:col>
                <xdr:colOff>139700</xdr:colOff>
                <xdr:row>1</xdr:row>
                <xdr:rowOff>12700</xdr:rowOff>
              </from>
              <to>
                <xdr:col>10</xdr:col>
                <xdr:colOff>1066800</xdr:colOff>
                <xdr:row>2</xdr:row>
                <xdr:rowOff>76200</xdr:rowOff>
              </to>
            </anchor>
          </objectPr>
        </oleObject>
      </mc:Choice>
      <mc:Fallback>
        <oleObject progId="MSPhotoEd.3" shapeId="20481" r:id="rId4"/>
      </mc:Fallback>
    </mc:AlternateContent>
  </oleObjects>
  <mc:AlternateContent xmlns:mc="http://schemas.openxmlformats.org/markup-compatibility/2006">
    <mc:Choice Requires="x14">
      <controls>
        <mc:AlternateContent xmlns:mc="http://schemas.openxmlformats.org/markup-compatibility/2006">
          <mc:Choice Requires="x14">
            <control shapeId="20482" r:id="rId6" name="Button 2">
              <controlPr defaultSize="0" print="0" autoFill="0" autoPict="0" macro="[0]!cmdCalculator">
                <anchor moveWithCells="1">
                  <from>
                    <xdr:col>6</xdr:col>
                    <xdr:colOff>0</xdr:colOff>
                    <xdr:row>56</xdr:row>
                    <xdr:rowOff>12700</xdr:rowOff>
                  </from>
                  <to>
                    <xdr:col>7</xdr:col>
                    <xdr:colOff>330200</xdr:colOff>
                    <xdr:row>57</xdr:row>
                    <xdr:rowOff>114300</xdr:rowOff>
                  </to>
                </anchor>
              </controlPr>
            </control>
          </mc:Choice>
        </mc:AlternateContent>
        <mc:AlternateContent xmlns:mc="http://schemas.openxmlformats.org/markup-compatibility/2006">
          <mc:Choice Requires="x14">
            <control shapeId="20483" r:id="rId7" name="Button 3">
              <controlPr defaultSize="0" print="0" autoFill="0" autoPict="0" macro="[0]!cmdClearRentalYield">
                <anchor moveWithCells="1">
                  <from>
                    <xdr:col>5</xdr:col>
                    <xdr:colOff>0</xdr:colOff>
                    <xdr:row>56</xdr:row>
                    <xdr:rowOff>0</xdr:rowOff>
                  </from>
                  <to>
                    <xdr:col>5</xdr:col>
                    <xdr:colOff>762000</xdr:colOff>
                    <xdr:row>57</xdr:row>
                    <xdr:rowOff>101600</xdr:rowOff>
                  </to>
                </anchor>
              </controlPr>
            </control>
          </mc:Choice>
        </mc:AlternateContent>
        <mc:AlternateContent xmlns:mc="http://schemas.openxmlformats.org/markup-compatibility/2006">
          <mc:Choice Requires="x14">
            <control shapeId="20484" r:id="rId8" name="Button 4">
              <controlPr defaultSize="0" print="0" autoFill="0" autoPict="0" macro="[0]!cmdClearRentalYield">
                <anchor moveWithCells="1">
                  <from>
                    <xdr:col>5</xdr:col>
                    <xdr:colOff>12700</xdr:colOff>
                    <xdr:row>2</xdr:row>
                    <xdr:rowOff>25400</xdr:rowOff>
                  </from>
                  <to>
                    <xdr:col>5</xdr:col>
                    <xdr:colOff>774700</xdr:colOff>
                    <xdr:row>2</xdr:row>
                    <xdr:rowOff>292100</xdr:rowOff>
                  </to>
                </anchor>
              </controlPr>
            </control>
          </mc:Choice>
        </mc:AlternateContent>
        <mc:AlternateContent xmlns:mc="http://schemas.openxmlformats.org/markup-compatibility/2006">
          <mc:Choice Requires="x14">
            <control shapeId="20485" r:id="rId9" name="Button 5">
              <controlPr defaultSize="0" print="0" autoFill="0" autoPict="0" macro="[0]!cmdCalculator">
                <anchor moveWithCells="1">
                  <from>
                    <xdr:col>6</xdr:col>
                    <xdr:colOff>0</xdr:colOff>
                    <xdr:row>2</xdr:row>
                    <xdr:rowOff>25400</xdr:rowOff>
                  </from>
                  <to>
                    <xdr:col>7</xdr:col>
                    <xdr:colOff>330200</xdr:colOff>
                    <xdr:row>2</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pageSetUpPr fitToPage="1"/>
  </sheetPr>
  <dimension ref="A1:AH87"/>
  <sheetViews>
    <sheetView showGridLines="0" showRowColHeaders="0" zoomScaleNormal="100" workbookViewId="0"/>
  </sheetViews>
  <sheetFormatPr baseColWidth="10" defaultColWidth="9.1640625" defaultRowHeight="13" x14ac:dyDescent="0.15"/>
  <cols>
    <col min="1" max="1" width="1.5" style="439" customWidth="1"/>
    <col min="2" max="2" width="48.83203125" style="439" customWidth="1"/>
    <col min="3" max="4" width="15.1640625" style="439" customWidth="1"/>
    <col min="5" max="5" width="12.33203125" style="439" customWidth="1"/>
    <col min="6" max="9" width="13.83203125" style="439" customWidth="1"/>
    <col min="10" max="10" width="13.1640625" style="439" customWidth="1"/>
    <col min="11" max="12" width="16" style="439" customWidth="1"/>
    <col min="13" max="13" width="1.6640625" style="541" customWidth="1"/>
    <col min="14" max="14" width="9.1640625" style="439"/>
    <col min="15" max="15" width="0" style="439" hidden="1" customWidth="1"/>
    <col min="16" max="19" width="9.1640625" style="439"/>
    <col min="20" max="20" width="10.1640625" style="439" customWidth="1"/>
    <col min="21" max="22" width="9.1640625" style="439"/>
    <col min="23" max="23" width="1.5" style="439" customWidth="1"/>
    <col min="24" max="16384" width="9.1640625" style="439"/>
  </cols>
  <sheetData>
    <row r="1" spans="1:23" s="466" customFormat="1" ht="12" customHeight="1" thickBot="1" x14ac:dyDescent="0.2">
      <c r="A1" s="464"/>
      <c r="B1" s="465"/>
      <c r="C1" s="821"/>
      <c r="D1" s="465"/>
      <c r="E1" s="465"/>
      <c r="F1" s="465"/>
      <c r="G1" s="465"/>
      <c r="H1" s="465"/>
      <c r="I1" s="465"/>
      <c r="J1" s="465"/>
      <c r="K1" s="465"/>
      <c r="L1" s="465"/>
      <c r="M1" s="874"/>
      <c r="N1" s="875"/>
      <c r="P1" s="851">
        <f>Data!G32</f>
        <v>5.0999999999999997E-2</v>
      </c>
      <c r="W1" s="887"/>
    </row>
    <row r="2" spans="1:23" s="466" customFormat="1" ht="24.75" customHeight="1" thickBot="1" x14ac:dyDescent="0.2">
      <c r="A2" s="467"/>
      <c r="B2" s="468" t="s">
        <v>287</v>
      </c>
      <c r="C2" s="469"/>
      <c r="D2" s="469"/>
      <c r="E2" s="469"/>
      <c r="F2" s="470"/>
      <c r="G2" s="470"/>
      <c r="H2" s="470"/>
      <c r="I2" s="471"/>
      <c r="J2" s="472"/>
      <c r="K2" s="472"/>
      <c r="L2" s="472"/>
      <c r="M2" s="472"/>
      <c r="N2" s="875"/>
      <c r="P2" s="851">
        <f>Data!G33</f>
        <v>2.5000000000000001E-2</v>
      </c>
      <c r="W2" s="887"/>
    </row>
    <row r="3" spans="1:23" s="466" customFormat="1" ht="21" customHeight="1" x14ac:dyDescent="0.15">
      <c r="A3" s="467"/>
      <c r="B3" s="443"/>
      <c r="C3" s="443"/>
      <c r="D3" s="443"/>
      <c r="E3" s="443"/>
      <c r="F3" s="443"/>
      <c r="G3" s="443"/>
      <c r="H3" s="443"/>
      <c r="I3" s="443"/>
      <c r="J3" s="443"/>
      <c r="K3" s="443"/>
      <c r="L3" s="443"/>
      <c r="M3" s="443"/>
      <c r="N3" s="875"/>
      <c r="W3" s="887"/>
    </row>
    <row r="4" spans="1:23" s="466" customFormat="1" x14ac:dyDescent="0.15">
      <c r="A4" s="467"/>
      <c r="B4" s="473"/>
      <c r="C4" s="473"/>
      <c r="D4" s="473"/>
      <c r="E4" s="473" t="s">
        <v>79</v>
      </c>
      <c r="F4" s="985"/>
      <c r="G4" s="986"/>
      <c r="H4" s="266"/>
      <c r="I4" s="279" t="s">
        <v>80</v>
      </c>
      <c r="J4" s="1006"/>
      <c r="K4" s="1007"/>
      <c r="L4" s="266"/>
      <c r="M4" s="266"/>
      <c r="N4" s="875"/>
      <c r="W4" s="887"/>
    </row>
    <row r="5" spans="1:23" s="466" customFormat="1" x14ac:dyDescent="0.15">
      <c r="A5" s="467"/>
      <c r="B5" s="474"/>
      <c r="C5" s="474"/>
      <c r="D5" s="474"/>
      <c r="E5" s="474"/>
      <c r="F5" s="266"/>
      <c r="G5" s="266"/>
      <c r="H5" s="266"/>
      <c r="I5" s="266"/>
      <c r="J5" s="444"/>
      <c r="K5" s="266"/>
      <c r="L5" s="266"/>
      <c r="M5" s="443"/>
      <c r="N5" s="875"/>
      <c r="W5" s="887"/>
    </row>
    <row r="6" spans="1:23" s="466" customFormat="1" x14ac:dyDescent="0.15">
      <c r="A6" s="467"/>
      <c r="B6" s="475" t="s">
        <v>27</v>
      </c>
      <c r="C6" s="475"/>
      <c r="D6" s="475"/>
      <c r="E6" s="475"/>
      <c r="F6" s="266"/>
      <c r="G6" s="266"/>
      <c r="H6" s="266"/>
      <c r="I6" s="476"/>
      <c r="J6" s="810" t="str">
        <f>IF(I6&gt;COUNT(I9:L9),"must be at least one adult residing in each household",IF(AND(I6&gt;K16,I6=COUNTA(F16,H16)),"Each household must have an applicant assigned",IF(I6&gt;COUNTA(F16,H16),"There cannot be more households than applicants",IF(COUNTA(F16,H16)&gt;SUM(I9:L9),"Number of applicants cannot be more than the total number of adults",""))))</f>
        <v/>
      </c>
      <c r="K6" s="688"/>
      <c r="L6" s="266"/>
      <c r="M6" s="443"/>
      <c r="N6" s="875"/>
      <c r="W6" s="887"/>
    </row>
    <row r="7" spans="1:23" s="466" customFormat="1" hidden="1" x14ac:dyDescent="0.15">
      <c r="A7" s="467"/>
      <c r="B7" s="1008" t="s">
        <v>288</v>
      </c>
      <c r="C7" s="1008"/>
      <c r="D7" s="1008"/>
      <c r="E7" s="1008"/>
      <c r="F7" s="1008"/>
      <c r="G7" s="1008"/>
      <c r="H7" s="1009"/>
      <c r="I7" s="477"/>
      <c r="J7" s="266"/>
      <c r="K7" s="610" t="b">
        <f>IF(I6&gt;0,AND(COUNT(I9:L9)&gt;=I6,COUNT(I11:L11)&gt;=I6),FALSE)</f>
        <v>0</v>
      </c>
      <c r="L7" s="610"/>
      <c r="M7" s="443"/>
      <c r="N7" s="875"/>
      <c r="W7" s="887"/>
    </row>
    <row r="8" spans="1:23" s="466" customFormat="1" x14ac:dyDescent="0.15">
      <c r="A8" s="467"/>
      <c r="B8" s="443"/>
      <c r="C8" s="443"/>
      <c r="D8" s="443"/>
      <c r="E8" s="443"/>
      <c r="F8" s="266"/>
      <c r="G8" s="266"/>
      <c r="H8" s="266"/>
      <c r="I8" s="478" t="s">
        <v>83</v>
      </c>
      <c r="J8" s="479" t="str">
        <f>IF(I6&gt;1,"Household 2","")</f>
        <v/>
      </c>
      <c r="K8" s="92" t="str">
        <f>IF(I6&gt;2,"Household 3","")</f>
        <v/>
      </c>
      <c r="L8" s="92" t="str">
        <f>IF(I6&gt;3,"Household 4","")</f>
        <v/>
      </c>
      <c r="M8" s="443"/>
      <c r="N8" s="875"/>
      <c r="W8" s="887"/>
    </row>
    <row r="9" spans="1:23" s="466" customFormat="1" x14ac:dyDescent="0.15">
      <c r="A9" s="467"/>
      <c r="B9" s="475" t="s">
        <v>30</v>
      </c>
      <c r="C9" s="475"/>
      <c r="D9" s="475"/>
      <c r="E9" s="475"/>
      <c r="F9" s="266"/>
      <c r="G9" s="266"/>
      <c r="H9" s="266"/>
      <c r="I9" s="476"/>
      <c r="J9" s="480"/>
      <c r="K9" s="344"/>
      <c r="L9" s="344"/>
      <c r="M9" s="443"/>
      <c r="N9" s="875"/>
      <c r="W9" s="887"/>
    </row>
    <row r="10" spans="1:23" s="466" customFormat="1" x14ac:dyDescent="0.15">
      <c r="A10" s="467"/>
      <c r="B10" s="475" t="s">
        <v>32</v>
      </c>
      <c r="C10" s="475"/>
      <c r="D10" s="475"/>
      <c r="E10" s="475"/>
      <c r="F10" s="266"/>
      <c r="G10" s="266"/>
      <c r="H10" s="266"/>
      <c r="I10" s="476"/>
      <c r="J10" s="480"/>
      <c r="K10" s="344"/>
      <c r="L10" s="344"/>
      <c r="M10" s="443"/>
      <c r="N10" s="875"/>
      <c r="W10" s="887"/>
    </row>
    <row r="11" spans="1:23" s="466" customFormat="1" x14ac:dyDescent="0.15">
      <c r="A11" s="467"/>
      <c r="B11" s="475" t="s">
        <v>362</v>
      </c>
      <c r="C11" s="475"/>
      <c r="D11" s="475"/>
      <c r="E11" s="475"/>
      <c r="F11" s="266"/>
      <c r="G11" s="266"/>
      <c r="H11" s="266"/>
      <c r="I11" s="619"/>
      <c r="J11" s="620"/>
      <c r="K11" s="612"/>
      <c r="L11" s="612"/>
      <c r="M11" s="443"/>
      <c r="N11" s="875"/>
      <c r="W11" s="887"/>
    </row>
    <row r="12" spans="1:23" s="466" customFormat="1" x14ac:dyDescent="0.15">
      <c r="A12" s="467"/>
      <c r="B12" s="266"/>
      <c r="C12" s="266"/>
      <c r="D12" s="266"/>
      <c r="E12" s="266"/>
      <c r="F12" s="266"/>
      <c r="G12" s="266"/>
      <c r="H12" s="266"/>
      <c r="I12" s="266"/>
      <c r="J12" s="266"/>
      <c r="K12" s="266"/>
      <c r="L12" s="266"/>
      <c r="M12" s="443"/>
      <c r="N12" s="875"/>
      <c r="W12" s="887"/>
    </row>
    <row r="13" spans="1:23" ht="27.75" customHeight="1" x14ac:dyDescent="0.15">
      <c r="A13" s="481"/>
      <c r="B13" s="137" t="s">
        <v>84</v>
      </c>
      <c r="C13" s="822"/>
      <c r="D13" s="482"/>
      <c r="E13" s="482"/>
      <c r="F13" s="1010" t="s">
        <v>85</v>
      </c>
      <c r="G13" s="1010"/>
      <c r="H13" s="1010" t="s">
        <v>86</v>
      </c>
      <c r="I13" s="1010"/>
      <c r="J13" s="483"/>
      <c r="K13" s="484" t="s">
        <v>289</v>
      </c>
      <c r="L13" s="885" t="s">
        <v>525</v>
      </c>
      <c r="M13" s="883"/>
      <c r="N13" s="883"/>
      <c r="O13" s="883"/>
      <c r="P13" s="883"/>
      <c r="Q13" s="883"/>
      <c r="R13" s="883"/>
      <c r="S13" s="883"/>
      <c r="T13" s="883"/>
      <c r="U13" s="883"/>
      <c r="V13" s="884"/>
      <c r="W13" s="888"/>
    </row>
    <row r="14" spans="1:23" x14ac:dyDescent="0.15">
      <c r="A14" s="481"/>
      <c r="B14"/>
      <c r="C14"/>
      <c r="D14"/>
      <c r="E14"/>
      <c r="F14"/>
      <c r="G14"/>
      <c r="H14"/>
      <c r="I14"/>
      <c r="J14"/>
      <c r="K14"/>
      <c r="L14"/>
      <c r="M14" s="444"/>
      <c r="N14" s="876"/>
      <c r="W14" s="888"/>
    </row>
    <row r="15" spans="1:23" x14ac:dyDescent="0.15">
      <c r="A15" s="481"/>
      <c r="B15" s="444"/>
      <c r="C15" s="444"/>
      <c r="D15" s="444"/>
      <c r="E15" s="444"/>
      <c r="F15" s="160" t="s">
        <v>285</v>
      </c>
      <c r="G15" s="160" t="s">
        <v>524</v>
      </c>
      <c r="H15" s="160" t="s">
        <v>285</v>
      </c>
      <c r="I15" s="160" t="s">
        <v>524</v>
      </c>
      <c r="J15" s="266"/>
      <c r="K15" s="266"/>
      <c r="L15" s="266"/>
      <c r="M15" s="444"/>
      <c r="N15" s="877"/>
      <c r="W15" s="888"/>
    </row>
    <row r="16" spans="1:23" x14ac:dyDescent="0.15">
      <c r="A16" s="481"/>
      <c r="B16" s="444" t="s">
        <v>468</v>
      </c>
      <c r="C16" s="444"/>
      <c r="D16" s="444"/>
      <c r="E16" s="444"/>
      <c r="F16" s="808"/>
      <c r="G16" s="806" t="str">
        <f>IF(F16="","",F16)</f>
        <v/>
      </c>
      <c r="H16" s="808"/>
      <c r="I16" s="807" t="str">
        <f>IF(H16="","",H16)</f>
        <v/>
      </c>
      <c r="J16" s="266"/>
      <c r="K16" s="601">
        <f>IF(COUNTIF(F16:I16,"Household 1")&gt;0,1,0)+IF(COUNTIF(F16:I16,"Household 2")&gt;0,1,0)+IF(COUNTIF(F16:I16,"Household 3")&gt;0,1,0)+IF(COUNTIF(F16:I16,"Household 4")&gt;0,1,0)</f>
        <v>0</v>
      </c>
      <c r="L16" s="266"/>
      <c r="M16" s="444"/>
      <c r="N16" s="876"/>
      <c r="W16" s="888"/>
    </row>
    <row r="17" spans="1:23" x14ac:dyDescent="0.15">
      <c r="A17" s="481"/>
      <c r="B17" s="444" t="s">
        <v>371</v>
      </c>
      <c r="C17" s="444"/>
      <c r="D17" s="444"/>
      <c r="E17" s="444"/>
      <c r="F17" s="485"/>
      <c r="G17" s="486">
        <f>F17</f>
        <v>0</v>
      </c>
      <c r="H17" s="485"/>
      <c r="I17" s="492">
        <f>H17</f>
        <v>0</v>
      </c>
      <c r="J17" s="487" t="s">
        <v>91</v>
      </c>
      <c r="K17" s="488">
        <f>F17+H17</f>
        <v>0</v>
      </c>
      <c r="L17" s="488">
        <f>G17+I17</f>
        <v>0</v>
      </c>
      <c r="M17" s="444"/>
      <c r="N17" s="876"/>
      <c r="W17" s="888"/>
    </row>
    <row r="18" spans="1:23" x14ac:dyDescent="0.15">
      <c r="A18" s="481"/>
      <c r="B18" s="444" t="s">
        <v>369</v>
      </c>
      <c r="C18" s="444"/>
      <c r="D18" s="444"/>
      <c r="E18" s="444"/>
      <c r="F18" s="485"/>
      <c r="G18" s="486">
        <f>F18</f>
        <v>0</v>
      </c>
      <c r="H18" s="485"/>
      <c r="I18" s="492">
        <f>H18</f>
        <v>0</v>
      </c>
      <c r="J18" s="487" t="s">
        <v>91</v>
      </c>
      <c r="K18" s="488">
        <f>(F18+H18)*Data!C20</f>
        <v>0</v>
      </c>
      <c r="L18" s="488">
        <f>(G18+I18)*Data!C20</f>
        <v>0</v>
      </c>
      <c r="M18" s="444"/>
      <c r="N18" s="876"/>
      <c r="W18" s="888"/>
    </row>
    <row r="19" spans="1:23" x14ac:dyDescent="0.15">
      <c r="A19" s="481"/>
      <c r="B19" s="444" t="s">
        <v>270</v>
      </c>
      <c r="C19" s="444"/>
      <c r="D19" s="444"/>
      <c r="E19" s="444"/>
      <c r="F19" s="485"/>
      <c r="G19" s="725">
        <f>F19</f>
        <v>0</v>
      </c>
      <c r="H19" s="485"/>
      <c r="I19" s="492">
        <f>H19</f>
        <v>0</v>
      </c>
      <c r="J19" s="487" t="s">
        <v>91</v>
      </c>
      <c r="K19" s="488">
        <f>(F19+H19)*Data!C21</f>
        <v>0</v>
      </c>
      <c r="L19" s="488">
        <f>(G19+I19)*Data!C21</f>
        <v>0</v>
      </c>
      <c r="M19" s="444"/>
      <c r="N19" s="876"/>
      <c r="W19" s="888"/>
    </row>
    <row r="20" spans="1:23" x14ac:dyDescent="0.15">
      <c r="A20" s="481"/>
      <c r="B20" s="489" t="s">
        <v>34</v>
      </c>
      <c r="C20" s="489"/>
      <c r="D20" s="489"/>
      <c r="E20" s="489"/>
      <c r="F20" s="718">
        <f>'Bridging Rental Yield'!F54</f>
        <v>0</v>
      </c>
      <c r="G20" s="726">
        <f>'Bridging Rental Yield'!F60</f>
        <v>0</v>
      </c>
      <c r="H20" s="718">
        <f>'Bridging Rental Yield'!G54</f>
        <v>0</v>
      </c>
      <c r="I20" s="720">
        <f>'Bridging Rental Yield'!G60</f>
        <v>0</v>
      </c>
      <c r="J20" s="487"/>
      <c r="K20" s="488">
        <f>(F20+H20)</f>
        <v>0</v>
      </c>
      <c r="L20" s="488">
        <f>(G20+I20)</f>
        <v>0</v>
      </c>
      <c r="M20" s="444"/>
      <c r="N20" s="876"/>
      <c r="W20" s="888"/>
    </row>
    <row r="21" spans="1:23" x14ac:dyDescent="0.15">
      <c r="A21" s="481"/>
      <c r="B21" s="489" t="s">
        <v>35</v>
      </c>
      <c r="C21" s="489"/>
      <c r="D21" s="489"/>
      <c r="E21" s="489"/>
      <c r="F21" s="719">
        <f>'Bridging Rental Yield'!F55</f>
        <v>0</v>
      </c>
      <c r="G21" s="726">
        <f>'Bridging Rental Yield'!F61</f>
        <v>0</v>
      </c>
      <c r="H21" s="719">
        <f>'Bridging Rental Yield'!G55</f>
        <v>0</v>
      </c>
      <c r="I21" s="720">
        <f>'Bridging Rental Yield'!G61</f>
        <v>0</v>
      </c>
      <c r="J21" s="487"/>
      <c r="K21" s="488">
        <f>(F21+H21)</f>
        <v>0</v>
      </c>
      <c r="L21" s="488">
        <f>(G21+I21)</f>
        <v>0</v>
      </c>
      <c r="M21" s="444"/>
      <c r="N21" s="876"/>
      <c r="W21" s="888"/>
    </row>
    <row r="22" spans="1:23" x14ac:dyDescent="0.15">
      <c r="A22" s="481"/>
      <c r="B22" s="444" t="s">
        <v>36</v>
      </c>
      <c r="C22" s="444"/>
      <c r="D22" s="444"/>
      <c r="E22" s="444"/>
      <c r="F22" s="485"/>
      <c r="G22" s="490">
        <f>F22</f>
        <v>0</v>
      </c>
      <c r="H22" s="485"/>
      <c r="I22" s="492">
        <f>H22</f>
        <v>0</v>
      </c>
      <c r="J22" s="487" t="s">
        <v>91</v>
      </c>
      <c r="K22" s="488">
        <f>(F22+H22)*Data!C22</f>
        <v>0</v>
      </c>
      <c r="L22" s="488">
        <f>(G22+I22)*Data!C22</f>
        <v>0</v>
      </c>
      <c r="M22" s="444"/>
      <c r="N22" s="876"/>
      <c r="W22" s="888"/>
    </row>
    <row r="23" spans="1:23" x14ac:dyDescent="0.15">
      <c r="A23" s="481"/>
      <c r="B23" s="444" t="s">
        <v>37</v>
      </c>
      <c r="C23" s="444"/>
      <c r="D23" s="444"/>
      <c r="E23" s="444"/>
      <c r="F23" s="485"/>
      <c r="G23" s="491">
        <f>F23</f>
        <v>0</v>
      </c>
      <c r="H23" s="485"/>
      <c r="I23" s="492">
        <f>H23</f>
        <v>0</v>
      </c>
      <c r="J23" s="487" t="s">
        <v>91</v>
      </c>
      <c r="K23" s="488">
        <f>(F23+H23)*Data!G30</f>
        <v>0</v>
      </c>
      <c r="L23" s="488">
        <f>(G23+I23)*Data!G30</f>
        <v>0</v>
      </c>
      <c r="M23" s="444"/>
      <c r="N23" s="876"/>
      <c r="W23" s="888"/>
    </row>
    <row r="24" spans="1:23" x14ac:dyDescent="0.15">
      <c r="A24" s="481"/>
      <c r="B24" s="444" t="s">
        <v>290</v>
      </c>
      <c r="C24" s="444"/>
      <c r="D24" s="444"/>
      <c r="E24" s="444"/>
      <c r="F24" s="485"/>
      <c r="G24" s="491">
        <f>F24</f>
        <v>0</v>
      </c>
      <c r="H24" s="485"/>
      <c r="I24" s="492">
        <f>H24</f>
        <v>0</v>
      </c>
      <c r="J24" s="487" t="s">
        <v>91</v>
      </c>
      <c r="K24" s="488">
        <f t="shared" ref="K24:L25" si="0">F24+H24</f>
        <v>0</v>
      </c>
      <c r="L24" s="488">
        <f t="shared" si="0"/>
        <v>0</v>
      </c>
      <c r="M24" s="444"/>
      <c r="N24" s="876"/>
      <c r="W24" s="888"/>
    </row>
    <row r="25" spans="1:23" x14ac:dyDescent="0.15">
      <c r="A25" s="481"/>
      <c r="B25" s="444" t="s">
        <v>41</v>
      </c>
      <c r="C25" s="444"/>
      <c r="D25" s="444"/>
      <c r="E25" s="444"/>
      <c r="F25" s="493">
        <f>'Bridging Self Employed'!G9+'Bridging Self Employed'!G14+'Bridging Self Employed'!G16</f>
        <v>0</v>
      </c>
      <c r="G25" s="494">
        <f>F25</f>
        <v>0</v>
      </c>
      <c r="H25" s="493">
        <f>'Bridging Self Employed'!G28+'Bridging Self Employed'!G33+'Bridging Self Employed'!G35</f>
        <v>0</v>
      </c>
      <c r="I25" s="494">
        <f>H25</f>
        <v>0</v>
      </c>
      <c r="J25" s="266"/>
      <c r="K25" s="488">
        <f t="shared" si="0"/>
        <v>0</v>
      </c>
      <c r="L25" s="488">
        <f t="shared" si="0"/>
        <v>0</v>
      </c>
      <c r="M25" s="444"/>
      <c r="N25" s="876"/>
      <c r="W25" s="888"/>
    </row>
    <row r="26" spans="1:23" x14ac:dyDescent="0.15">
      <c r="A26" s="481"/>
      <c r="B26" s="495" t="s">
        <v>44</v>
      </c>
      <c r="C26" s="495"/>
      <c r="D26" s="495"/>
      <c r="E26" s="495"/>
      <c r="F26" s="496">
        <f t="shared" ref="F26:L26" si="1">SUM(F17:F25)</f>
        <v>0</v>
      </c>
      <c r="G26" s="497">
        <f t="shared" si="1"/>
        <v>0</v>
      </c>
      <c r="H26" s="496">
        <f t="shared" si="1"/>
        <v>0</v>
      </c>
      <c r="I26" s="497">
        <f t="shared" si="1"/>
        <v>0</v>
      </c>
      <c r="J26" s="266"/>
      <c r="K26" s="498">
        <f t="shared" si="1"/>
        <v>0</v>
      </c>
      <c r="L26" s="498">
        <f t="shared" si="1"/>
        <v>0</v>
      </c>
      <c r="M26" s="444"/>
      <c r="N26" s="876"/>
      <c r="W26" s="888"/>
    </row>
    <row r="27" spans="1:23" x14ac:dyDescent="0.15">
      <c r="A27" s="481"/>
      <c r="B27" s="444" t="s">
        <v>561</v>
      </c>
      <c r="C27" s="444"/>
      <c r="D27" s="444"/>
      <c r="E27" s="444"/>
      <c r="F27" s="499">
        <f>'Bridging Calculations'!C13-'Bridging Calculations'!C15-'Bridging Calculations'!C16</f>
        <v>0</v>
      </c>
      <c r="G27" s="494">
        <f>'Bridging Calculations'!J13-'Bridging Calculations'!J15-'Bridging Calculations'!J16</f>
        <v>0</v>
      </c>
      <c r="H27" s="499">
        <f>'Bridging Calculations'!F13-'Bridging Calculations'!F15-'Bridging Calculations'!F16</f>
        <v>0</v>
      </c>
      <c r="I27" s="494">
        <f>'Bridging Calculations'!M13-'Bridging Calculations'!M15-'Bridging Calculations'!M16</f>
        <v>0</v>
      </c>
      <c r="J27" s="266"/>
      <c r="K27" s="488">
        <f>F27+H27</f>
        <v>0</v>
      </c>
      <c r="L27" s="488">
        <f>G27+I27</f>
        <v>0</v>
      </c>
      <c r="M27" s="444"/>
      <c r="N27" s="876"/>
      <c r="W27" s="888"/>
    </row>
    <row r="28" spans="1:23" x14ac:dyDescent="0.15">
      <c r="A28" s="481"/>
      <c r="B28" s="444" t="s">
        <v>48</v>
      </c>
      <c r="C28" s="444"/>
      <c r="D28" s="444"/>
      <c r="E28" s="444"/>
      <c r="F28" s="499">
        <f>'Bridging Calculations'!C14</f>
        <v>0</v>
      </c>
      <c r="G28" s="494">
        <f>'Bridging Calculations'!J14</f>
        <v>0</v>
      </c>
      <c r="H28" s="499">
        <f>'Bridging Calculations'!F14</f>
        <v>0</v>
      </c>
      <c r="I28" s="494">
        <f>'Bridging Calculations'!M14</f>
        <v>0</v>
      </c>
      <c r="J28" s="266"/>
      <c r="K28" s="488">
        <f>'Bridging Calculations'!C14+'Bridging Calculations'!F14</f>
        <v>0</v>
      </c>
      <c r="L28" s="488">
        <f>'Bridging Calculations'!J14+'Bridging Calculations'!M14</f>
        <v>0</v>
      </c>
      <c r="M28" s="444"/>
      <c r="N28" s="876"/>
      <c r="W28" s="888"/>
    </row>
    <row r="29" spans="1:23" x14ac:dyDescent="0.15">
      <c r="A29" s="481"/>
      <c r="B29" s="444" t="s">
        <v>291</v>
      </c>
      <c r="C29" s="444"/>
      <c r="D29" s="444"/>
      <c r="E29" s="444"/>
      <c r="F29" s="500">
        <f>'Bridging Calculations'!C27</f>
        <v>0</v>
      </c>
      <c r="G29" s="500">
        <f>'Bridging Calculations'!J27</f>
        <v>0</v>
      </c>
      <c r="H29" s="500">
        <f>'Bridging Calculations'!F27</f>
        <v>0</v>
      </c>
      <c r="I29" s="500">
        <f>'Bridging Calculations'!M27</f>
        <v>0</v>
      </c>
      <c r="J29" s="266"/>
      <c r="K29" s="488">
        <f>('Bridging Calculations'!C17+'Bridging Calculations'!F17)-('Bridging Calculations'!C25+'Bridging Calculations'!F25)</f>
        <v>0</v>
      </c>
      <c r="L29" s="488">
        <f>('Bridging Calculations'!J17+'Bridging Calculations'!M17)-('Bridging Calculations'!J25+'Bridging Calculations'!M25)</f>
        <v>0</v>
      </c>
      <c r="M29" s="444"/>
      <c r="N29" s="876"/>
      <c r="W29" s="888"/>
    </row>
    <row r="30" spans="1:23" x14ac:dyDescent="0.15">
      <c r="A30" s="481"/>
      <c r="B30" s="444" t="s">
        <v>292</v>
      </c>
      <c r="C30" s="444"/>
      <c r="D30" s="444"/>
      <c r="E30" s="444"/>
      <c r="F30" s="485"/>
      <c r="G30" s="852">
        <f>F30</f>
        <v>0</v>
      </c>
      <c r="H30" s="485"/>
      <c r="I30" s="853">
        <f>H30</f>
        <v>0</v>
      </c>
      <c r="J30" s="487" t="s">
        <v>91</v>
      </c>
      <c r="K30" s="501">
        <f>(F30+H30)*Data!G28</f>
        <v>0</v>
      </c>
      <c r="L30" s="501">
        <f>(G30+I30)*Data!G28</f>
        <v>0</v>
      </c>
      <c r="M30" s="444"/>
      <c r="N30" s="876"/>
      <c r="W30" s="888"/>
    </row>
    <row r="31" spans="1:23" x14ac:dyDescent="0.15">
      <c r="A31" s="481"/>
      <c r="B31" s="444" t="s">
        <v>54</v>
      </c>
      <c r="C31" s="444"/>
      <c r="D31" s="444"/>
      <c r="E31" s="444"/>
      <c r="F31" s="493">
        <f>'Bridging Self Employed'!G18-'Bridging Self Employed'!G14-'Bridging Self Employed'!G16</f>
        <v>0</v>
      </c>
      <c r="G31" s="499">
        <f>F31</f>
        <v>0</v>
      </c>
      <c r="H31" s="499">
        <f>'Bridging Self Employed'!G37-'Bridging Self Employed'!G33-'Bridging Self Employed'!G35</f>
        <v>0</v>
      </c>
      <c r="I31" s="499">
        <f>H31</f>
        <v>0</v>
      </c>
      <c r="J31" s="266"/>
      <c r="K31" s="501">
        <f>F31+H31</f>
        <v>0</v>
      </c>
      <c r="L31" s="501">
        <f>G31+I31</f>
        <v>0</v>
      </c>
      <c r="M31" s="444"/>
      <c r="N31" s="876"/>
      <c r="W31" s="888"/>
    </row>
    <row r="32" spans="1:23" x14ac:dyDescent="0.15">
      <c r="A32" s="481"/>
      <c r="B32" s="266"/>
      <c r="C32" s="266"/>
      <c r="D32" s="266"/>
      <c r="E32" s="266"/>
      <c r="F32" s="266"/>
      <c r="G32" s="266"/>
      <c r="H32" s="266"/>
      <c r="I32" s="161" t="s">
        <v>98</v>
      </c>
      <c r="J32" s="161"/>
      <c r="K32" s="498">
        <f>K26-K27-K28+K29+K30+K31</f>
        <v>0</v>
      </c>
      <c r="L32" s="498">
        <f>L26-L27-L28+L29+L30+L31</f>
        <v>0</v>
      </c>
      <c r="M32" s="444"/>
      <c r="N32" s="876"/>
      <c r="W32" s="888"/>
    </row>
    <row r="33" spans="1:23" x14ac:dyDescent="0.15">
      <c r="A33" s="481"/>
      <c r="B33" s="266"/>
      <c r="C33" s="266"/>
      <c r="D33" s="266"/>
      <c r="E33" s="266"/>
      <c r="F33" s="266"/>
      <c r="G33" s="266"/>
      <c r="H33" s="266"/>
      <c r="I33" s="161" t="s">
        <v>99</v>
      </c>
      <c r="J33" s="161"/>
      <c r="K33" s="502">
        <f>K32/12</f>
        <v>0</v>
      </c>
      <c r="L33" s="502">
        <f>L32/12</f>
        <v>0</v>
      </c>
      <c r="M33" s="444"/>
      <c r="N33" s="876"/>
      <c r="W33" s="888"/>
    </row>
    <row r="34" spans="1:23" x14ac:dyDescent="0.15">
      <c r="A34" s="481"/>
      <c r="B34" s="266"/>
      <c r="C34" s="266"/>
      <c r="D34" s="266"/>
      <c r="E34" s="266"/>
      <c r="F34" s="266"/>
      <c r="G34" s="266"/>
      <c r="H34" s="266"/>
      <c r="I34" s="473" t="s">
        <v>293</v>
      </c>
      <c r="J34" s="473"/>
      <c r="K34" s="503"/>
      <c r="L34" s="503"/>
      <c r="M34" s="444"/>
      <c r="N34" s="876"/>
      <c r="W34" s="888"/>
    </row>
    <row r="35" spans="1:23" s="506" customFormat="1" x14ac:dyDescent="0.15">
      <c r="A35" s="504"/>
      <c r="B35" s="444"/>
      <c r="C35" s="444"/>
      <c r="D35" s="444"/>
      <c r="E35" s="444"/>
      <c r="F35" s="444"/>
      <c r="G35" s="505"/>
      <c r="H35" s="444"/>
      <c r="I35" s="161"/>
      <c r="J35" s="161"/>
      <c r="K35" s="444"/>
      <c r="L35" s="444"/>
      <c r="M35" s="444"/>
      <c r="N35" s="878"/>
      <c r="W35" s="889"/>
    </row>
    <row r="36" spans="1:23" ht="24.75" customHeight="1" x14ac:dyDescent="0.15">
      <c r="A36" s="481"/>
      <c r="B36" s="137" t="s">
        <v>294</v>
      </c>
      <c r="C36" s="822"/>
      <c r="D36" s="482"/>
      <c r="E36" s="482"/>
      <c r="F36" s="507"/>
      <c r="G36" s="508"/>
      <c r="H36" s="507"/>
      <c r="I36" s="509"/>
      <c r="J36" s="509"/>
      <c r="K36" s="507"/>
      <c r="L36" s="882"/>
      <c r="M36" s="883"/>
      <c r="N36" s="883"/>
      <c r="O36" s="883"/>
      <c r="P36" s="883"/>
      <c r="Q36" s="883"/>
      <c r="R36" s="883"/>
      <c r="S36" s="883"/>
      <c r="T36" s="883"/>
      <c r="U36" s="883"/>
      <c r="V36" s="884"/>
      <c r="W36" s="888"/>
    </row>
    <row r="37" spans="1:23" x14ac:dyDescent="0.15">
      <c r="A37" s="481"/>
      <c r="B37" s="444"/>
      <c r="C37" s="444"/>
      <c r="D37" s="444"/>
      <c r="E37" s="444"/>
      <c r="F37" s="444"/>
      <c r="G37" s="505"/>
      <c r="H37" s="444"/>
      <c r="I37" s="161"/>
      <c r="J37" s="161"/>
      <c r="K37" s="444"/>
      <c r="L37" s="444"/>
      <c r="M37" s="444"/>
      <c r="N37" s="876"/>
      <c r="W37" s="888"/>
    </row>
    <row r="38" spans="1:23" ht="39" customHeight="1" x14ac:dyDescent="0.15">
      <c r="A38" s="481"/>
      <c r="B38" s="441" t="s">
        <v>56</v>
      </c>
      <c r="C38" s="729" t="s">
        <v>267</v>
      </c>
      <c r="D38" s="441" t="s">
        <v>246</v>
      </c>
      <c r="E38" s="441" t="s">
        <v>295</v>
      </c>
      <c r="F38" s="510" t="s">
        <v>496</v>
      </c>
      <c r="G38" s="823" t="s">
        <v>495</v>
      </c>
      <c r="H38" s="741" t="s">
        <v>426</v>
      </c>
      <c r="I38" s="441" t="s">
        <v>61</v>
      </c>
      <c r="J38" s="441" t="s">
        <v>62</v>
      </c>
      <c r="K38" s="441" t="s">
        <v>63</v>
      </c>
      <c r="L38" s="441" t="s">
        <v>65</v>
      </c>
      <c r="M38" s="444"/>
      <c r="N38" s="876"/>
      <c r="W38" s="888"/>
    </row>
    <row r="39" spans="1:23" x14ac:dyDescent="0.15">
      <c r="A39" s="481"/>
      <c r="B39" s="380"/>
      <c r="C39" s="730"/>
      <c r="D39" s="381"/>
      <c r="E39" s="381"/>
      <c r="F39" s="511"/>
      <c r="G39" s="831"/>
      <c r="H39" s="742"/>
      <c r="I39" s="595"/>
      <c r="J39" s="512"/>
      <c r="K39" s="513"/>
      <c r="L39" s="514">
        <f>IF(AND(NOT('Bridging Calculations'!O3),'Bridging Calculations'!P3),ROUNDUP(IF(OR(E39="With my funds",E39="Add to bridging",B39="Margin Loan"),0,IF(B39="Credit Card",MAX(Data!$G$22,MAX(F39:G39)*Data!$G$16),IF(B39="Overdraft",MAX(F39:G39)*Data!$G$18,IF(B39="Commercial Bill",MAX(F39:G39)*Data!$G$20,IF(OR(B39="OFI home loan (Other financial institution)",B39="OFI Line of Credit (Other financial institution)"),J39*(1+Data!$G$26)+K39,J39+K39))))),0),0)</f>
        <v>0</v>
      </c>
      <c r="M39" s="444"/>
      <c r="N39" s="876"/>
      <c r="O39" s="439" t="b">
        <f>IF(OR(B39="CBA Variable Rate Home Loan",B39="CBA Fixed Rate Home Loan",B39="CBA Line of Credit"),NOT('Bridging Calculations'!P3),FALSE)</f>
        <v>0</v>
      </c>
      <c r="W39" s="888"/>
    </row>
    <row r="40" spans="1:23" x14ac:dyDescent="0.15">
      <c r="A40" s="481"/>
      <c r="B40" s="380"/>
      <c r="C40" s="730"/>
      <c r="D40" s="381"/>
      <c r="E40" s="381"/>
      <c r="F40" s="511"/>
      <c r="G40" s="832"/>
      <c r="H40" s="742"/>
      <c r="I40" s="595"/>
      <c r="J40" s="512"/>
      <c r="K40" s="513"/>
      <c r="L40" s="514">
        <f>IF(AND(NOT('Bridging Calculations'!O4),'Bridging Calculations'!P4),ROUNDUP(IF(OR(E40="With my funds",E40="Add to bridging",B40="Margin Loan"),0,IF(B40="Credit Card",MAX(Data!$G$22,MAX(F40:G40)*Data!$G$16),IF(B40="Overdraft",MAX(F40:G40)*Data!$G$18,IF(B40="Commercial Bill",MAX(F40:G40)*Data!$G$20,IF(OR(B40="OFI home loan (Other financial institution)",B40="OFI Line of Credit (Other financial institution)"),J40*(1+Data!$G$26)+K40,J40+K40))))),0),0)</f>
        <v>0</v>
      </c>
      <c r="M40" s="444"/>
      <c r="N40" s="876"/>
      <c r="O40" s="439" t="b">
        <f>IF(OR(B40="CBA Variable Rate Home Loan",B40="CBA Fixed Rate Home Loan",B40="CBA Line of Credit"),NOT('Bridging Calculations'!P4),FALSE)</f>
        <v>0</v>
      </c>
      <c r="W40" s="888"/>
    </row>
    <row r="41" spans="1:23" x14ac:dyDescent="0.15">
      <c r="A41" s="481"/>
      <c r="B41" s="380"/>
      <c r="C41" s="730"/>
      <c r="D41" s="381"/>
      <c r="E41" s="381"/>
      <c r="F41" s="511"/>
      <c r="G41" s="832"/>
      <c r="H41" s="742"/>
      <c r="I41" s="595"/>
      <c r="J41" s="512"/>
      <c r="K41" s="513"/>
      <c r="L41" s="514">
        <f>IF(AND(NOT('Bridging Calculations'!O5),'Bridging Calculations'!P5),ROUNDUP(IF(OR(E41="With my funds",E41="Add to bridging",B41="Margin Loan"),0,IF(B41="Credit Card",MAX(Data!$G$22,MAX(F41:G41)*Data!$G$16),IF(B41="Overdraft",MAX(F41:G41)*Data!$G$18,IF(B41="Commercial Bill",MAX(F41:G41)*Data!$G$20,IF(OR(B41="OFI home loan (Other financial institution)",B41="OFI Line of Credit (Other financial institution)"),J41*(1+Data!$G$26)+K41,J41+K41))))),0),0)</f>
        <v>0</v>
      </c>
      <c r="M41" s="444"/>
      <c r="N41" s="876"/>
      <c r="O41" s="439" t="b">
        <f>IF(OR(B41="CBA Variable Rate Home Loan",B41="CBA Fixed Rate Home Loan",B41="CBA Line of Credit"),NOT('Bridging Calculations'!P5),FALSE)</f>
        <v>0</v>
      </c>
      <c r="W41" s="888"/>
    </row>
    <row r="42" spans="1:23" x14ac:dyDescent="0.15">
      <c r="A42" s="481"/>
      <c r="B42" s="380"/>
      <c r="C42" s="730"/>
      <c r="D42" s="381"/>
      <c r="E42" s="381"/>
      <c r="F42" s="511"/>
      <c r="G42" s="832"/>
      <c r="H42" s="742"/>
      <c r="I42" s="595"/>
      <c r="J42" s="512"/>
      <c r="K42" s="513"/>
      <c r="L42" s="514">
        <f>IF(AND(NOT('Bridging Calculations'!O6),'Bridging Calculations'!P6),ROUNDUP(IF(OR(E42="With my funds",E42="Add to bridging",B42="Margin Loan"),0,IF(B42="Credit Card",MAX(Data!$G$22,MAX(F42:G42)*Data!$G$16),IF(B42="Overdraft",MAX(F42:G42)*Data!$G$18,IF(B42="Commercial Bill",MAX(F42:G42)*Data!$G$20,IF(OR(B42="OFI home loan (Other financial institution)",B42="OFI Line of Credit (Other financial institution)"),J42*(1+Data!$G$26)+K42,J42+K42))))),0),0)</f>
        <v>0</v>
      </c>
      <c r="M42" s="444"/>
      <c r="N42" s="876"/>
      <c r="O42" s="439" t="b">
        <f>IF(OR(B42="CBA Variable Rate Home Loan",B42="CBA Fixed Rate Home Loan",B42="CBA Line of Credit"),NOT('Bridging Calculations'!P6),FALSE)</f>
        <v>0</v>
      </c>
      <c r="W42" s="888"/>
    </row>
    <row r="43" spans="1:23" x14ac:dyDescent="0.15">
      <c r="A43" s="481"/>
      <c r="B43" s="380"/>
      <c r="C43" s="730"/>
      <c r="D43" s="381"/>
      <c r="E43" s="381"/>
      <c r="F43" s="511"/>
      <c r="G43" s="832"/>
      <c r="H43" s="742"/>
      <c r="I43" s="595"/>
      <c r="J43" s="512"/>
      <c r="K43" s="513"/>
      <c r="L43" s="514">
        <f>IF(AND(NOT('Bridging Calculations'!O7),'Bridging Calculations'!P7),ROUNDUP(IF(OR(E43="With my funds",E43="Add to bridging",B43="Margin Loan"),0,IF(B43="Credit Card",MAX(Data!$G$22,MAX(F43:G43)*Data!$G$16),IF(B43="Overdraft",MAX(F43:G43)*Data!$G$18,IF(B43="Commercial Bill",MAX(F43:G43)*Data!$G$20,IF(OR(B43="OFI home loan (Other financial institution)",B43="OFI Line of Credit (Other financial institution)"),J43*(1+Data!$G$26)+K43,J43+K43))))),0),0)</f>
        <v>0</v>
      </c>
      <c r="M43" s="444"/>
      <c r="N43" s="876"/>
      <c r="O43" s="439" t="b">
        <f>IF(OR(B43="CBA Variable Rate Home Loan",B43="CBA Fixed Rate Home Loan",B43="CBA Line of Credit"),NOT('Bridging Calculations'!P7),FALSE)</f>
        <v>0</v>
      </c>
      <c r="W43" s="888"/>
    </row>
    <row r="44" spans="1:23" x14ac:dyDescent="0.15">
      <c r="A44" s="481"/>
      <c r="B44" s="380"/>
      <c r="C44" s="730"/>
      <c r="D44" s="381"/>
      <c r="E44" s="381"/>
      <c r="F44" s="511"/>
      <c r="G44" s="832"/>
      <c r="H44" s="742"/>
      <c r="I44" s="595"/>
      <c r="J44" s="512"/>
      <c r="K44" s="513"/>
      <c r="L44" s="514">
        <f>IF(AND(NOT('Bridging Calculations'!O8),'Bridging Calculations'!P8),ROUNDUP(IF(OR(E44="With my funds",E44="Add to bridging",B44="Margin Loan"),0,IF(B44="Credit Card",MAX(Data!$G$22,MAX(F44:G44)*Data!$G$16),IF(B44="Overdraft",MAX(F44:G44)*Data!$G$18,IF(B44="Commercial Bill",MAX(F44:G44)*Data!$G$20,IF(OR(B44="OFI home loan (Other financial institution)",B44="OFI Line of Credit (Other financial institution)"),J44*(1+Data!$G$26)+K44,J44+K44))))),0),0)</f>
        <v>0</v>
      </c>
      <c r="M44" s="444"/>
      <c r="N44" s="876"/>
      <c r="O44" s="439" t="b">
        <f>IF(OR(B44="CBA Variable Rate Home Loan",B44="CBA Fixed Rate Home Loan",B44="CBA Line of Credit"),NOT('Bridging Calculations'!P8),FALSE)</f>
        <v>0</v>
      </c>
      <c r="W44" s="888"/>
    </row>
    <row r="45" spans="1:23" ht="14" thickBot="1" x14ac:dyDescent="0.2">
      <c r="A45" s="481"/>
      <c r="B45" s="380"/>
      <c r="C45" s="730"/>
      <c r="D45" s="381"/>
      <c r="E45" s="381"/>
      <c r="F45" s="511"/>
      <c r="G45" s="832"/>
      <c r="H45" s="742"/>
      <c r="I45" s="595"/>
      <c r="J45" s="512"/>
      <c r="K45" s="513"/>
      <c r="L45" s="514">
        <f>IF(AND(NOT('Bridging Calculations'!O9),'Bridging Calculations'!P9),ROUNDUP(IF(OR(E45="With my funds",E45="Add to bridging",B45="Margin Loan"),0,IF(B45="Credit Card",MAX(Data!$G$22,MAX(F45:G45)*Data!$G$16),IF(B45="Overdraft",MAX(F45:G45)*Data!$G$18,IF(B45="Commercial Bill",MAX(F45:G45)*Data!$G$20,IF(OR(B45="OFI home loan (Other financial institution)",B45="OFI Line of Credit (Other financial institution)"),J45*(1+Data!$G$26)+K45,J45+K45))))),0),0)</f>
        <v>0</v>
      </c>
      <c r="M45" s="444"/>
      <c r="N45" s="876"/>
      <c r="O45" s="439" t="b">
        <f>IF(OR(B45="CBA Variable Rate Home Loan",B45="CBA Fixed Rate Home Loan",B45="CBA Line of Credit"),NOT('Bridging Calculations'!P9),FALSE)</f>
        <v>0</v>
      </c>
      <c r="W45" s="888"/>
    </row>
    <row r="46" spans="1:23" ht="14" thickBot="1" x14ac:dyDescent="0.2">
      <c r="A46" s="481"/>
      <c r="B46" s="1018" t="str">
        <f>IF(NOT('Bridging Calculations'!R10),"Click ""Negative Gearing"" button to input details.","")</f>
        <v/>
      </c>
      <c r="C46" s="1019"/>
      <c r="D46" s="1018"/>
      <c r="E46" s="1018"/>
      <c r="F46" s="266"/>
      <c r="G46" s="266"/>
      <c r="H46" s="266"/>
      <c r="I46" s="266"/>
      <c r="J46" s="266"/>
      <c r="K46" s="161" t="s">
        <v>296</v>
      </c>
      <c r="L46" s="515">
        <f>SUM(L39:L45)</f>
        <v>0</v>
      </c>
      <c r="M46" s="444"/>
      <c r="N46" s="876"/>
      <c r="O46" s="506" t="b">
        <f>OR(O39:O45)</f>
        <v>0</v>
      </c>
      <c r="W46" s="888"/>
    </row>
    <row r="47" spans="1:23" ht="38.25" customHeight="1" x14ac:dyDescent="0.15">
      <c r="A47" s="481"/>
      <c r="B47" s="1020" t="str">
        <f>IF(O46,"Enter the current interest rate for this product. Refer CommBroker for more information","")</f>
        <v/>
      </c>
      <c r="C47" s="1020"/>
      <c r="D47" s="1020"/>
      <c r="E47" s="1020"/>
      <c r="F47" s="1020"/>
      <c r="G47" s="1020"/>
      <c r="H47" s="266"/>
      <c r="I47" s="266"/>
      <c r="J47" s="266"/>
      <c r="K47" s="266"/>
      <c r="L47" s="266"/>
      <c r="M47" s="444"/>
      <c r="N47" s="876"/>
      <c r="W47" s="888"/>
    </row>
    <row r="48" spans="1:23" ht="24.75" customHeight="1" x14ac:dyDescent="0.15">
      <c r="A48" s="481"/>
      <c r="B48" s="137" t="s">
        <v>526</v>
      </c>
      <c r="C48" s="822"/>
      <c r="D48" s="482"/>
      <c r="E48" s="482"/>
      <c r="F48" s="445"/>
      <c r="G48" s="445"/>
      <c r="H48" s="445"/>
      <c r="I48" s="452"/>
      <c r="J48" s="445"/>
      <c r="K48" s="516"/>
      <c r="L48" s="881"/>
      <c r="M48" s="1011"/>
      <c r="N48" s="1011"/>
      <c r="O48" s="1011"/>
      <c r="P48" s="1011"/>
      <c r="Q48" s="1011"/>
      <c r="R48" s="1011"/>
      <c r="S48" s="1011"/>
      <c r="T48" s="1011"/>
      <c r="U48" s="1011"/>
      <c r="V48" s="880"/>
      <c r="W48" s="888"/>
    </row>
    <row r="49" spans="1:34" x14ac:dyDescent="0.15">
      <c r="A49" s="481"/>
      <c r="B49" s="266"/>
      <c r="C49" s="266"/>
      <c r="D49" s="266"/>
      <c r="E49" s="266"/>
      <c r="F49" s="266"/>
      <c r="G49" s="266"/>
      <c r="H49" s="266"/>
      <c r="I49" s="266"/>
      <c r="J49" s="266"/>
      <c r="K49" s="266"/>
      <c r="L49" s="266"/>
      <c r="M49" s="444"/>
      <c r="N49" s="876"/>
      <c r="W49" s="888"/>
    </row>
    <row r="50" spans="1:34" x14ac:dyDescent="0.15">
      <c r="A50" s="481"/>
      <c r="B50" s="473"/>
      <c r="C50" s="473"/>
      <c r="D50" s="473"/>
      <c r="E50" s="473" t="s">
        <v>297</v>
      </c>
      <c r="F50" s="517"/>
      <c r="G50" s="266"/>
      <c r="H50" s="266"/>
      <c r="I50" s="473"/>
      <c r="J50" s="473" t="s">
        <v>298</v>
      </c>
      <c r="K50" s="517"/>
      <c r="L50" s="266"/>
      <c r="M50" s="444"/>
      <c r="N50" s="876"/>
      <c r="P50" s="871" t="s">
        <v>522</v>
      </c>
      <c r="Q50" s="868">
        <f t="array" ref="Q50">IF(U50="IO",ROUNDUP(((K53-K54)*F53)/12+F52,0),0)</f>
        <v>0</v>
      </c>
      <c r="S50" s="901" t="s">
        <v>512</v>
      </c>
      <c r="U50" s="893"/>
      <c r="W50" s="888"/>
    </row>
    <row r="51" spans="1:34" x14ac:dyDescent="0.15">
      <c r="A51" s="481"/>
      <c r="B51" s="473"/>
      <c r="C51" s="473"/>
      <c r="D51" s="473"/>
      <c r="E51" s="473" t="s">
        <v>299</v>
      </c>
      <c r="F51" s="517"/>
      <c r="G51" s="266"/>
      <c r="H51" s="266"/>
      <c r="I51" s="473"/>
      <c r="J51" s="473" t="s">
        <v>300</v>
      </c>
      <c r="K51" s="518">
        <f>F50*Data!G11</f>
        <v>0</v>
      </c>
      <c r="L51" s="266"/>
      <c r="M51" s="444"/>
      <c r="N51" s="876"/>
      <c r="P51" s="871" t="s">
        <v>523</v>
      </c>
      <c r="Q51" s="868">
        <f t="array" ref="Q51">IF(U50="PI",ROUNDUP(((PMT((F53)/12,(1)*12,(K53-K54),0,0))*-1)+F52,0),)</f>
        <v>0</v>
      </c>
      <c r="S51" s="901" t="s">
        <v>544</v>
      </c>
      <c r="T51" s="636"/>
      <c r="U51" s="893"/>
      <c r="W51" s="888"/>
    </row>
    <row r="52" spans="1:34" x14ac:dyDescent="0.15">
      <c r="A52" s="481"/>
      <c r="B52" s="473"/>
      <c r="C52" s="473"/>
      <c r="D52" s="473"/>
      <c r="E52" s="473" t="s">
        <v>301</v>
      </c>
      <c r="F52" s="517"/>
      <c r="G52" s="266"/>
      <c r="H52" s="266"/>
      <c r="I52" s="473"/>
      <c r="J52" s="473" t="s">
        <v>302</v>
      </c>
      <c r="K52" s="517"/>
      <c r="L52" s="266"/>
      <c r="M52" s="444"/>
      <c r="N52" s="876"/>
      <c r="P52" s="869" t="s">
        <v>520</v>
      </c>
      <c r="Q52" s="868">
        <f t="array" ref="Q52">SUM(IF(U51="IO",ROUNDUP(((E65)*F65)/12+K65,0))+IF(U52="IO",ROUNDUP(((E66)*F66)/12+K66,0))+IF(U53="IO",ROUNDUP(((E67)*F67)/12+K67,0))+IF(U54="IO",ROUNDUP(((E68)*F68)/12+K68,0))+IF(U55="IO",ROUNDUP(((E69)*F69)/12+K69,0))+IF(U56="IO",ROUNDUP(((E70)*F70)/12+K70,0)))</f>
        <v>0</v>
      </c>
      <c r="S52" s="901" t="s">
        <v>514</v>
      </c>
      <c r="U52" s="893"/>
      <c r="W52" s="888"/>
    </row>
    <row r="53" spans="1:34" x14ac:dyDescent="0.15">
      <c r="A53" s="481"/>
      <c r="B53" s="473"/>
      <c r="C53" s="473"/>
      <c r="D53" s="473"/>
      <c r="E53" s="473" t="s">
        <v>527</v>
      </c>
      <c r="F53" s="600"/>
      <c r="G53" s="266"/>
      <c r="H53" s="266"/>
      <c r="I53" s="473"/>
      <c r="J53" s="473" t="s">
        <v>303</v>
      </c>
      <c r="K53" s="519">
        <f>SUMIF(E39:E45,"Add to bridging",'Bridging Calculations'!S3:S9)+K50</f>
        <v>0</v>
      </c>
      <c r="L53" s="266"/>
      <c r="M53" s="444"/>
      <c r="N53" s="876"/>
      <c r="P53" s="872" t="s">
        <v>521</v>
      </c>
      <c r="Q53" s="868">
        <f t="array" ref="Q53">SUM(IF(U51="PI",L65)+IF(U52="PI",L66)+IF(U53="PI",L67)+IF(U54="PI",L68)+IF(U55="PI",L69)+IF(U56="PI",L70))</f>
        <v>0</v>
      </c>
      <c r="S53" s="901" t="s">
        <v>518</v>
      </c>
      <c r="U53" s="873"/>
      <c r="W53" s="888"/>
    </row>
    <row r="54" spans="1:34" x14ac:dyDescent="0.15">
      <c r="A54" s="481"/>
      <c r="B54" s="444"/>
      <c r="C54" s="444"/>
      <c r="D54" s="444"/>
      <c r="E54" s="473"/>
      <c r="F54" s="721"/>
      <c r="G54" s="266"/>
      <c r="H54" s="266"/>
      <c r="I54" s="161"/>
      <c r="J54" s="161" t="s">
        <v>528</v>
      </c>
      <c r="K54" s="520">
        <f t="array" ref="K54">SUM(IF((E39:E45="Add to bridging")+(E39:E45="After bridging"),'Bridging Calculations'!S3:S9))+K50-K52</f>
        <v>0</v>
      </c>
      <c r="L54" s="266"/>
      <c r="M54" s="444"/>
      <c r="N54" s="876"/>
      <c r="S54" s="901" t="s">
        <v>515</v>
      </c>
      <c r="U54" s="873"/>
      <c r="W54" s="888"/>
      <c r="AH54" s="902"/>
    </row>
    <row r="55" spans="1:34" x14ac:dyDescent="0.15">
      <c r="A55" s="481"/>
      <c r="B55" s="266"/>
      <c r="C55" s="266"/>
      <c r="D55" s="266"/>
      <c r="E55" s="266"/>
      <c r="F55" s="266"/>
      <c r="G55" s="266"/>
      <c r="H55" s="266"/>
      <c r="I55" s="266"/>
      <c r="J55" s="266"/>
      <c r="K55" s="266"/>
      <c r="L55" s="266"/>
      <c r="M55" s="444"/>
      <c r="N55" s="876"/>
      <c r="S55" s="901" t="s">
        <v>516</v>
      </c>
      <c r="U55" s="873"/>
      <c r="W55" s="888"/>
      <c r="AH55" s="870" t="s">
        <v>513</v>
      </c>
    </row>
    <row r="56" spans="1:34" x14ac:dyDescent="0.15">
      <c r="A56" s="481"/>
      <c r="B56" s="266"/>
      <c r="C56" s="266"/>
      <c r="D56" s="266"/>
      <c r="E56" s="266"/>
      <c r="F56" s="266"/>
      <c r="G56" s="266"/>
      <c r="H56" s="266"/>
      <c r="I56" s="266"/>
      <c r="J56" s="521" t="s">
        <v>305</v>
      </c>
      <c r="K56" s="522">
        <f>ROUNDUP(K53*((F53-F54)/12)+F52,0)</f>
        <v>0</v>
      </c>
      <c r="L56" s="266"/>
      <c r="M56" s="444"/>
      <c r="N56" s="876"/>
      <c r="S56" s="901" t="s">
        <v>519</v>
      </c>
      <c r="U56" s="873"/>
      <c r="W56" s="888"/>
      <c r="AH56" s="870" t="s">
        <v>517</v>
      </c>
    </row>
    <row r="57" spans="1:34" x14ac:dyDescent="0.15">
      <c r="A57" s="481"/>
      <c r="B57" s="266"/>
      <c r="C57" s="266"/>
      <c r="D57" s="266"/>
      <c r="E57" s="266"/>
      <c r="F57" s="266"/>
      <c r="G57" s="266"/>
      <c r="H57" s="266"/>
      <c r="I57" s="266"/>
      <c r="J57" s="521" t="s">
        <v>306</v>
      </c>
      <c r="K57" s="522">
        <f t="array" ref="K57">L46+Q50+Q51+Q52+Q53</f>
        <v>0</v>
      </c>
      <c r="L57" s="266"/>
      <c r="M57" s="444"/>
      <c r="N57" s="876"/>
      <c r="W57" s="888"/>
    </row>
    <row r="58" spans="1:34" ht="14" thickBot="1" x14ac:dyDescent="0.2">
      <c r="A58" s="481"/>
      <c r="B58" s="266"/>
      <c r="C58" s="266"/>
      <c r="D58" s="266"/>
      <c r="E58" s="266"/>
      <c r="F58" s="266"/>
      <c r="G58" s="266"/>
      <c r="H58" s="266"/>
      <c r="I58" s="266"/>
      <c r="J58" s="266"/>
      <c r="K58" s="266"/>
      <c r="L58" s="266"/>
      <c r="M58" s="444"/>
      <c r="N58" s="876"/>
      <c r="W58" s="888"/>
    </row>
    <row r="59" spans="1:34" ht="14" thickBot="1" x14ac:dyDescent="0.2">
      <c r="A59" s="481"/>
      <c r="B59" s="523"/>
      <c r="C59" s="523"/>
      <c r="D59" s="523"/>
      <c r="E59" s="523"/>
      <c r="F59" s="523" t="s">
        <v>307</v>
      </c>
      <c r="G59" s="1012" t="str">
        <f>IF('Bridging Calculations'!Z15,'Bridging Calculations'!V24,"Input Incomplete")</f>
        <v>Input Incomplete</v>
      </c>
      <c r="H59" s="1013"/>
      <c r="I59" s="266"/>
      <c r="J59" s="523"/>
      <c r="K59" s="523" t="s">
        <v>308</v>
      </c>
      <c r="L59" s="524" t="str">
        <f>IF('Bridging Calculations'!Z15,'Bridging Calculations'!V16,"")</f>
        <v/>
      </c>
      <c r="M59" s="444"/>
      <c r="N59" s="876"/>
      <c r="W59" s="888"/>
    </row>
    <row r="60" spans="1:34" ht="14" thickBot="1" x14ac:dyDescent="0.2">
      <c r="A60" s="481"/>
      <c r="B60" s="523"/>
      <c r="C60" s="523"/>
      <c r="D60" s="523"/>
      <c r="E60" s="523"/>
      <c r="F60" s="523" t="s">
        <v>265</v>
      </c>
      <c r="G60" s="525">
        <f>'Bridging Calculations'!V21</f>
        <v>0</v>
      </c>
      <c r="H60" s="526"/>
      <c r="I60" s="266"/>
      <c r="J60" s="523"/>
      <c r="K60" s="523"/>
      <c r="L60" s="527"/>
      <c r="M60" s="444"/>
      <c r="N60" s="876"/>
      <c r="W60" s="888"/>
    </row>
    <row r="61" spans="1:34" x14ac:dyDescent="0.15">
      <c r="A61" s="481"/>
      <c r="B61" s="266"/>
      <c r="C61" s="266"/>
      <c r="D61" s="266"/>
      <c r="E61" s="266"/>
      <c r="F61" s="266"/>
      <c r="G61" s="266"/>
      <c r="H61" s="266"/>
      <c r="I61" s="266"/>
      <c r="J61" s="266"/>
      <c r="K61" s="266"/>
      <c r="L61" s="266"/>
      <c r="M61" s="444"/>
      <c r="N61" s="876"/>
      <c r="W61" s="888"/>
    </row>
    <row r="62" spans="1:34" ht="24.75" customHeight="1" x14ac:dyDescent="0.15">
      <c r="A62" s="481"/>
      <c r="B62" s="137" t="s">
        <v>529</v>
      </c>
      <c r="C62" s="822"/>
      <c r="D62" s="482"/>
      <c r="E62" s="482"/>
      <c r="F62" s="452"/>
      <c r="G62" s="139"/>
      <c r="H62" s="445"/>
      <c r="I62" s="452"/>
      <c r="J62" s="452"/>
      <c r="K62" s="452"/>
      <c r="L62" s="886"/>
      <c r="M62" s="883"/>
      <c r="N62" s="883"/>
      <c r="O62" s="883"/>
      <c r="P62" s="883"/>
      <c r="Q62" s="883"/>
      <c r="R62" s="883"/>
      <c r="S62" s="883"/>
      <c r="T62" s="883"/>
      <c r="U62" s="883"/>
      <c r="V62" s="884"/>
      <c r="W62" s="888"/>
    </row>
    <row r="63" spans="1:34" x14ac:dyDescent="0.15">
      <c r="A63" s="481"/>
      <c r="B63" s="266"/>
      <c r="C63" s="266"/>
      <c r="D63" s="266"/>
      <c r="E63" s="266"/>
      <c r="F63" s="266"/>
      <c r="G63" s="266"/>
      <c r="H63" s="266"/>
      <c r="I63" s="266"/>
      <c r="J63" s="266"/>
      <c r="K63" s="266"/>
      <c r="L63" s="266"/>
      <c r="M63" s="444"/>
      <c r="N63" s="876"/>
      <c r="W63" s="888"/>
    </row>
    <row r="64" spans="1:34" s="466" customFormat="1" ht="39" customHeight="1" x14ac:dyDescent="0.15">
      <c r="A64" s="481"/>
      <c r="B64" s="441" t="s">
        <v>56</v>
      </c>
      <c r="C64" s="441" t="s">
        <v>267</v>
      </c>
      <c r="D64" s="441" t="s">
        <v>246</v>
      </c>
      <c r="E64" s="441" t="s">
        <v>497</v>
      </c>
      <c r="F64" s="441" t="s">
        <v>67</v>
      </c>
      <c r="G64" s="827"/>
      <c r="H64" s="640"/>
      <c r="I64" s="528" t="s">
        <v>68</v>
      </c>
      <c r="J64" s="441" t="s">
        <v>309</v>
      </c>
      <c r="K64" s="441" t="s">
        <v>63</v>
      </c>
      <c r="L64" s="441" t="s">
        <v>71</v>
      </c>
      <c r="M64" s="444"/>
      <c r="N64" s="875"/>
      <c r="W64" s="887"/>
    </row>
    <row r="65" spans="1:23" s="466" customFormat="1" x14ac:dyDescent="0.15">
      <c r="A65" s="467"/>
      <c r="B65" s="380"/>
      <c r="C65" s="380"/>
      <c r="D65" s="839"/>
      <c r="E65" s="894"/>
      <c r="F65" s="840"/>
      <c r="G65" s="829"/>
      <c r="H65" s="828"/>
      <c r="I65" s="381"/>
      <c r="J65" s="381"/>
      <c r="K65" s="529"/>
      <c r="L65" s="530">
        <f>IF(AND(NOT('Bridging Calculations'!O14),'Bridging Calculations'!P14),ROUNDUP(IF(B65="Credit Card",E65*Data!$G$16,-PMT(MAX(F65,Data!$G$32)/12,(I65-J65)*12,E65)+K65),0),0)</f>
        <v>0</v>
      </c>
      <c r="M65" s="444"/>
      <c r="N65" s="875"/>
      <c r="W65" s="887"/>
    </row>
    <row r="66" spans="1:23" s="466" customFormat="1" x14ac:dyDescent="0.15">
      <c r="A66" s="467"/>
      <c r="B66" s="380"/>
      <c r="C66" s="380"/>
      <c r="D66" s="381"/>
      <c r="E66" s="841"/>
      <c r="F66" s="840"/>
      <c r="G66" s="830"/>
      <c r="H66" s="828"/>
      <c r="I66" s="381"/>
      <c r="J66" s="381"/>
      <c r="K66" s="529"/>
      <c r="L66" s="530">
        <f>IF(AND(NOT('Bridging Calculations'!O15),'Bridging Calculations'!P15),ROUNDUP(IF(B66="Credit Card",E66*Data!$G$16,-PMT(MAX(F66,Data!$G$32)/12,(I66-J66)*12,E66)+K66),0),0)</f>
        <v>0</v>
      </c>
      <c r="M66" s="444"/>
      <c r="N66" s="875"/>
      <c r="W66" s="887"/>
    </row>
    <row r="67" spans="1:23" s="466" customFormat="1" x14ac:dyDescent="0.15">
      <c r="A67" s="467"/>
      <c r="B67" s="380"/>
      <c r="C67" s="380"/>
      <c r="D67" s="381"/>
      <c r="E67" s="841"/>
      <c r="F67" s="840"/>
      <c r="G67" s="830"/>
      <c r="H67" s="828"/>
      <c r="I67" s="381"/>
      <c r="J67" s="381"/>
      <c r="K67" s="529"/>
      <c r="L67" s="530">
        <f>IF(AND(NOT('Bridging Calculations'!O16),'Bridging Calculations'!P16),ROUNDUP(IF(B67="Credit Card",E67*Data!$G$16,-PMT(MAX(F67,Data!$G$32)/12,(I67-J67)*12,E67)+K67),0),0)</f>
        <v>0</v>
      </c>
      <c r="M67" s="444"/>
      <c r="N67" s="875"/>
      <c r="W67" s="887"/>
    </row>
    <row r="68" spans="1:23" s="466" customFormat="1" x14ac:dyDescent="0.15">
      <c r="A68" s="467"/>
      <c r="B68" s="380"/>
      <c r="C68" s="380"/>
      <c r="D68" s="381"/>
      <c r="E68" s="841"/>
      <c r="F68" s="840"/>
      <c r="G68" s="830"/>
      <c r="H68" s="828"/>
      <c r="I68" s="381"/>
      <c r="J68" s="381"/>
      <c r="K68" s="529"/>
      <c r="L68" s="530">
        <f>IF(AND(NOT('Bridging Calculations'!O17),'Bridging Calculations'!P17),ROUNDUP(IF(B68="Credit Card",E68*Data!$G$16,-PMT(MAX(F68,Data!$G$32)/12,(I68-J68)*12,E68)+K68),0),0)</f>
        <v>0</v>
      </c>
      <c r="M68" s="444"/>
      <c r="N68" s="875"/>
      <c r="W68" s="887"/>
    </row>
    <row r="69" spans="1:23" s="466" customFormat="1" x14ac:dyDescent="0.15">
      <c r="A69" s="467"/>
      <c r="B69" s="380"/>
      <c r="C69" s="380"/>
      <c r="D69" s="381"/>
      <c r="E69" s="841"/>
      <c r="F69" s="840"/>
      <c r="G69" s="830"/>
      <c r="H69" s="828"/>
      <c r="I69" s="381"/>
      <c r="J69" s="381"/>
      <c r="K69" s="529"/>
      <c r="L69" s="530">
        <f>IF(AND(NOT('Bridging Calculations'!O18),'Bridging Calculations'!P18),ROUNDUP(IF(B69="Credit Card",E69*Data!$G$16,-PMT(MAX(F69,Data!$G$32)/12,(I69-J69)*12,E69)+K69),0),0)</f>
        <v>0</v>
      </c>
      <c r="M69" s="444"/>
      <c r="N69" s="875"/>
      <c r="W69" s="887"/>
    </row>
    <row r="70" spans="1:23" s="466" customFormat="1" ht="14" thickBot="1" x14ac:dyDescent="0.2">
      <c r="A70" s="467"/>
      <c r="B70" s="380"/>
      <c r="C70" s="380"/>
      <c r="D70" s="381"/>
      <c r="E70" s="841"/>
      <c r="F70" s="840"/>
      <c r="G70" s="830"/>
      <c r="H70" s="828"/>
      <c r="I70" s="381"/>
      <c r="J70" s="381"/>
      <c r="K70" s="529"/>
      <c r="L70" s="531">
        <f>IF(AND(NOT('Bridging Calculations'!O19),'Bridging Calculations'!P19),ROUNDUP(IF(B70="Credit Card",E70*Data!$G$16,-PMT(MAX(F70,Data!$G$32)/12,(I70-J70)*12,E70)+K70),0),0)</f>
        <v>0</v>
      </c>
      <c r="M70" s="444"/>
      <c r="N70" s="875"/>
      <c r="W70" s="887"/>
    </row>
    <row r="71" spans="1:23" s="466" customFormat="1" ht="14" thickBot="1" x14ac:dyDescent="0.2">
      <c r="A71" s="467"/>
      <c r="B71" s="1018" t="str">
        <f>IF(NOT('Bridging Calculations'!R20),"Click ""Negative Gearing"" button to input details.","")</f>
        <v/>
      </c>
      <c r="C71" s="1019"/>
      <c r="D71" s="1018"/>
      <c r="E71" s="1018"/>
      <c r="F71" s="266"/>
      <c r="G71" s="266"/>
      <c r="H71" s="266"/>
      <c r="I71" s="266"/>
      <c r="J71" s="266"/>
      <c r="K71" s="521" t="s">
        <v>530</v>
      </c>
      <c r="L71" s="532">
        <f>SUM(L65:L70)+SUMIF(E39:E45,"No",L39:L45)</f>
        <v>0</v>
      </c>
      <c r="M71" s="444"/>
      <c r="N71" s="875"/>
      <c r="W71" s="887"/>
    </row>
    <row r="72" spans="1:23" s="466" customFormat="1" ht="21" customHeight="1" thickBot="1" x14ac:dyDescent="0.2">
      <c r="A72" s="467"/>
      <c r="B72" s="266"/>
      <c r="C72" s="266"/>
      <c r="D72" s="266"/>
      <c r="E72" s="266"/>
      <c r="F72" s="266"/>
      <c r="G72" s="266"/>
      <c r="H72" s="266"/>
      <c r="I72" s="266"/>
      <c r="J72" s="266"/>
      <c r="K72" s="266"/>
      <c r="L72" s="266"/>
      <c r="M72" s="444"/>
      <c r="N72" s="875"/>
      <c r="W72" s="887"/>
    </row>
    <row r="73" spans="1:23" s="466" customFormat="1" ht="14" thickBot="1" x14ac:dyDescent="0.2">
      <c r="A73" s="467"/>
      <c r="B73" s="266"/>
      <c r="C73" s="266"/>
      <c r="D73" s="266"/>
      <c r="E73" s="266"/>
      <c r="F73" s="523" t="s">
        <v>532</v>
      </c>
      <c r="G73" s="1012" t="str">
        <f>IF('Bridging Calculations'!Z15,'Bridging Calculations'!W24,"Input Incomplete")</f>
        <v>Input Incomplete</v>
      </c>
      <c r="H73" s="1013"/>
      <c r="I73" s="266"/>
      <c r="J73" s="266"/>
      <c r="K73" s="523" t="s">
        <v>531</v>
      </c>
      <c r="L73" s="524" t="str">
        <f>IF('Bridging Calculations'!Z15,'Bridging Calculations'!W16,"")</f>
        <v/>
      </c>
      <c r="M73" s="443"/>
      <c r="N73" s="875"/>
      <c r="W73" s="887"/>
    </row>
    <row r="74" spans="1:23" s="466" customFormat="1" ht="14" thickBot="1" x14ac:dyDescent="0.2">
      <c r="A74" s="467"/>
      <c r="B74" s="266"/>
      <c r="C74" s="266"/>
      <c r="D74" s="266"/>
      <c r="E74" s="266"/>
      <c r="F74" s="523" t="s">
        <v>265</v>
      </c>
      <c r="G74" s="525">
        <f>'Bridging Calculations'!W21</f>
        <v>0</v>
      </c>
      <c r="H74" s="533"/>
      <c r="I74" s="266"/>
      <c r="J74" s="266"/>
      <c r="K74" s="523"/>
      <c r="L74" s="527"/>
      <c r="M74" s="443"/>
      <c r="N74" s="875"/>
      <c r="W74" s="887"/>
    </row>
    <row r="75" spans="1:23" s="466" customFormat="1" ht="14" thickBot="1" x14ac:dyDescent="0.2">
      <c r="A75" s="467"/>
      <c r="B75" s="266"/>
      <c r="C75" s="266"/>
      <c r="D75" s="266"/>
      <c r="E75" s="266"/>
      <c r="F75" s="523" t="s">
        <v>500</v>
      </c>
      <c r="G75" s="860" t="str">
        <f>IF('Bridging Calculations'!Z15,'Bridging Calculations'!B42,"")</f>
        <v/>
      </c>
      <c r="H75" s="526"/>
      <c r="I75" s="266"/>
      <c r="J75" s="266"/>
      <c r="K75" s="523"/>
      <c r="L75" s="527"/>
      <c r="M75" s="443"/>
      <c r="N75" s="875"/>
      <c r="W75" s="887"/>
    </row>
    <row r="76" spans="1:23" s="466" customFormat="1" ht="25.5" customHeight="1" x14ac:dyDescent="0.15">
      <c r="A76" s="467"/>
      <c r="B76" s="266"/>
      <c r="C76" s="266"/>
      <c r="D76" s="865" t="str">
        <f>IF(OR(G75&lt;=6,G75=""), " "," The debt to income ratio is high. Ensure all income sources and account variations are captured accurately.")</f>
        <v xml:space="preserve"> </v>
      </c>
      <c r="E76" s="266"/>
      <c r="F76" s="266"/>
      <c r="G76" s="266"/>
      <c r="H76" s="266"/>
      <c r="I76" s="266"/>
      <c r="J76" s="266"/>
      <c r="K76" s="266"/>
      <c r="L76" s="266"/>
      <c r="M76" s="443"/>
      <c r="N76" s="875"/>
      <c r="W76" s="887"/>
    </row>
    <row r="77" spans="1:23" s="466" customFormat="1" ht="38.25" customHeight="1" x14ac:dyDescent="0.15">
      <c r="A77" s="467"/>
      <c r="B77" s="1014" t="s">
        <v>310</v>
      </c>
      <c r="C77" s="1015"/>
      <c r="D77" s="1016"/>
      <c r="E77" s="1016"/>
      <c r="F77" s="1016"/>
      <c r="G77" s="1016"/>
      <c r="H77" s="1016"/>
      <c r="I77" s="1016"/>
      <c r="J77" s="1016"/>
      <c r="K77" s="1016"/>
      <c r="L77" s="1017"/>
      <c r="M77" s="443"/>
      <c r="N77" s="875"/>
      <c r="W77" s="887"/>
    </row>
    <row r="78" spans="1:23" s="466" customFormat="1" x14ac:dyDescent="0.15">
      <c r="A78" s="467"/>
      <c r="B78" s="266"/>
      <c r="C78" s="266"/>
      <c r="D78" s="266"/>
      <c r="E78" s="266"/>
      <c r="F78" s="266"/>
      <c r="G78" s="266"/>
      <c r="H78" s="266"/>
      <c r="I78" s="266"/>
      <c r="J78" s="266"/>
      <c r="K78" s="266"/>
      <c r="L78" s="266"/>
      <c r="M78" s="443"/>
      <c r="N78" s="875"/>
      <c r="W78" s="887"/>
    </row>
    <row r="79" spans="1:23" s="537" customFormat="1" ht="11" x14ac:dyDescent="0.15">
      <c r="A79" s="534"/>
      <c r="B79" s="535"/>
      <c r="C79" s="535"/>
      <c r="D79" s="535"/>
      <c r="E79" s="535"/>
      <c r="F79" s="535"/>
      <c r="G79" s="535"/>
      <c r="H79" s="535"/>
      <c r="I79" s="535"/>
      <c r="J79" s="535"/>
      <c r="K79" s="535"/>
      <c r="L79" s="536" t="s">
        <v>311</v>
      </c>
      <c r="M79" s="535"/>
      <c r="N79" s="879"/>
      <c r="W79" s="890"/>
    </row>
    <row r="80" spans="1:23" s="466" customFormat="1" x14ac:dyDescent="0.15">
      <c r="A80" s="538"/>
      <c r="B80" s="539"/>
      <c r="C80" s="539"/>
      <c r="D80" s="539"/>
      <c r="E80" s="539"/>
      <c r="F80" s="539"/>
      <c r="G80" s="540"/>
      <c r="H80" s="539"/>
      <c r="I80" s="540"/>
      <c r="J80" s="540"/>
      <c r="K80" s="540"/>
      <c r="L80" s="540"/>
      <c r="M80" s="540"/>
      <c r="N80" s="891"/>
      <c r="O80" s="891"/>
      <c r="P80" s="891"/>
      <c r="Q80" s="891"/>
      <c r="R80" s="891"/>
      <c r="S80" s="891"/>
      <c r="T80" s="891"/>
      <c r="U80" s="891"/>
      <c r="V80" s="891"/>
      <c r="W80" s="892"/>
    </row>
    <row r="85" spans="1:13" s="466" customFormat="1" x14ac:dyDescent="0.15">
      <c r="B85" s="439"/>
      <c r="C85" s="439"/>
      <c r="D85" s="439"/>
      <c r="E85" s="439"/>
      <c r="F85" s="439"/>
      <c r="G85" s="439"/>
      <c r="H85" s="439"/>
      <c r="I85" s="439"/>
      <c r="J85" s="439"/>
      <c r="K85" s="439"/>
      <c r="L85" s="439"/>
      <c r="M85" s="542"/>
    </row>
    <row r="86" spans="1:13" s="466" customFormat="1" x14ac:dyDescent="0.15">
      <c r="A86" s="439"/>
      <c r="B86" s="439"/>
      <c r="C86" s="439"/>
      <c r="D86" s="439"/>
      <c r="E86" s="439"/>
      <c r="F86" s="439"/>
      <c r="G86" s="439"/>
      <c r="H86" s="439"/>
      <c r="I86" s="439"/>
      <c r="J86" s="439"/>
      <c r="K86" s="439"/>
      <c r="L86" s="439"/>
      <c r="M86" s="542"/>
    </row>
    <row r="87" spans="1:13" s="466" customFormat="1" x14ac:dyDescent="0.15">
      <c r="A87" s="439"/>
      <c r="B87" s="439"/>
      <c r="C87" s="439"/>
      <c r="D87" s="439"/>
      <c r="E87" s="439"/>
      <c r="F87" s="439"/>
      <c r="G87" s="439"/>
      <c r="H87" s="439"/>
      <c r="I87" s="439"/>
      <c r="J87" s="439"/>
      <c r="K87" s="439"/>
      <c r="L87" s="439"/>
      <c r="M87" s="542"/>
    </row>
  </sheetData>
  <sheetProtection algorithmName="SHA-512" hashValue="IGXa/EMyk/HkRiMcPAzL/eVu393yI5ozNGE3DAbznWf6Y/g5sz+0sF1h+9r3OMZurEltKtZLVXjq8przQLKcZw==" saltValue="6LYZ+AD8th/L139MdfxbbQ==" spinCount="100000" sheet="1" objects="1" scenarios="1"/>
  <mergeCells count="12">
    <mergeCell ref="M48:U48"/>
    <mergeCell ref="G59:H59"/>
    <mergeCell ref="G73:H73"/>
    <mergeCell ref="B77:L77"/>
    <mergeCell ref="B46:E46"/>
    <mergeCell ref="B71:E71"/>
    <mergeCell ref="B47:G47"/>
    <mergeCell ref="F4:G4"/>
    <mergeCell ref="J4:K4"/>
    <mergeCell ref="B7:H7"/>
    <mergeCell ref="F13:G13"/>
    <mergeCell ref="H13:I13"/>
  </mergeCells>
  <conditionalFormatting sqref="F65:F70">
    <cfRule type="expression" dxfId="68" priority="28" stopIfTrue="1">
      <formula>AND(F65="",B65&lt;&gt;"",B65&lt;&gt;"Credit Card")</formula>
    </cfRule>
  </conditionalFormatting>
  <conditionalFormatting sqref="J65:J70">
    <cfRule type="expression" dxfId="67" priority="29" stopIfTrue="1">
      <formula>AND(A65="Yes",J65&lt;=0)</formula>
    </cfRule>
  </conditionalFormatting>
  <conditionalFormatting sqref="K65:K70">
    <cfRule type="expression" dxfId="66" priority="30" stopIfTrue="1">
      <formula>AND(K65="",B65&lt;&gt;"",B65&lt;&gt;"Credit Card")</formula>
    </cfRule>
  </conditionalFormatting>
  <conditionalFormatting sqref="E39:E45">
    <cfRule type="expression" dxfId="65" priority="31" stopIfTrue="1">
      <formula>AND(B39&lt;&gt;"",E39="")</formula>
    </cfRule>
  </conditionalFormatting>
  <conditionalFormatting sqref="F66:F70">
    <cfRule type="expression" dxfId="64" priority="32" stopIfTrue="1">
      <formula>AND(OR(B66="Home Loan",B66="Investment Home Loan",B66="Line of Credit",B66="Personal Loan",B66="Other - Secured",B66="Other - Unsecured",B66="Hire Purchase",B66="Lease"),F66="")</formula>
    </cfRule>
  </conditionalFormatting>
  <conditionalFormatting sqref="I65:I70">
    <cfRule type="expression" dxfId="63" priority="33" stopIfTrue="1">
      <formula>AND(I65="",B65&lt;&gt;"",B65&lt;&gt;"Credit Card")</formula>
    </cfRule>
  </conditionalFormatting>
  <conditionalFormatting sqref="F17:F25 F30:F31">
    <cfRule type="expression" dxfId="62" priority="34" stopIfTrue="1">
      <formula>SUM($F$17:$F$25,$F$30:$F$31)&lt;=0</formula>
    </cfRule>
  </conditionalFormatting>
  <conditionalFormatting sqref="I9">
    <cfRule type="expression" dxfId="61" priority="35" stopIfTrue="1">
      <formula>I9&lt;=0</formula>
    </cfRule>
  </conditionalFormatting>
  <conditionalFormatting sqref="I6:I7">
    <cfRule type="cellIs" dxfId="60" priority="36" stopIfTrue="1" operator="equal">
      <formula>""</formula>
    </cfRule>
  </conditionalFormatting>
  <conditionalFormatting sqref="J10:J11">
    <cfRule type="expression" dxfId="59" priority="37" stopIfTrue="1">
      <formula>$I$6&gt;=2</formula>
    </cfRule>
  </conditionalFormatting>
  <conditionalFormatting sqref="K10:K11">
    <cfRule type="expression" dxfId="58" priority="38" stopIfTrue="1">
      <formula>$I$6&gt;2</formula>
    </cfRule>
  </conditionalFormatting>
  <conditionalFormatting sqref="L10:L11">
    <cfRule type="expression" dxfId="57" priority="39" stopIfTrue="1">
      <formula>$I$6&gt;3</formula>
    </cfRule>
  </conditionalFormatting>
  <conditionalFormatting sqref="K9">
    <cfRule type="expression" dxfId="56" priority="40" stopIfTrue="1">
      <formula>AND($I$6&gt;2,K9&lt;=0)</formula>
    </cfRule>
    <cfRule type="expression" dxfId="55" priority="41" stopIfTrue="1">
      <formula>$I$6&gt;2</formula>
    </cfRule>
  </conditionalFormatting>
  <conditionalFormatting sqref="J9">
    <cfRule type="expression" dxfId="54" priority="42" stopIfTrue="1">
      <formula>AND($I$6&gt;=2,J9&lt;=0)</formula>
    </cfRule>
    <cfRule type="expression" dxfId="53" priority="43" stopIfTrue="1">
      <formula>$I$6&gt;=2</formula>
    </cfRule>
  </conditionalFormatting>
  <conditionalFormatting sqref="L9">
    <cfRule type="expression" dxfId="52" priority="44" stopIfTrue="1">
      <formula>AND($I$6&gt;3,L9&lt;=0)</formula>
    </cfRule>
    <cfRule type="expression" dxfId="51" priority="45" stopIfTrue="1">
      <formula>$I$6&gt;3</formula>
    </cfRule>
  </conditionalFormatting>
  <conditionalFormatting sqref="L8">
    <cfRule type="expression" dxfId="50" priority="46" stopIfTrue="1">
      <formula>$I$6&gt;3</formula>
    </cfRule>
  </conditionalFormatting>
  <conditionalFormatting sqref="K8">
    <cfRule type="expression" dxfId="49" priority="47" stopIfTrue="1">
      <formula>$I$6&gt;2</formula>
    </cfRule>
  </conditionalFormatting>
  <conditionalFormatting sqref="J8">
    <cfRule type="expression" dxfId="48" priority="48" stopIfTrue="1">
      <formula>$I$6&gt;=2</formula>
    </cfRule>
  </conditionalFormatting>
  <conditionalFormatting sqref="E66:E70">
    <cfRule type="expression" dxfId="47" priority="56" stopIfTrue="1">
      <formula>AND(B66&lt;&gt;"",E66="")</formula>
    </cfRule>
  </conditionalFormatting>
  <conditionalFormatting sqref="C65:C70">
    <cfRule type="expression" dxfId="46" priority="57" stopIfTrue="1">
      <formula>AND(C65="",B65&lt;&gt;"",B65&lt;&gt;"Credit Card")</formula>
    </cfRule>
  </conditionalFormatting>
  <conditionalFormatting sqref="C39:C45">
    <cfRule type="expression" dxfId="45" priority="25" stopIfTrue="1">
      <formula>AND(C39="",OR(B39="CBA Variable Rate Home Loan",B39="CBA Fixed Rate Home Loan",B39="OFI Home Loan (Other financial institution)",B39="CBA Line of Credit",B39="OFI Line of Credit (Other financial institution)"))</formula>
    </cfRule>
  </conditionalFormatting>
  <conditionalFormatting sqref="F50">
    <cfRule type="expression" dxfId="44" priority="23" stopIfTrue="1">
      <formula>F50=""</formula>
    </cfRule>
  </conditionalFormatting>
  <conditionalFormatting sqref="F51">
    <cfRule type="expression" dxfId="43" priority="22" stopIfTrue="1">
      <formula>F51=""</formula>
    </cfRule>
  </conditionalFormatting>
  <conditionalFormatting sqref="F52">
    <cfRule type="expression" dxfId="42" priority="21" stopIfTrue="1">
      <formula>F52=""</formula>
    </cfRule>
  </conditionalFormatting>
  <conditionalFormatting sqref="F53">
    <cfRule type="expression" dxfId="41" priority="20" stopIfTrue="1">
      <formula>F53=""</formula>
    </cfRule>
  </conditionalFormatting>
  <conditionalFormatting sqref="K50">
    <cfRule type="expression" dxfId="40" priority="19" stopIfTrue="1">
      <formula>K50=""</formula>
    </cfRule>
  </conditionalFormatting>
  <conditionalFormatting sqref="K52">
    <cfRule type="expression" dxfId="39" priority="18" stopIfTrue="1">
      <formula>K52=""</formula>
    </cfRule>
  </conditionalFormatting>
  <conditionalFormatting sqref="I11">
    <cfRule type="expression" dxfId="38" priority="17" stopIfTrue="1">
      <formula>$I$11=""</formula>
    </cfRule>
  </conditionalFormatting>
  <conditionalFormatting sqref="J11">
    <cfRule type="expression" dxfId="37" priority="16" stopIfTrue="1">
      <formula>AND($I$6&gt;=2,$J$11="")</formula>
    </cfRule>
  </conditionalFormatting>
  <conditionalFormatting sqref="K11">
    <cfRule type="expression" dxfId="36" priority="15" stopIfTrue="1">
      <formula>AND($I$6&gt;=3,$K$11="")</formula>
    </cfRule>
  </conditionalFormatting>
  <conditionalFormatting sqref="L11">
    <cfRule type="expression" dxfId="35" priority="14" stopIfTrue="1">
      <formula>AND($I$6&gt;=4,$L$11="")</formula>
    </cfRule>
  </conditionalFormatting>
  <conditionalFormatting sqref="E65">
    <cfRule type="expression" dxfId="34" priority="13" stopIfTrue="1">
      <formula>AND(B65&lt;&gt;"",E65="")</formula>
    </cfRule>
  </conditionalFormatting>
  <conditionalFormatting sqref="F16">
    <cfRule type="expression" dxfId="33" priority="11">
      <formula>$F$16=""</formula>
    </cfRule>
  </conditionalFormatting>
  <conditionalFormatting sqref="I10">
    <cfRule type="expression" dxfId="32" priority="10">
      <formula>$I$10=""</formula>
    </cfRule>
  </conditionalFormatting>
  <conditionalFormatting sqref="J10">
    <cfRule type="expression" dxfId="31" priority="9">
      <formula>AND($I$6&gt;1,$J$10="")</formula>
    </cfRule>
  </conditionalFormatting>
  <conditionalFormatting sqref="K10">
    <cfRule type="expression" dxfId="30" priority="8">
      <formula>AND(I6&gt;2,$K$10="")</formula>
    </cfRule>
  </conditionalFormatting>
  <conditionalFormatting sqref="L10">
    <cfRule type="expression" dxfId="29" priority="7">
      <formula>AND(I6&gt;3,$L$10="")</formula>
    </cfRule>
  </conditionalFormatting>
  <conditionalFormatting sqref="H65:H70">
    <cfRule type="expression" dxfId="28" priority="118" stopIfTrue="1">
      <formula>IF(OR(C65="Home Loan",C65="Investment Home Loan",C65="Line of Credit",C65="Personal Loan",C65="Other - Secured",C65="Other - Unsecured",C65="Lease",C65="Hire Purchase"),H65&lt;=0)</formula>
    </cfRule>
  </conditionalFormatting>
  <conditionalFormatting sqref="B65">
    <cfRule type="expression" dxfId="27" priority="119" stopIfTrue="1">
      <formula>B65=""</formula>
    </cfRule>
  </conditionalFormatting>
  <conditionalFormatting sqref="F39:F45">
    <cfRule type="expression" dxfId="26" priority="121" stopIfTrue="1">
      <formula>AND(B39&lt;&gt;"",B39&lt;&gt;"Margin Loan",B39&lt;&gt;"HECS",F39="")</formula>
    </cfRule>
  </conditionalFormatting>
  <conditionalFormatting sqref="I39:I45">
    <cfRule type="expression" dxfId="25" priority="122" stopIfTrue="1">
      <formula>AND(E39&lt;&gt;"With my funds",E39&lt;&gt;"Add to bridging",I39="",OR(B39="CBA Variable Rate Home Loan",B39="CBA Fixed Rate Home Loan",B39="OFI home loan (Other financial institution)",B39="CBA Line of Credit",B39="OFI Line of Credit (Other financial institution)",B39="Personal Loan",AND(C39="Investment",D39="Yes")))</formula>
    </cfRule>
  </conditionalFormatting>
  <conditionalFormatting sqref="K39:K45">
    <cfRule type="expression" dxfId="24" priority="123" stopIfTrue="1">
      <formula>AND(OR(B39="CBA Variable Rate Home Loan",B39="CBA Fixed Rate Home Loan",B39="OFI home loan (Other financial institution)",B39="Personal Loan",B39="Other",B39="Lease",B39="Hire Purchase",B39="CBA Line of Credit",B39="OFI Line of Credit (Other financial institution)"),E39&lt;&gt;"With my funds",E39&lt;&gt;"Add to bridging",K39="")</formula>
    </cfRule>
  </conditionalFormatting>
  <conditionalFormatting sqref="J39:J45">
    <cfRule type="expression" dxfId="23" priority="124" stopIfTrue="1">
      <formula>AND(OR(B39="Other",B39="Lease",B39="Hire Purchase",B39="HECS"),E39&lt;&gt;"With my funds",E39&lt;&gt;"Add to bridging",J39&lt;=0)</formula>
    </cfRule>
  </conditionalFormatting>
  <conditionalFormatting sqref="H39:H45">
    <cfRule type="expression" dxfId="22" priority="125">
      <formula>AND(OR(B39="CBA Variable Rate Home Loan",B39="CBA Fixed Rate Home Loan",B39="OFI home loan (Other financial institution)",B39="CBA Line of Credit",B39="OFI Line of Credit (Other financial institution)",B39="Personal Loan"),E39&lt;&gt;"With my funds",E39&lt;&gt;"Add to bridging",H39&lt;=0)</formula>
    </cfRule>
  </conditionalFormatting>
  <conditionalFormatting sqref="G39:G45">
    <cfRule type="expression" dxfId="21" priority="5">
      <formula>AND(B39&lt;&gt;"",B39&lt;&gt;"HECS",G39="")</formula>
    </cfRule>
  </conditionalFormatting>
  <conditionalFormatting sqref="G75">
    <cfRule type="expression" dxfId="20" priority="4">
      <formula>AND($G$75&gt;7,$G$74&lt;500)</formula>
    </cfRule>
  </conditionalFormatting>
  <conditionalFormatting sqref="U50:U51">
    <cfRule type="expression" dxfId="19" priority="3" stopIfTrue="1">
      <formula>U50=""</formula>
    </cfRule>
  </conditionalFormatting>
  <conditionalFormatting sqref="B66:B70">
    <cfRule type="expression" dxfId="18" priority="1">
      <formula>AND(U52&lt;&gt;"",B66="")</formula>
    </cfRule>
  </conditionalFormatting>
  <dataValidations count="59">
    <dataValidation type="decimal" operator="greaterThanOrEqual" allowBlank="1" showErrorMessage="1" sqref="F54" xr:uid="{00000000-0002-0000-0600-000000000000}">
      <formula1>0</formula1>
    </dataValidation>
    <dataValidation type="decimal" operator="greaterThanOrEqual" allowBlank="1" showInputMessage="1" showErrorMessage="1" error="You must enter a positive number." prompt="Gross bonuses earned by applicant 2" sqref="H19" xr:uid="{00000000-0002-0000-0600-000001000000}">
      <formula1>0</formula1>
    </dataValidation>
    <dataValidation type="decimal" operator="greaterThanOrEqual" allowBlank="1" showInputMessage="1" showErrorMessage="1" error="You must enter a positive number." prompt="Gross bonuses earned by applicant 1" sqref="F19" xr:uid="{00000000-0002-0000-0600-000002000000}">
      <formula1>0</formula1>
    </dataValidation>
    <dataValidation type="decimal" operator="greaterThanOrEqual" allowBlank="1" showInputMessage="1" showErrorMessage="1" prompt="Insert any monthly charges, enter 0 if not applicable" sqref="K39:K45" xr:uid="{00000000-0002-0000-0600-000003000000}">
      <formula1>0</formula1>
    </dataValidation>
    <dataValidation type="decimal" operator="greaterThanOrEqual" allowBlank="1" showInputMessage="1" showErrorMessage="1" error="You must insert a number greater than 0." prompt="Enter any monthly charges, enter 0 if not applicable" sqref="K65:K70" xr:uid="{00000000-0002-0000-0600-000004000000}">
      <formula1>0</formula1>
    </dataValidation>
    <dataValidation type="decimal" operator="greaterThanOrEqual" allowBlank="1" showInputMessage="1" showErrorMessage="1" prompt="Enter the amount of the sale proceeds of the property that will be used to reduce the residual debt" sqref="K52" xr:uid="{00000000-0002-0000-0600-000005000000}">
      <formula1>0</formula1>
    </dataValidation>
    <dataValidation type="decimal" operator="greaterThanOrEqual" allowBlank="1" showInputMessage="1" showErrorMessage="1" prompt="Enter the amount that will be needed to settle on the new property" sqref="K50" xr:uid="{00000000-0002-0000-0600-000006000000}">
      <formula1>0</formula1>
    </dataValidation>
    <dataValidation type="decimal" operator="greaterThanOrEqual" allowBlank="1" showInputMessage="1" showErrorMessage="1" prompt="Enter the final Assessment Rate (post discount) for the bridging period. This rate should not be below the floor of 5.1%. Note that the discount must have the appropriate authorisation/approval imaged to the loan file." sqref="F53" xr:uid="{00000000-0002-0000-0600-000007000000}">
      <formula1>0</formula1>
    </dataValidation>
    <dataValidation type="decimal" operator="greaterThanOrEqual" allowBlank="1" showInputMessage="1" showErrorMessage="1" prompt="Enter the monthly charges on the bridging debt, if any" sqref="F52" xr:uid="{00000000-0002-0000-0600-000008000000}">
      <formula1>0</formula1>
    </dataValidation>
    <dataValidation type="decimal" operator="greaterThanOrEqual" allowBlank="1" showInputMessage="1" showErrorMessage="1" prompt="Enter the valuation of the replacement property" sqref="F51" xr:uid="{00000000-0002-0000-0600-000009000000}">
      <formula1>0</formula1>
    </dataValidation>
    <dataValidation type="decimal" operator="greaterThanOrEqual" allowBlank="1" showInputMessage="1" showErrorMessage="1" prompt="Enter the valuation of the property to be sold" sqref="F50" xr:uid="{00000000-0002-0000-0600-00000A000000}">
      <formula1>0</formula1>
    </dataValidation>
    <dataValidation allowBlank="1" showInputMessage="1" showErrorMessage="1" prompt="Enter any ongoing annual rent expenses during the post bridging period" sqref="L34" xr:uid="{00000000-0002-0000-0600-00000B000000}"/>
    <dataValidation allowBlank="1" showInputMessage="1" showErrorMessage="1" prompt="Enter any ongoing annual rent expenses during the bridging period" sqref="K34" xr:uid="{00000000-0002-0000-0600-00000C000000}"/>
    <dataValidation allowBlank="1" showInputMessage="1" showErrorMessage="1" prompt="Enter the name of applicant 2" sqref="J4:K4" xr:uid="{00000000-0002-0000-0600-00000D000000}"/>
    <dataValidation type="whole" operator="greaterThanOrEqual" allowBlank="1" showInputMessage="1" showErrorMessage="1" prompt="Enter the number of children aged under 18 residing in household 2." sqref="J10" xr:uid="{00000000-0002-0000-0600-00000E000000}">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2." sqref="J9" xr:uid="{00000000-0002-0000-0600-00000F000000}">
      <formula1>0</formula1>
    </dataValidation>
    <dataValidation type="list" allowBlank="1" showInputMessage="1" showErrorMessage="1" prompt="To continue paying as normal select &quot;No&quot;._x000a_To repay using your own funds select &quot;With my funds&quot;._x000a_To repay by adding to bridging debt select &quot;Add to bridging&quot;._x000a_To repay after bridging period select &quot;After bridging&quot;." sqref="E39:E45" xr:uid="{00000000-0002-0000-0600-000010000000}">
      <formula1>"No,With my funds,Add to bridging,After bridging"</formula1>
    </dataValidation>
    <dataValidation type="whole" operator="greaterThanOrEqual" allowBlank="1" showInputMessage="1" showErrorMessage="1" prompt="Enter the number of children aged under 18 residing in household 3." sqref="K10" xr:uid="{00000000-0002-0000-0600-000011000000}">
      <formula1>0</formula1>
    </dataValidation>
    <dataValidation type="whole" operator="greaterThanOrEqual" allowBlank="1" showInputMessage="1" showErrorMessage="1" prompt="Enter the number of children aged under 18 residing in household 1." sqref="I10" xr:uid="{00000000-0002-0000-0600-000012000000}">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3." sqref="K9" xr:uid="{00000000-0002-0000-0600-000013000000}">
      <formula1>0</formula1>
    </dataValidation>
    <dataValidation type="decimal" operator="greaterThanOrEqual" allowBlank="1" showInputMessage="1" showErrorMessage="1" prompt="Insert the current interest rate. " sqref="I39:I45" xr:uid="{00000000-0002-0000-0600-000014000000}">
      <formula1>0</formula1>
    </dataValidation>
    <dataValidation operator="greaterThanOrEqual" allowBlank="1" showInputMessage="1" showErrorMessage="1" prompt="Enter the balloon / residual if any" sqref="L46" xr:uid="{00000000-0002-0000-0600-000015000000}"/>
    <dataValidation allowBlank="1" showInputMessage="1" showErrorMessage="1" prompt="Enter the name of applicant 1" sqref="F4:G4" xr:uid="{00000000-0002-0000-0600-000016000000}"/>
    <dataValidation type="decimal" operator="greaterThanOrEqual" allowBlank="1" showInputMessage="1" showErrorMessage="1" error="You must enter a positive number." prompt="Any other taxable income earned by applicant 2" sqref="H24" xr:uid="{00000000-0002-0000-0600-000017000000}">
      <formula1>0</formula1>
    </dataValidation>
    <dataValidation type="whole" operator="greaterThanOrEqual" allowBlank="1" showInputMessage="1" showErrorMessage="1" prompt="Enter the number of children aged under 18 residing in household 4." sqref="L10" xr:uid="{00000000-0002-0000-0600-000018000000}">
      <formula1>0</formula1>
    </dataValidation>
    <dataValidation type="decimal" operator="greaterThanOrEqual" allowBlank="1" showInputMessage="1" showErrorMessage="1" error="You must enter a positive number." prompt="Pensions received by applicant 2" sqref="H23" xr:uid="{00000000-0002-0000-0600-000019000000}">
      <formula1>0</formula1>
    </dataValidation>
    <dataValidation type="decimal" operator="greaterThanOrEqual" allowBlank="1" showInputMessage="1" showErrorMessage="1" error="You must enter a positive number." prompt="Investment income received by applicant 2" sqref="H22" xr:uid="{00000000-0002-0000-0600-00001A000000}">
      <formula1>0</formula1>
    </dataValidation>
    <dataValidation type="decimal" operator="greaterThanOrEqual" allowBlank="1" showInputMessage="1" showErrorMessage="1" error="You must enter a positive number." prompt="Gross overtime earned by applicant 2" sqref="H18" xr:uid="{00000000-0002-0000-0600-00001B000000}">
      <formula1>0</formula1>
    </dataValidation>
    <dataValidation type="decimal" operator="greaterThanOrEqual" allowBlank="1" showInputMessage="1" showErrorMessage="1" error="You must enter a positive number." prompt="Investment income received by applicant 1" sqref="F22" xr:uid="{00000000-0002-0000-0600-00001C000000}">
      <formula1>0</formula1>
    </dataValidation>
    <dataValidation type="decimal" operator="greaterThanOrEqual" allowBlank="1" showInputMessage="1" showErrorMessage="1" error="You must enter a positive number." prompt="Pensions received by applicant 1" sqref="F23" xr:uid="{00000000-0002-0000-0600-00001D000000}">
      <formula1>0</formula1>
    </dataValidation>
    <dataValidation type="decimal" operator="greaterThanOrEqual" allowBlank="1" showInputMessage="1" showErrorMessage="1" error="You must enter a positive number." prompt="Any other taxable income earned by applicant 1" sqref="F24" xr:uid="{00000000-0002-0000-0600-00001E000000}">
      <formula1>0</formula1>
    </dataValidation>
    <dataValidation type="decimal" operator="greaterThanOrEqual" allowBlank="1" showInputMessage="1" showErrorMessage="1" error="You must enter a positive number." prompt="Gross overtime earned by applicant 1" sqref="F18" xr:uid="{00000000-0002-0000-0600-00001F000000}">
      <formula1>0</formula1>
    </dataValidation>
    <dataValidation type="decimal" operator="greaterThanOrEqual" allowBlank="1" showInputMessage="1" showErrorMessage="1" prompt="Include income that is not subject to tax eg Family Allowance" sqref="F30 H30" xr:uid="{00000000-0002-0000-0600-000020000000}">
      <formula1>0</formula1>
    </dataValidation>
    <dataValidation allowBlank="1" showInputMessage="1" showErrorMessage="1" prompt="Click on the calculator icon to enter self employed income" sqref="F25:I25" xr:uid="{00000000-0002-0000-0600-000021000000}"/>
    <dataValidation type="decimal" operator="greaterThanOrEqual" allowBlank="1" showInputMessage="1" showErrorMessage="1" prompt="Insert the monthly repayments if applicable" sqref="J39:J45" xr:uid="{00000000-0002-0000-0600-000022000000}">
      <formula1>0</formula1>
    </dataValidation>
    <dataValidation type="decimal" operator="greaterThanOrEqual" allowBlank="1" showInputMessage="1" showErrorMessage="1" prompt="Enter the current balance for this liability." sqref="F39:F45" xr:uid="{00000000-0002-0000-0600-000023000000}">
      <formula1>0</formula1>
    </dataValidation>
    <dataValidation allowBlank="1" showInputMessage="1" showErrorMessage="1" prompt="e.g. If two joint applicants reside in separate properties then the answer is 2.  If they reside in the same property, then the answer is 1.  If they reside in the same property and have 1 or more holiday houses, then the answer is 1." sqref="I6" xr:uid="{00000000-0002-0000-0600-000024000000}"/>
    <dataValidation allowBlank="1" showInputMessage="1" showErrorMessage="1" prompt="Do not include applicant's investment properties from which they currently earn an income or properties that they are currently paying rent on.  If applicant's have a principal residence and holiday home that does not generate an income the answer is 2." sqref="I7" xr:uid="{00000000-0002-0000-0600-000025000000}"/>
    <dataValidation type="whole" operator="greaterThan" allowBlank="1" showInputMessage="1" showErrorMessage="1" error="There must be at least one adult residing in each household.  Enter a positive number." prompt="Enter the number of adults aged 18 or more residing in household 4." sqref="L9" xr:uid="{00000000-0002-0000-0600-000026000000}">
      <formula1>0</formula1>
    </dataValidation>
    <dataValidation type="whole" operator="greaterThan" allowBlank="1" showInputMessage="1" showErrorMessage="1" error="There must be at least one adult residing in each household.  Enter a positive number." prompt="Enter the number of adults aged 18 or more residing in household 1." sqref="I9" xr:uid="{00000000-0002-0000-0600-000027000000}">
      <formula1>0</formula1>
    </dataValidation>
    <dataValidation type="list" allowBlank="1" showInputMessage="1" showErrorMessage="1" prompt="Is this product tax deductible?" sqref="D65:D70" xr:uid="{00000000-0002-0000-0600-000028000000}">
      <formula1>Boolean</formula1>
    </dataValidation>
    <dataValidation type="decimal" operator="greaterThanOrEqual" allowBlank="1" showInputMessage="1" showErrorMessage="1" prompt="Enter the loan amount or the limit whichever is applicable." sqref="E65:E70" xr:uid="{00000000-0002-0000-0600-000029000000}">
      <formula1>0</formula1>
    </dataValidation>
    <dataValidation type="list" allowBlank="1" showInputMessage="1" showErrorMessage="1" prompt="Select a product for the residual loan" sqref="B65:B70" xr:uid="{00000000-0002-0000-0600-00002A000000}">
      <formula1>Base_products</formula1>
    </dataValidation>
    <dataValidation type="list" allowBlank="1" showInputMessage="1" showErrorMessage="1" prompt="Select the loan type" sqref="C39:C45 C65:C70" xr:uid="{00000000-0002-0000-0600-00002B000000}">
      <formula1>Loan_type</formula1>
    </dataValidation>
    <dataValidation type="list" allowBlank="1" showInputMessage="1" showErrorMessage="1" prompt="Is this product tax deductible" sqref="D39:D45" xr:uid="{00000000-0002-0000-0600-00002C000000}">
      <formula1>Boolean</formula1>
    </dataValidation>
    <dataValidation type="list" allowBlank="1" showInputMessage="1" showErrorMessage="1" prompt="Select the product you are already committed to" sqref="B39:B45" xr:uid="{00000000-0002-0000-0600-00002D000000}">
      <formula1>Products</formula1>
    </dataValidation>
    <dataValidation type="whole" operator="lessThanOrEqual" showInputMessage="1" showErrorMessage="1" error="This is restricted to a number up to: 30 years for a home loan and 30 years for an investment home loan." prompt="Enter the loan term" sqref="I65:I70" xr:uid="{00000000-0002-0000-0600-00002E000000}">
      <formula1>VLOOKUP(B65,Limits,2,0)</formula1>
    </dataValidation>
    <dataValidation type="whole" operator="greaterThan" allowBlank="1" showInputMessage="1" showErrorMessage="1" error="You must enter a whole number greater than 0." promptTitle="Monthly Living Expenses" prompt="the $ amount needed to maintain a reasonable standard of living, e.g Housing/Property Expenses, Food, Clothing, Personal Care, Medical, Health, Fitness, Insurance, Transport/Auto, Travel, Entertainment, Children, Pets, Education, Communication, and Other." sqref="I11:L11" xr:uid="{00000000-0002-0000-0600-00002F000000}">
      <formula1>0</formula1>
    </dataValidation>
    <dataValidation type="decimal" operator="greaterThanOrEqual" allowBlank="1" showInputMessage="1" showErrorMessage="1" error="You must enter a positive number." prompt="Gross wages or salary earned by applicant 1" sqref="F17" xr:uid="{00000000-0002-0000-0600-000030000000}">
      <formula1>0</formula1>
    </dataValidation>
    <dataValidation type="decimal" operator="greaterThanOrEqual" allowBlank="1" showInputMessage="1" showErrorMessage="1" error="You must enter a positive number." prompt="Gross wages or salary earned by applicant 2" sqref="H17" xr:uid="{00000000-0002-0000-0600-000031000000}">
      <formula1>0</formula1>
    </dataValidation>
    <dataValidation type="decimal" operator="lessThanOrEqual" allowBlank="1" showErrorMessage="1" error="You must enter a positive number.  Discounts are not permitted on Base Variable or Credit Cards." prompt="Any non-standard discount must have the appropriate authorisation/approval imaged to the loan file." sqref="H65:H70" xr:uid="{00000000-0002-0000-0600-000032000000}">
      <formula1>IF(OR(B65="Base Variable (incl 3yr Special)",B65="Credit Card"),0,1)</formula1>
    </dataValidation>
    <dataValidation type="whole" operator="lessThanOrEqual" showInputMessage="1" showErrorMessage="1" error="Enter the interest only period. This is restricted to a number up to 5 years for a Home Loan and Investment Home Loan. Interest only is not permitted for a Line of Credit." prompt="Enter the interest only period." sqref="J65:J70" xr:uid="{00000000-0002-0000-0600-000033000000}">
      <formula1>VLOOKUP(B65,Limits,3,0)</formula1>
    </dataValidation>
    <dataValidation allowBlank="1" showInputMessage="1" showErrorMessage="1" prompt="Click on the calculator icon to enter rental income" sqref="F20:I21" xr:uid="{00000000-0002-0000-0600-000034000000}"/>
    <dataValidation type="whole" showInputMessage="1" showErrorMessage="1" error="This is restricted to a number  up to: 30 years for a Home Loan, 30 years for an Investment Home Loan, 7 years for a Personal Loan, 5 years for a Hire or Lease, and 30 years for other loans." prompt="For HL/IHL enter the P&amp;I remaining term in years. For Line of Credit insert the term to retirement." sqref="H39:H45" xr:uid="{00000000-0002-0000-0600-000035000000}">
      <formula1>0</formula1>
      <formula2>VLOOKUP(B39,Table,2,0)</formula2>
    </dataValidation>
    <dataValidation type="list" allowBlank="1" showInputMessage="1" showErrorMessage="1" sqref="F16 H16" xr:uid="{00000000-0002-0000-0600-000036000000}">
      <formula1>"Household 1,Household 2,Household 3,Household 4"</formula1>
    </dataValidation>
    <dataValidation type="decimal" operator="greaterThanOrEqual" allowBlank="1" showInputMessage="1" showErrorMessage="1" prompt="Enter the limit for this liability. For HL/IHL, this is the balance + redraw + undrawn balance." sqref="G39:G45" xr:uid="{00000000-0002-0000-0600-000037000000}">
      <formula1>0</formula1>
    </dataValidation>
    <dataValidation type="list" allowBlank="1" showInputMessage="1" showErrorMessage="1" prompt="Select the repayment" sqref="U51:U56" xr:uid="{00000000-0002-0000-0600-000038000000}">
      <formula1>AH$54:AH$56</formula1>
    </dataValidation>
    <dataValidation type="list" allowBlank="1" showInputMessage="1" showErrorMessage="1" prompt="Select the repayment" sqref="U50" xr:uid="{00000000-0002-0000-0600-00003A000000}">
      <formula1>"IO,PI"</formula1>
    </dataValidation>
    <dataValidation type="decimal" operator="greaterThanOrEqual" allowBlank="1" showInputMessage="1" showErrorMessage="1" error="You must enter a positive number." prompt="Enter the final Assessment Rate (headline assessment rate less discount) applicable for this product. Note that this rate should not be below the floor of 5.1%. The headline assessment rates are available on CommBroker." sqref="F65:F70" xr:uid="{00000000-0002-0000-0600-00003B000000}">
      <formula1>0</formula1>
    </dataValidation>
  </dataValidations>
  <pageMargins left="0.19685039370078741" right="0.19685039370078741" top="0.19685039370078741" bottom="0.19685039370078741" header="0.31496062992125984" footer="0.31496062992125984"/>
  <pageSetup paperSize="9" scale="37"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3313" r:id="rId4">
          <objectPr defaultSize="0" print="0" macro="[0]!cmdBridgingSelf" r:id="rId5">
            <anchor moveWithCells="1">
              <from>
                <xdr:col>9</xdr:col>
                <xdr:colOff>63500</xdr:colOff>
                <xdr:row>24</xdr:row>
                <xdr:rowOff>25400</xdr:rowOff>
              </from>
              <to>
                <xdr:col>9</xdr:col>
                <xdr:colOff>292100</xdr:colOff>
                <xdr:row>25</xdr:row>
                <xdr:rowOff>38100</xdr:rowOff>
              </to>
            </anchor>
          </objectPr>
        </oleObject>
      </mc:Choice>
      <mc:Fallback>
        <oleObject progId="MSPhotoEd.3" shapeId="13313" r:id="rId4"/>
      </mc:Fallback>
    </mc:AlternateContent>
    <mc:AlternateContent xmlns:mc="http://schemas.openxmlformats.org/markup-compatibility/2006">
      <mc:Choice Requires="x14">
        <oleObject progId="MSPhotoEd.3" shapeId="13324" r:id="rId6">
          <objectPr defaultSize="0" autoPict="0" r:id="rId7">
            <anchor moveWithCells="1">
              <from>
                <xdr:col>10</xdr:col>
                <xdr:colOff>114300</xdr:colOff>
                <xdr:row>1</xdr:row>
                <xdr:rowOff>12700</xdr:rowOff>
              </from>
              <to>
                <xdr:col>11</xdr:col>
                <xdr:colOff>1054100</xdr:colOff>
                <xdr:row>2</xdr:row>
                <xdr:rowOff>63500</xdr:rowOff>
              </to>
            </anchor>
          </objectPr>
        </oleObject>
      </mc:Choice>
      <mc:Fallback>
        <oleObject progId="MSPhotoEd.3" shapeId="13324" r:id="rId6"/>
      </mc:Fallback>
    </mc:AlternateContent>
    <mc:AlternateContent xmlns:mc="http://schemas.openxmlformats.org/markup-compatibility/2006">
      <mc:Choice Requires="x14">
        <oleObject progId="MSPhotoEd.3" shapeId="13325" r:id="rId8">
          <objectPr defaultSize="0" print="0" macro="[0]!cmdBridgingSelf" r:id="rId5">
            <anchor moveWithCells="1">
              <from>
                <xdr:col>4</xdr:col>
                <xdr:colOff>533400</xdr:colOff>
                <xdr:row>24</xdr:row>
                <xdr:rowOff>25400</xdr:rowOff>
              </from>
              <to>
                <xdr:col>4</xdr:col>
                <xdr:colOff>762000</xdr:colOff>
                <xdr:row>25</xdr:row>
                <xdr:rowOff>38100</xdr:rowOff>
              </to>
            </anchor>
          </objectPr>
        </oleObject>
      </mc:Choice>
      <mc:Fallback>
        <oleObject progId="MSPhotoEd.3" shapeId="13325" r:id="rId8"/>
      </mc:Fallback>
    </mc:AlternateContent>
    <mc:AlternateContent xmlns:mc="http://schemas.openxmlformats.org/markup-compatibility/2006">
      <mc:Choice Requires="x14">
        <oleObject progId="MSPhotoEd.3" shapeId="13326" r:id="rId9">
          <objectPr defaultSize="0" print="0" macro="[0]!cmdBridgingRentalYield" r:id="rId5">
            <anchor moveWithCells="1">
              <from>
                <xdr:col>4</xdr:col>
                <xdr:colOff>533400</xdr:colOff>
                <xdr:row>19</xdr:row>
                <xdr:rowOff>76200</xdr:rowOff>
              </from>
              <to>
                <xdr:col>4</xdr:col>
                <xdr:colOff>762000</xdr:colOff>
                <xdr:row>20</xdr:row>
                <xdr:rowOff>88900</xdr:rowOff>
              </to>
            </anchor>
          </objectPr>
        </oleObject>
      </mc:Choice>
      <mc:Fallback>
        <oleObject progId="MSPhotoEd.3" shapeId="13326" r:id="rId9"/>
      </mc:Fallback>
    </mc:AlternateContent>
    <mc:AlternateContent xmlns:mc="http://schemas.openxmlformats.org/markup-compatibility/2006">
      <mc:Choice Requires="x14">
        <oleObject progId="MSPhotoEd.3" shapeId="13327" r:id="rId10">
          <objectPr defaultSize="0" print="0" macro="[0]!cmdBridgingRentalYield" r:id="rId5">
            <anchor moveWithCells="1">
              <from>
                <xdr:col>9</xdr:col>
                <xdr:colOff>63500</xdr:colOff>
                <xdr:row>19</xdr:row>
                <xdr:rowOff>76200</xdr:rowOff>
              </from>
              <to>
                <xdr:col>9</xdr:col>
                <xdr:colOff>292100</xdr:colOff>
                <xdr:row>20</xdr:row>
                <xdr:rowOff>88900</xdr:rowOff>
              </to>
            </anchor>
          </objectPr>
        </oleObject>
      </mc:Choice>
      <mc:Fallback>
        <oleObject progId="MSPhotoEd.3" shapeId="13327" r:id="rId10"/>
      </mc:Fallback>
    </mc:AlternateContent>
  </oleObjects>
  <mc:AlternateContent xmlns:mc="http://schemas.openxmlformats.org/markup-compatibility/2006">
    <mc:Choice Requires="x14">
      <controls>
        <mc:AlternateContent xmlns:mc="http://schemas.openxmlformats.org/markup-compatibility/2006">
          <mc:Choice Requires="x14">
            <control shapeId="13314" r:id="rId11" name="Button 2">
              <controlPr defaultSize="0" print="0" autoFill="0" autoPict="0" macro="[0]!cmdBridgingNegGearing">
                <anchor moveWithCells="1">
                  <from>
                    <xdr:col>10</xdr:col>
                    <xdr:colOff>990600</xdr:colOff>
                    <xdr:row>46</xdr:row>
                    <xdr:rowOff>76200</xdr:rowOff>
                  </from>
                  <to>
                    <xdr:col>12</xdr:col>
                    <xdr:colOff>0</xdr:colOff>
                    <xdr:row>46</xdr:row>
                    <xdr:rowOff>355600</xdr:rowOff>
                  </to>
                </anchor>
              </controlPr>
            </control>
          </mc:Choice>
        </mc:AlternateContent>
        <mc:AlternateContent xmlns:mc="http://schemas.openxmlformats.org/markup-compatibility/2006">
          <mc:Choice Requires="x14">
            <control shapeId="13316" r:id="rId12" name="Button 4">
              <controlPr defaultSize="0" print="0" autoFill="0" autoPict="0" macro="[0]!cmdClearBridging">
                <anchor moveWithCells="1" sizeWithCells="1">
                  <from>
                    <xdr:col>1</xdr:col>
                    <xdr:colOff>12700</xdr:colOff>
                    <xdr:row>2</xdr:row>
                    <xdr:rowOff>139700</xdr:rowOff>
                  </from>
                  <to>
                    <xdr:col>1</xdr:col>
                    <xdr:colOff>850900</xdr:colOff>
                    <xdr:row>4</xdr:row>
                    <xdr:rowOff>0</xdr:rowOff>
                  </to>
                </anchor>
              </controlPr>
            </control>
          </mc:Choice>
        </mc:AlternateContent>
        <mc:AlternateContent xmlns:mc="http://schemas.openxmlformats.org/markup-compatibility/2006">
          <mc:Choice Requires="x14">
            <control shapeId="13317" r:id="rId13" name="Button 5">
              <controlPr defaultSize="0" print="0" autoFill="0" autoPict="0" macro="[0]!cmdBridgingPrint">
                <anchor moveWithCells="1" sizeWithCells="1">
                  <from>
                    <xdr:col>11</xdr:col>
                    <xdr:colOff>215900</xdr:colOff>
                    <xdr:row>2</xdr:row>
                    <xdr:rowOff>215900</xdr:rowOff>
                  </from>
                  <to>
                    <xdr:col>11</xdr:col>
                    <xdr:colOff>1054100</xdr:colOff>
                    <xdr:row>4</xdr:row>
                    <xdr:rowOff>63500</xdr:rowOff>
                  </to>
                </anchor>
              </controlPr>
            </control>
          </mc:Choice>
        </mc:AlternateContent>
        <mc:AlternateContent xmlns:mc="http://schemas.openxmlformats.org/markup-compatibility/2006">
          <mc:Choice Requires="x14">
            <control shapeId="13318" r:id="rId14" name="Button 6">
              <controlPr defaultSize="0" print="0" autoFill="0" autoPict="0" macro="[0]!cmdMenu">
                <anchor moveWithCells="1" sizeWithCells="1">
                  <from>
                    <xdr:col>1</xdr:col>
                    <xdr:colOff>1041400</xdr:colOff>
                    <xdr:row>2</xdr:row>
                    <xdr:rowOff>139700</xdr:rowOff>
                  </from>
                  <to>
                    <xdr:col>1</xdr:col>
                    <xdr:colOff>1828800</xdr:colOff>
                    <xdr:row>4</xdr:row>
                    <xdr:rowOff>0</xdr:rowOff>
                  </to>
                </anchor>
              </controlPr>
            </control>
          </mc:Choice>
        </mc:AlternateContent>
        <mc:AlternateContent xmlns:mc="http://schemas.openxmlformats.org/markup-compatibility/2006">
          <mc:Choice Requires="x14">
            <control shapeId="13319" r:id="rId15" name="Button 7">
              <controlPr defaultSize="0" print="0" autoFill="0" autoPict="0" macro="[0]!cmdClearBridging">
                <anchor moveWithCells="1" sizeWithCells="1">
                  <from>
                    <xdr:col>1</xdr:col>
                    <xdr:colOff>0</xdr:colOff>
                    <xdr:row>77</xdr:row>
                    <xdr:rowOff>101600</xdr:rowOff>
                  </from>
                  <to>
                    <xdr:col>1</xdr:col>
                    <xdr:colOff>838200</xdr:colOff>
                    <xdr:row>79</xdr:row>
                    <xdr:rowOff>76200</xdr:rowOff>
                  </to>
                </anchor>
              </controlPr>
            </control>
          </mc:Choice>
        </mc:AlternateContent>
        <mc:AlternateContent xmlns:mc="http://schemas.openxmlformats.org/markup-compatibility/2006">
          <mc:Choice Requires="x14">
            <control shapeId="13320" r:id="rId16" name="Button 8">
              <controlPr defaultSize="0" print="0" autoFill="0" autoPict="0" macro="[0]!cmdBridgingPrint">
                <anchor moveWithCells="1" sizeWithCells="1">
                  <from>
                    <xdr:col>3</xdr:col>
                    <xdr:colOff>12700</xdr:colOff>
                    <xdr:row>77</xdr:row>
                    <xdr:rowOff>101600</xdr:rowOff>
                  </from>
                  <to>
                    <xdr:col>3</xdr:col>
                    <xdr:colOff>850900</xdr:colOff>
                    <xdr:row>79</xdr:row>
                    <xdr:rowOff>76200</xdr:rowOff>
                  </to>
                </anchor>
              </controlPr>
            </control>
          </mc:Choice>
        </mc:AlternateContent>
        <mc:AlternateContent xmlns:mc="http://schemas.openxmlformats.org/markup-compatibility/2006">
          <mc:Choice Requires="x14">
            <control shapeId="13321" r:id="rId17" name="Button 9">
              <controlPr defaultSize="0" print="0" autoFill="0" autoPict="0" macro="[0]!cmdMenu">
                <anchor moveWithCells="1" sizeWithCells="1">
                  <from>
                    <xdr:col>1</xdr:col>
                    <xdr:colOff>952500</xdr:colOff>
                    <xdr:row>77</xdr:row>
                    <xdr:rowOff>101600</xdr:rowOff>
                  </from>
                  <to>
                    <xdr:col>1</xdr:col>
                    <xdr:colOff>1790700</xdr:colOff>
                    <xdr:row>79</xdr:row>
                    <xdr:rowOff>76200</xdr:rowOff>
                  </to>
                </anchor>
              </controlPr>
            </control>
          </mc:Choice>
        </mc:AlternateContent>
        <mc:AlternateContent xmlns:mc="http://schemas.openxmlformats.org/markup-compatibility/2006">
          <mc:Choice Requires="x14">
            <control shapeId="13322" r:id="rId18" name="Button 10">
              <controlPr defaultSize="0" print="0" autoFill="0" autoPict="0" macro="[0]!cmdBridgingNegGearing">
                <anchor moveWithCells="1">
                  <from>
                    <xdr:col>6</xdr:col>
                    <xdr:colOff>12700</xdr:colOff>
                    <xdr:row>70</xdr:row>
                    <xdr:rowOff>63500</xdr:rowOff>
                  </from>
                  <to>
                    <xdr:col>7</xdr:col>
                    <xdr:colOff>215900</xdr:colOff>
                    <xdr:row>71</xdr:row>
                    <xdr:rowOff>165100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pageSetUpPr fitToPage="1"/>
  </sheetPr>
  <dimension ref="A1:I45"/>
  <sheetViews>
    <sheetView showGridLines="0" showRowColHeaders="0" workbookViewId="0"/>
  </sheetViews>
  <sheetFormatPr baseColWidth="10" defaultColWidth="8.83203125" defaultRowHeight="13" x14ac:dyDescent="0.15"/>
  <cols>
    <col min="1" max="1" width="1.6640625" customWidth="1"/>
    <col min="2" max="2" width="50.83203125" customWidth="1"/>
    <col min="3" max="3" width="17.1640625" customWidth="1"/>
    <col min="4" max="4" width="3.6640625" customWidth="1"/>
    <col min="5" max="5" width="17.1640625" customWidth="1"/>
    <col min="6" max="6" width="3.6640625" customWidth="1"/>
    <col min="7" max="7" width="17.1640625" customWidth="1"/>
    <col min="8" max="8" width="1.5" customWidth="1"/>
  </cols>
  <sheetData>
    <row r="1" spans="1:9" ht="20.25" customHeight="1" thickBot="1" x14ac:dyDescent="0.2">
      <c r="A1" s="81"/>
      <c r="B1" s="82"/>
      <c r="C1" s="82"/>
      <c r="D1" s="82"/>
      <c r="E1" s="82"/>
      <c r="F1" s="82"/>
      <c r="G1" s="82"/>
      <c r="H1" s="83"/>
      <c r="I1" s="1"/>
    </row>
    <row r="2" spans="1:9" s="74" customFormat="1" ht="24" customHeight="1" thickBot="1" x14ac:dyDescent="0.2">
      <c r="A2" s="87"/>
      <c r="B2" s="88" t="s">
        <v>107</v>
      </c>
      <c r="C2" s="403"/>
      <c r="D2" s="90"/>
      <c r="E2" s="70"/>
      <c r="F2" s="70"/>
      <c r="G2" s="70"/>
      <c r="H2" s="72"/>
      <c r="I2" s="73"/>
    </row>
    <row r="3" spans="1:9" x14ac:dyDescent="0.15">
      <c r="A3" s="84"/>
      <c r="B3" s="85"/>
      <c r="C3" s="85"/>
      <c r="D3" s="85"/>
      <c r="E3" s="85"/>
      <c r="F3" s="85"/>
      <c r="G3" s="85"/>
      <c r="H3" s="86"/>
      <c r="I3" s="1"/>
    </row>
    <row r="4" spans="1:9" s="74" customFormat="1" ht="23.25" customHeight="1" x14ac:dyDescent="0.15">
      <c r="A4" s="87"/>
      <c r="B4" s="36" t="s">
        <v>108</v>
      </c>
      <c r="C4" s="91"/>
      <c r="D4" s="91"/>
      <c r="E4" s="91"/>
      <c r="F4" s="63"/>
      <c r="G4" s="66"/>
      <c r="H4" s="72"/>
      <c r="I4" s="73"/>
    </row>
    <row r="5" spans="1:9" x14ac:dyDescent="0.15">
      <c r="A5" s="84"/>
      <c r="B5" s="85"/>
      <c r="C5" s="85"/>
      <c r="D5" s="85"/>
      <c r="E5" s="85"/>
      <c r="F5" s="85"/>
      <c r="G5" s="85"/>
      <c r="H5" s="86"/>
      <c r="I5" s="1"/>
    </row>
    <row r="6" spans="1:9" x14ac:dyDescent="0.15">
      <c r="A6" s="84"/>
      <c r="B6" s="85"/>
      <c r="C6" s="92" t="s">
        <v>109</v>
      </c>
      <c r="D6" s="92"/>
      <c r="E6" s="92" t="s">
        <v>110</v>
      </c>
      <c r="F6" s="85"/>
      <c r="G6" s="85"/>
      <c r="H6" s="86"/>
      <c r="I6" s="1"/>
    </row>
    <row r="7" spans="1:9" x14ac:dyDescent="0.15">
      <c r="A7" s="84"/>
      <c r="B7" s="404" t="s">
        <v>111</v>
      </c>
      <c r="C7" s="651"/>
      <c r="D7" s="85"/>
      <c r="E7" s="405"/>
      <c r="F7" s="85"/>
      <c r="G7" s="406"/>
      <c r="H7" s="86"/>
      <c r="I7" s="1"/>
    </row>
    <row r="8" spans="1:9" x14ac:dyDescent="0.15">
      <c r="A8" s="98"/>
      <c r="B8" s="407" t="s">
        <v>112</v>
      </c>
      <c r="C8" s="405"/>
      <c r="D8" s="99"/>
      <c r="E8" s="405"/>
      <c r="F8" s="99"/>
      <c r="G8" s="102" t="str">
        <f>IF(AND(C8&gt;0,E8&gt;0),IF(C8=E8,"Average","Extrapolated Average"),"Average")</f>
        <v>Average</v>
      </c>
      <c r="H8" s="104"/>
      <c r="I8" s="1"/>
    </row>
    <row r="9" spans="1:9" x14ac:dyDescent="0.15">
      <c r="A9" s="84"/>
      <c r="B9" s="408" t="s">
        <v>274</v>
      </c>
      <c r="C9" s="409"/>
      <c r="D9" s="85"/>
      <c r="E9" s="409"/>
      <c r="F9" s="85"/>
      <c r="G9" s="410">
        <f>IF(AND($C$10,$E$10),(C9/$C$8+E9/$E$8)/2*12,IF($C$10,C9,IF($E$10,E9,0)))</f>
        <v>0</v>
      </c>
      <c r="H9" s="86"/>
      <c r="I9" s="1"/>
    </row>
    <row r="10" spans="1:9" x14ac:dyDescent="0.15">
      <c r="A10" s="84"/>
      <c r="B10" s="85"/>
      <c r="C10" s="411" t="b">
        <f>AND(C7&lt;&gt;"",C8&lt;&gt;"",C9&lt;&gt;"")</f>
        <v>0</v>
      </c>
      <c r="D10" s="85"/>
      <c r="E10" s="411" t="b">
        <f>AND(E7&lt;&gt;"",E8&lt;&gt;"",E9&lt;&gt;"")</f>
        <v>0</v>
      </c>
      <c r="F10" s="85"/>
      <c r="G10" s="85"/>
      <c r="H10" s="86"/>
      <c r="I10" s="1"/>
    </row>
    <row r="11" spans="1:9" x14ac:dyDescent="0.15">
      <c r="A11" s="84"/>
      <c r="B11" s="105" t="s">
        <v>115</v>
      </c>
      <c r="C11" s="411" t="b">
        <f>AND(C7="",C8="",C9="",C12="",C13="",C14="",C15="",C16="",C17="")</f>
        <v>1</v>
      </c>
      <c r="D11" s="85"/>
      <c r="E11" s="411" t="b">
        <f>AND(E7="",E8="",E9="",E12="",E13="",E14="",E15="",E16="",E17="")</f>
        <v>1</v>
      </c>
      <c r="F11" s="85"/>
      <c r="G11" s="85"/>
      <c r="H11" s="86"/>
      <c r="I11" s="1"/>
    </row>
    <row r="12" spans="1:9" x14ac:dyDescent="0.15">
      <c r="A12" s="84"/>
      <c r="B12" s="85" t="s">
        <v>275</v>
      </c>
      <c r="C12" s="412"/>
      <c r="D12" s="413"/>
      <c r="E12" s="412"/>
      <c r="F12" s="85"/>
      <c r="G12" s="414">
        <f>IF(AND($C$10,$E$10),(C12/$C$8+E12/$E$8)/2*12,IF($C$10,C12,IF($E$10,E12,0)))</f>
        <v>0</v>
      </c>
      <c r="H12" s="86"/>
      <c r="I12" s="1"/>
    </row>
    <row r="13" spans="1:9" x14ac:dyDescent="0.15">
      <c r="A13" s="84"/>
      <c r="B13" s="85" t="s">
        <v>276</v>
      </c>
      <c r="C13" s="412"/>
      <c r="D13" s="413"/>
      <c r="E13" s="412"/>
      <c r="F13" s="85"/>
      <c r="G13" s="414">
        <f t="shared" ref="G13:G18" si="0">IF(AND($C$10,$E$10),(C13/$C$8+E13/$E$8)/2*12,IF($C$10,C13,IF($E$10,E13,0)))</f>
        <v>0</v>
      </c>
      <c r="H13" s="86"/>
      <c r="I13" s="1"/>
    </row>
    <row r="14" spans="1:9" x14ac:dyDescent="0.15">
      <c r="A14" s="84"/>
      <c r="B14" s="85" t="s">
        <v>277</v>
      </c>
      <c r="C14" s="415"/>
      <c r="D14" s="85"/>
      <c r="E14" s="415"/>
      <c r="F14" s="85"/>
      <c r="G14" s="414">
        <f t="shared" si="0"/>
        <v>0</v>
      </c>
      <c r="H14" s="86"/>
      <c r="I14" s="1"/>
    </row>
    <row r="15" spans="1:9" x14ac:dyDescent="0.15">
      <c r="A15" s="84"/>
      <c r="B15" s="85" t="s">
        <v>278</v>
      </c>
      <c r="C15" s="412"/>
      <c r="D15" s="413"/>
      <c r="E15" s="412"/>
      <c r="F15" s="85"/>
      <c r="G15" s="414">
        <f t="shared" si="0"/>
        <v>0</v>
      </c>
      <c r="H15" s="86"/>
      <c r="I15" s="1"/>
    </row>
    <row r="16" spans="1:9" x14ac:dyDescent="0.15">
      <c r="A16" s="84"/>
      <c r="B16" s="85" t="s">
        <v>279</v>
      </c>
      <c r="C16" s="412"/>
      <c r="D16" s="413"/>
      <c r="E16" s="412"/>
      <c r="F16" s="85"/>
      <c r="G16" s="414">
        <f t="shared" si="0"/>
        <v>0</v>
      </c>
      <c r="H16" s="86"/>
      <c r="I16" s="1"/>
    </row>
    <row r="17" spans="1:9" x14ac:dyDescent="0.15">
      <c r="A17" s="84"/>
      <c r="B17" s="85" t="s">
        <v>280</v>
      </c>
      <c r="C17" s="416"/>
      <c r="D17" s="413"/>
      <c r="E17" s="416"/>
      <c r="F17" s="85"/>
      <c r="G17" s="414">
        <f t="shared" si="0"/>
        <v>0</v>
      </c>
      <c r="H17" s="86"/>
      <c r="I17" s="1"/>
    </row>
    <row r="18" spans="1:9" x14ac:dyDescent="0.15">
      <c r="A18" s="84"/>
      <c r="B18" s="105" t="s">
        <v>281</v>
      </c>
      <c r="C18" s="417">
        <f>SUM(C12:C17)</f>
        <v>0</v>
      </c>
      <c r="D18" s="85"/>
      <c r="E18" s="417">
        <f>SUM(E12:E17)</f>
        <v>0</v>
      </c>
      <c r="F18" s="85"/>
      <c r="G18" s="418">
        <f t="shared" si="0"/>
        <v>0</v>
      </c>
      <c r="H18" s="86"/>
      <c r="I18" s="1"/>
    </row>
    <row r="19" spans="1:9" ht="14" thickBot="1" x14ac:dyDescent="0.2">
      <c r="A19" s="84"/>
      <c r="B19" s="85"/>
      <c r="C19" s="85"/>
      <c r="D19" s="85"/>
      <c r="E19" s="85"/>
      <c r="F19" s="85"/>
      <c r="G19" s="85"/>
      <c r="H19" s="86"/>
      <c r="I19" s="1"/>
    </row>
    <row r="20" spans="1:9" ht="14" thickBot="1" x14ac:dyDescent="0.2">
      <c r="A20" s="84"/>
      <c r="B20" s="105" t="s">
        <v>124</v>
      </c>
      <c r="C20" s="419">
        <f>C21/12</f>
        <v>0</v>
      </c>
      <c r="D20" s="85"/>
      <c r="E20" s="419">
        <f>E21/12</f>
        <v>0</v>
      </c>
      <c r="F20" s="85"/>
      <c r="G20" s="419">
        <f>G21/12</f>
        <v>0</v>
      </c>
      <c r="H20" s="86"/>
      <c r="I20" s="1"/>
    </row>
    <row r="21" spans="1:9" ht="14" thickBot="1" x14ac:dyDescent="0.2">
      <c r="A21" s="84"/>
      <c r="B21" s="105" t="s">
        <v>125</v>
      </c>
      <c r="C21" s="419">
        <f>IF(C10,((C9+C18)/C8)*12,0)</f>
        <v>0</v>
      </c>
      <c r="D21" s="85"/>
      <c r="E21" s="419">
        <f>IF(E10,((E9+E18)/E8)*12,0)</f>
        <v>0</v>
      </c>
      <c r="F21" s="85"/>
      <c r="G21" s="419">
        <f>IF(AND(C10,E10),(C21+E21)/2,IF(C10,C21,IF(E10,E21,0)))</f>
        <v>0</v>
      </c>
      <c r="H21" s="86"/>
      <c r="I21" s="1"/>
    </row>
    <row r="22" spans="1:9" x14ac:dyDescent="0.15">
      <c r="A22" s="84"/>
      <c r="B22" s="85"/>
      <c r="C22" s="85"/>
      <c r="D22" s="85"/>
      <c r="E22" s="85"/>
      <c r="F22" s="85"/>
      <c r="G22" s="85"/>
      <c r="H22" s="86"/>
      <c r="I22" s="1"/>
    </row>
    <row r="23" spans="1:9" s="74" customFormat="1" ht="24" customHeight="1" x14ac:dyDescent="0.15">
      <c r="A23" s="87"/>
      <c r="B23" s="36" t="s">
        <v>126</v>
      </c>
      <c r="C23" s="63"/>
      <c r="D23" s="63"/>
      <c r="E23" s="63"/>
      <c r="F23" s="63"/>
      <c r="G23" s="63"/>
      <c r="H23" s="72"/>
      <c r="I23" s="73"/>
    </row>
    <row r="24" spans="1:9" x14ac:dyDescent="0.15">
      <c r="A24" s="84"/>
      <c r="B24" s="85"/>
      <c r="C24" s="85"/>
      <c r="D24" s="85"/>
      <c r="E24" s="85"/>
      <c r="F24" s="85"/>
      <c r="G24" s="85"/>
      <c r="H24" s="86"/>
      <c r="I24" s="1"/>
    </row>
    <row r="25" spans="1:9" x14ac:dyDescent="0.15">
      <c r="A25" s="84"/>
      <c r="B25" s="85"/>
      <c r="C25" s="92" t="s">
        <v>109</v>
      </c>
      <c r="D25" s="92"/>
      <c r="E25" s="92" t="s">
        <v>110</v>
      </c>
      <c r="F25" s="85"/>
      <c r="G25" s="85"/>
      <c r="H25" s="86"/>
      <c r="I25" s="1"/>
    </row>
    <row r="26" spans="1:9" x14ac:dyDescent="0.15">
      <c r="A26" s="84"/>
      <c r="B26" s="404" t="s">
        <v>111</v>
      </c>
      <c r="C26" s="405"/>
      <c r="D26" s="85"/>
      <c r="E26" s="405"/>
      <c r="F26" s="85"/>
      <c r="G26" s="406"/>
      <c r="H26" s="86"/>
      <c r="I26" s="1"/>
    </row>
    <row r="27" spans="1:9" x14ac:dyDescent="0.15">
      <c r="A27" s="98"/>
      <c r="B27" s="407" t="s">
        <v>112</v>
      </c>
      <c r="C27" s="405"/>
      <c r="D27" s="99"/>
      <c r="E27" s="405"/>
      <c r="F27" s="99"/>
      <c r="G27" s="102" t="str">
        <f>IF(AND(C27&gt;0,E27&gt;0),IF(C27=E27,"Average","Extrapolated Average"),"Average")</f>
        <v>Average</v>
      </c>
      <c r="H27" s="104"/>
      <c r="I27" s="1"/>
    </row>
    <row r="28" spans="1:9" x14ac:dyDescent="0.15">
      <c r="A28" s="84"/>
      <c r="B28" s="408" t="s">
        <v>274</v>
      </c>
      <c r="C28" s="409"/>
      <c r="D28" s="85"/>
      <c r="E28" s="409"/>
      <c r="F28" s="85"/>
      <c r="G28" s="410">
        <f>IF(AND($C$29,$E$29),(C28/$C$27+E28/$E$27)/2*12,IF($C$29,C28,IF($E$29,E28,0)))</f>
        <v>0</v>
      </c>
      <c r="H28" s="86"/>
      <c r="I28" s="1"/>
    </row>
    <row r="29" spans="1:9" x14ac:dyDescent="0.15">
      <c r="A29" s="84"/>
      <c r="B29" s="85"/>
      <c r="C29" s="411" t="b">
        <f>AND(C26&lt;&gt;"",C27&lt;&gt;"",C28&lt;&gt;"")</f>
        <v>0</v>
      </c>
      <c r="D29" s="85"/>
      <c r="E29" s="411" t="b">
        <f>AND(E26&lt;&gt;"",E27&lt;&gt;"",E28&lt;&gt;"")</f>
        <v>0</v>
      </c>
      <c r="F29" s="85"/>
      <c r="G29" s="85"/>
      <c r="H29" s="86"/>
      <c r="I29" s="1"/>
    </row>
    <row r="30" spans="1:9" x14ac:dyDescent="0.15">
      <c r="A30" s="84"/>
      <c r="B30" s="105" t="s">
        <v>115</v>
      </c>
      <c r="C30" s="411" t="b">
        <f>AND(C26="",C27="",C28="",C31="",C32="",C33="",C34="",C35="",C36="")</f>
        <v>1</v>
      </c>
      <c r="D30" s="85"/>
      <c r="E30" s="411" t="b">
        <f>AND(E26="",E27="",E28="",E31="",E32="",E33="",E34="",E35="",E36="")</f>
        <v>1</v>
      </c>
      <c r="F30" s="85"/>
      <c r="G30" s="85"/>
      <c r="H30" s="86"/>
      <c r="I30" s="1"/>
    </row>
    <row r="31" spans="1:9" x14ac:dyDescent="0.15">
      <c r="A31" s="84"/>
      <c r="B31" s="85" t="s">
        <v>275</v>
      </c>
      <c r="C31" s="412"/>
      <c r="D31" s="413"/>
      <c r="E31" s="412"/>
      <c r="F31" s="85"/>
      <c r="G31" s="410">
        <f>IF(AND($C$29,$E$29),(C31/$C$27+E31/$E$27)/2*12,IF($C$29,C31,IF($E$29,E31,0)))</f>
        <v>0</v>
      </c>
      <c r="H31" s="86"/>
      <c r="I31" s="1"/>
    </row>
    <row r="32" spans="1:9" x14ac:dyDescent="0.15">
      <c r="A32" s="84"/>
      <c r="B32" s="85" t="s">
        <v>276</v>
      </c>
      <c r="C32" s="412"/>
      <c r="D32" s="413"/>
      <c r="E32" s="412"/>
      <c r="F32" s="85"/>
      <c r="G32" s="410">
        <f t="shared" ref="G32:G37" si="1">IF(AND($C$29,$E$29),(C32/$C$27+E32/$E$27)/2*12,IF($C$29,C32,IF($E$29,E32,0)))</f>
        <v>0</v>
      </c>
      <c r="H32" s="86"/>
      <c r="I32" s="1"/>
    </row>
    <row r="33" spans="1:9" x14ac:dyDescent="0.15">
      <c r="A33" s="84"/>
      <c r="B33" s="85" t="s">
        <v>277</v>
      </c>
      <c r="C33" s="415"/>
      <c r="D33" s="85"/>
      <c r="E33" s="415"/>
      <c r="F33" s="85"/>
      <c r="G33" s="410">
        <f t="shared" si="1"/>
        <v>0</v>
      </c>
      <c r="H33" s="86"/>
      <c r="I33" s="1"/>
    </row>
    <row r="34" spans="1:9" x14ac:dyDescent="0.15">
      <c r="A34" s="84"/>
      <c r="B34" s="85" t="s">
        <v>278</v>
      </c>
      <c r="C34" s="412"/>
      <c r="D34" s="413"/>
      <c r="E34" s="412"/>
      <c r="F34" s="85"/>
      <c r="G34" s="410">
        <f t="shared" si="1"/>
        <v>0</v>
      </c>
      <c r="H34" s="86"/>
      <c r="I34" s="1"/>
    </row>
    <row r="35" spans="1:9" x14ac:dyDescent="0.15">
      <c r="A35" s="84"/>
      <c r="B35" s="85" t="s">
        <v>279</v>
      </c>
      <c r="C35" s="412"/>
      <c r="D35" s="413"/>
      <c r="E35" s="412"/>
      <c r="F35" s="85"/>
      <c r="G35" s="410">
        <f t="shared" si="1"/>
        <v>0</v>
      </c>
      <c r="H35" s="86"/>
      <c r="I35" s="1"/>
    </row>
    <row r="36" spans="1:9" x14ac:dyDescent="0.15">
      <c r="A36" s="84"/>
      <c r="B36" s="85" t="s">
        <v>280</v>
      </c>
      <c r="C36" s="416"/>
      <c r="D36" s="413"/>
      <c r="E36" s="416"/>
      <c r="F36" s="85"/>
      <c r="G36" s="410">
        <f t="shared" si="1"/>
        <v>0</v>
      </c>
      <c r="H36" s="86"/>
      <c r="I36" s="1"/>
    </row>
    <row r="37" spans="1:9" x14ac:dyDescent="0.15">
      <c r="A37" s="84"/>
      <c r="B37" s="105" t="s">
        <v>281</v>
      </c>
      <c r="C37" s="417">
        <f>SUM(C31:C36)</f>
        <v>0</v>
      </c>
      <c r="D37" s="85"/>
      <c r="E37" s="417">
        <f>SUM(E31:E36)</f>
        <v>0</v>
      </c>
      <c r="F37" s="85"/>
      <c r="G37" s="418">
        <f t="shared" si="1"/>
        <v>0</v>
      </c>
      <c r="H37" s="86"/>
      <c r="I37" s="1"/>
    </row>
    <row r="38" spans="1:9" ht="14" thickBot="1" x14ac:dyDescent="0.2">
      <c r="A38" s="420"/>
      <c r="B38" s="413"/>
      <c r="C38" s="413"/>
      <c r="D38" s="413"/>
      <c r="E38" s="413"/>
      <c r="F38" s="413"/>
      <c r="G38" s="413"/>
      <c r="H38" s="421"/>
      <c r="I38" s="1"/>
    </row>
    <row r="39" spans="1:9" ht="14" thickBot="1" x14ac:dyDescent="0.2">
      <c r="A39" s="420"/>
      <c r="B39" s="105" t="s">
        <v>124</v>
      </c>
      <c r="C39" s="419">
        <f>C40/12</f>
        <v>0</v>
      </c>
      <c r="D39" s="413"/>
      <c r="E39" s="419">
        <f>E40/12</f>
        <v>0</v>
      </c>
      <c r="F39" s="413"/>
      <c r="G39" s="419">
        <f>G40/12</f>
        <v>0</v>
      </c>
      <c r="H39" s="421"/>
      <c r="I39" s="1"/>
    </row>
    <row r="40" spans="1:9" ht="14" thickBot="1" x14ac:dyDescent="0.2">
      <c r="A40" s="420"/>
      <c r="B40" s="105" t="s">
        <v>125</v>
      </c>
      <c r="C40" s="419">
        <f>IF(C29,((C28+C37)/C27)*12,0)</f>
        <v>0</v>
      </c>
      <c r="D40" s="413"/>
      <c r="E40" s="419">
        <f>IF(E29,((E28+E37)/E27)*12,0)</f>
        <v>0</v>
      </c>
      <c r="F40" s="413"/>
      <c r="G40" s="419">
        <f>IF(AND(C29,E29),(C40+E40)/2,IF(C29,C40,IF(E29,E40,0)))</f>
        <v>0</v>
      </c>
      <c r="H40" s="421"/>
      <c r="I40" s="1"/>
    </row>
    <row r="41" spans="1:9" x14ac:dyDescent="0.15">
      <c r="A41" s="420"/>
      <c r="B41" s="413"/>
      <c r="C41" s="413"/>
      <c r="D41" s="413"/>
      <c r="E41" s="413"/>
      <c r="F41" s="413"/>
      <c r="G41" s="413"/>
      <c r="H41" s="421"/>
      <c r="I41" s="1"/>
    </row>
    <row r="42" spans="1:9" s="427" customFormat="1" ht="11" x14ac:dyDescent="0.15">
      <c r="A42" s="422"/>
      <c r="B42" s="423"/>
      <c r="C42" s="424"/>
      <c r="D42" s="424"/>
      <c r="E42" s="424"/>
      <c r="F42" s="423"/>
      <c r="G42" s="341" t="s">
        <v>129</v>
      </c>
      <c r="H42" s="425"/>
      <c r="I42" s="426"/>
    </row>
    <row r="43" spans="1:9" x14ac:dyDescent="0.15">
      <c r="A43" s="428"/>
      <c r="B43" s="429"/>
      <c r="C43" s="429"/>
      <c r="D43" s="429"/>
      <c r="E43" s="429"/>
      <c r="F43" s="429"/>
      <c r="G43" s="429"/>
      <c r="H43" s="430"/>
      <c r="I43" s="1"/>
    </row>
    <row r="44" spans="1:9" x14ac:dyDescent="0.15">
      <c r="A44" s="1"/>
      <c r="B44" s="1"/>
      <c r="C44" s="1"/>
      <c r="D44" s="1"/>
      <c r="E44" s="1"/>
      <c r="F44" s="1"/>
      <c r="G44" s="1"/>
      <c r="H44" s="1"/>
      <c r="I44" s="1"/>
    </row>
    <row r="45" spans="1:9" x14ac:dyDescent="0.15">
      <c r="A45" s="1"/>
      <c r="B45" s="1"/>
      <c r="C45" s="1"/>
      <c r="D45" s="1"/>
      <c r="E45" s="1"/>
      <c r="F45" s="1"/>
      <c r="G45" s="1"/>
      <c r="H45" s="1"/>
      <c r="I45" s="1"/>
    </row>
  </sheetData>
  <sheetProtection algorithmName="SHA-512" hashValue="I44+8EIFG7G2TAQa8+jBDKmgB525v9qG+L6azqvM7dmyoDW+VwFnY34P66hZ3GxrlMdcvCQgMn3utT3MX6fNOw==" saltValue="A8xPMM9a84XnGfirnFiJGA==" spinCount="100000" sheet="1" objects="1" scenarios="1"/>
  <conditionalFormatting sqref="C7 E7 E26 C26">
    <cfRule type="expression" dxfId="17" priority="1" stopIfTrue="1">
      <formula>AND(C7="",OR(C8&lt;&gt;"",C9&lt;&gt;""))</formula>
    </cfRule>
  </conditionalFormatting>
  <conditionalFormatting sqref="C8 E8 E27 C27">
    <cfRule type="expression" dxfId="16" priority="2" stopIfTrue="1">
      <formula>AND(C8="",OR(C7&lt;&gt;"",C9&lt;&gt;""))</formula>
    </cfRule>
  </conditionalFormatting>
  <conditionalFormatting sqref="C9 E9 E28 C28">
    <cfRule type="expression" dxfId="15" priority="3" stopIfTrue="1">
      <formula>AND(C9="",OR(C7&lt;&gt;"",C8&lt;&gt;""))</formula>
    </cfRule>
  </conditionalFormatting>
  <conditionalFormatting sqref="C42:E42">
    <cfRule type="expression" dxfId="14" priority="4" stopIfTrue="1">
      <formula>#REF!</formula>
    </cfRule>
  </conditionalFormatting>
  <dataValidations count="15">
    <dataValidation type="decimal" operator="greaterThanOrEqual" allowBlank="1" showInputMessage="1" showErrorMessage="1" prompt="Enter any personal wages/salary for year 2" sqref="E33 E14" xr:uid="{00000000-0002-0000-0700-000000000000}">
      <formula1>0</formula1>
    </dataValidation>
    <dataValidation type="decimal" operator="greaterThanOrEqual" allowBlank="1" showInputMessage="1" showErrorMessage="1" prompt="Enter any personal wages/salary for year 1" sqref="C33 C14" xr:uid="{00000000-0002-0000-0700-000001000000}">
      <formula1>0</formula1>
    </dataValidation>
    <dataValidation type="decimal" operator="lessThanOrEqual" allowBlank="1" showInputMessage="1" showErrorMessage="1" prompt="Enter any other add backs for year 2." sqref="E36 E17" xr:uid="{00000000-0002-0000-0700-000002000000}">
      <formula1>9999999999</formula1>
    </dataValidation>
    <dataValidation type="decimal" operator="lessThanOrEqual" allowBlank="1" showInputMessage="1" showErrorMessage="1" prompt="Enter any other add backs for year 1." sqref="C36 C17" xr:uid="{00000000-0002-0000-0700-000003000000}">
      <formula1>9999999999</formula1>
    </dataValidation>
    <dataValidation type="decimal" operator="lessThanOrEqual" allowBlank="1" showInputMessage="1" showErrorMessage="1" prompt="Enter any other non-cash/non-recurring expenses for year 2." sqref="E35 E16" xr:uid="{00000000-0002-0000-0700-000004000000}">
      <formula1>9999999999</formula1>
    </dataValidation>
    <dataValidation type="decimal" operator="lessThanOrEqual" allowBlank="1" showInputMessage="1" showErrorMessage="1" prompt="Enter any other non-cash/non-recurring expenses for year 1." sqref="C35 C16" xr:uid="{00000000-0002-0000-0700-000005000000}">
      <formula1>9999999999</formula1>
    </dataValidation>
    <dataValidation type="decimal" operator="lessThanOrEqual" allowBlank="1" showInputMessage="1" showErrorMessage="1" prompt="Enter any non-cash personal benefits for year 2." sqref="E34 E15" xr:uid="{00000000-0002-0000-0700-000006000000}">
      <formula1>9999999999</formula1>
    </dataValidation>
    <dataValidation type="decimal" operator="lessThanOrEqual" allowBlank="1" showInputMessage="1" showErrorMessage="1" prompt="Enter any non-cash personal benefits for year 1." sqref="C34 C15" xr:uid="{00000000-0002-0000-0700-000007000000}">
      <formula1>9999999999</formula1>
    </dataValidation>
    <dataValidation type="decimal" operator="lessThanOrEqual" allowBlank="1" showInputMessage="1" showErrorMessage="1" prompt="Enter any depreciation/amortisation for year 2." sqref="E32 E13" xr:uid="{00000000-0002-0000-0700-000008000000}">
      <formula1>9999999999</formula1>
    </dataValidation>
    <dataValidation type="decimal" operator="lessThanOrEqual" allowBlank="1" showInputMessage="1" showErrorMessage="1" prompt="Enter any depreciation/amortisation for year 1." sqref="C32 C13" xr:uid="{00000000-0002-0000-0700-000009000000}">
      <formula1>9999999999</formula1>
    </dataValidation>
    <dataValidation type="decimal" operator="lessThanOrEqual" allowBlank="1" showInputMessage="1" showErrorMessage="1" prompt="Enter any interest for year 2." sqref="E31 E12" xr:uid="{00000000-0002-0000-0700-00000A000000}">
      <formula1>9999999999</formula1>
    </dataValidation>
    <dataValidation type="decimal" operator="lessThanOrEqual" allowBlank="1" showInputMessage="1" showErrorMessage="1" prompt="Enter any interest for year 1." sqref="C31 C12" xr:uid="{00000000-0002-0000-0700-00000B000000}">
      <formula1>9999999999</formula1>
    </dataValidation>
    <dataValidation type="whole" showInputMessage="1" showErrorMessage="1" error="Please Check Number of Months Input (Maximum 12 Months)" prompt="Enter the number of months that the financial data covers (between 1 and 12)." sqref="C27 E27 C8 E8" xr:uid="{00000000-0002-0000-0700-00000C000000}">
      <formula1>1</formula1>
      <formula2>12</formula2>
    </dataValidation>
    <dataValidation type="decimal" operator="lessThanOrEqual" allowBlank="1" showInputMessage="1" showErrorMessage="1" prompt="Enter the net profit before tax.  A loss should be expressed as a negative number." sqref="C28 E28 C9 E9" xr:uid="{00000000-0002-0000-0700-00000D000000}">
      <formula1>9999999999</formula1>
    </dataValidation>
    <dataValidation type="date" errorStyle="warning" operator="lessThanOrEqual" allowBlank="1" showInputMessage="1" showErrorMessage="1" errorTitle="Invalid Date" error="Please check the Statement Date Entered." prompt="Enter Statement Year of Financial Data (eg. 2003)" sqref="E26 C26 C7 E7" xr:uid="{00000000-0002-0000-0700-00000E000000}">
      <formula1>TODAY()</formula1>
    </dataValidation>
  </dataValidations>
  <pageMargins left="0.19685039370078741" right="0.19685039370078741" top="0.19685039370078741" bottom="0.19685039370078741" header="0.31496062992125984" footer="0.31496062992125984"/>
  <pageSetup paperSize="9" scale="89"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1270" r:id="rId4">
          <objectPr defaultSize="0" autoPict="0" r:id="rId5">
            <anchor moveWithCells="1">
              <from>
                <xdr:col>4</xdr:col>
                <xdr:colOff>520700</xdr:colOff>
                <xdr:row>0</xdr:row>
                <xdr:rowOff>177800</xdr:rowOff>
              </from>
              <to>
                <xdr:col>6</xdr:col>
                <xdr:colOff>1130300</xdr:colOff>
                <xdr:row>1</xdr:row>
                <xdr:rowOff>292100</xdr:rowOff>
              </to>
            </anchor>
          </objectPr>
        </oleObject>
      </mc:Choice>
      <mc:Fallback>
        <oleObject progId="MSPhotoEd.3" shapeId="11270" r:id="rId4"/>
      </mc:Fallback>
    </mc:AlternateContent>
  </oleObjects>
  <mc:AlternateContent xmlns:mc="http://schemas.openxmlformats.org/markup-compatibility/2006">
    <mc:Choice Requires="x14">
      <controls>
        <mc:AlternateContent xmlns:mc="http://schemas.openxmlformats.org/markup-compatibility/2006">
          <mc:Choice Requires="x14">
            <control shapeId="11265" r:id="rId6" name="Button 1">
              <controlPr defaultSize="0" print="0" autoFill="0" autoPict="0" macro="[0]!cmdClearBridgingSelf">
                <anchor moveWithCells="1" sizeWithCells="1">
                  <from>
                    <xdr:col>1</xdr:col>
                    <xdr:colOff>0</xdr:colOff>
                    <xdr:row>7</xdr:row>
                    <xdr:rowOff>63500</xdr:rowOff>
                  </from>
                  <to>
                    <xdr:col>1</xdr:col>
                    <xdr:colOff>889000</xdr:colOff>
                    <xdr:row>9</xdr:row>
                    <xdr:rowOff>50800</xdr:rowOff>
                  </to>
                </anchor>
              </controlPr>
            </control>
          </mc:Choice>
        </mc:AlternateContent>
        <mc:AlternateContent xmlns:mc="http://schemas.openxmlformats.org/markup-compatibility/2006">
          <mc:Choice Requires="x14">
            <control shapeId="11266" r:id="rId7" name="Button 2">
              <controlPr defaultSize="0" print="0" autoFill="0" autoPict="0" macro="[0]!cmdBridging">
                <anchor moveWithCells="1" sizeWithCells="1">
                  <from>
                    <xdr:col>1</xdr:col>
                    <xdr:colOff>0</xdr:colOff>
                    <xdr:row>5</xdr:row>
                    <xdr:rowOff>12700</xdr:rowOff>
                  </from>
                  <to>
                    <xdr:col>1</xdr:col>
                    <xdr:colOff>1320800</xdr:colOff>
                    <xdr:row>7</xdr:row>
                    <xdr:rowOff>0</xdr:rowOff>
                  </to>
                </anchor>
              </controlPr>
            </control>
          </mc:Choice>
        </mc:AlternateContent>
        <mc:AlternateContent xmlns:mc="http://schemas.openxmlformats.org/markup-compatibility/2006">
          <mc:Choice Requires="x14">
            <control shapeId="11267" r:id="rId8" name="Button 3">
              <controlPr defaultSize="0" print="0" autoFill="0" autoPict="0" macro="[0]!cmdClearBridgingSelf">
                <anchor moveWithCells="1" sizeWithCells="1">
                  <from>
                    <xdr:col>1</xdr:col>
                    <xdr:colOff>1397000</xdr:colOff>
                    <xdr:row>40</xdr:row>
                    <xdr:rowOff>63500</xdr:rowOff>
                  </from>
                  <to>
                    <xdr:col>1</xdr:col>
                    <xdr:colOff>2273300</xdr:colOff>
                    <xdr:row>42</xdr:row>
                    <xdr:rowOff>76200</xdr:rowOff>
                  </to>
                </anchor>
              </controlPr>
            </control>
          </mc:Choice>
        </mc:AlternateContent>
        <mc:AlternateContent xmlns:mc="http://schemas.openxmlformats.org/markup-compatibility/2006">
          <mc:Choice Requires="x14">
            <control shapeId="11268" r:id="rId9" name="Button 4">
              <controlPr defaultSize="0" print="0" autoFill="0" autoPict="0" macro="[0]!cmdBridging">
                <anchor moveWithCells="1" sizeWithCells="1">
                  <from>
                    <xdr:col>1</xdr:col>
                    <xdr:colOff>0</xdr:colOff>
                    <xdr:row>40</xdr:row>
                    <xdr:rowOff>63500</xdr:rowOff>
                  </from>
                  <to>
                    <xdr:col>1</xdr:col>
                    <xdr:colOff>1320800</xdr:colOff>
                    <xdr:row>42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pageSetUpPr fitToPage="1"/>
  </sheetPr>
  <dimension ref="A1:G48"/>
  <sheetViews>
    <sheetView showGridLines="0" showRowColHeaders="0" workbookViewId="0"/>
  </sheetViews>
  <sheetFormatPr baseColWidth="10" defaultColWidth="9.1640625" defaultRowHeight="13" x14ac:dyDescent="0.15"/>
  <cols>
    <col min="1" max="1" width="1.6640625" style="431" customWidth="1"/>
    <col min="2" max="2" width="17.1640625" style="463" customWidth="1"/>
    <col min="3" max="3" width="17.1640625" style="431" customWidth="1"/>
    <col min="4" max="4" width="17.1640625" style="463" customWidth="1"/>
    <col min="5" max="6" width="17.1640625" style="431" customWidth="1"/>
    <col min="7" max="7" width="1.6640625" style="431" customWidth="1"/>
    <col min="8" max="16384" width="9.1640625" style="431"/>
  </cols>
  <sheetData>
    <row r="1" spans="1:7" ht="14" thickBot="1" x14ac:dyDescent="0.2">
      <c r="A1" s="255"/>
      <c r="B1" s="256"/>
      <c r="C1" s="256"/>
      <c r="D1" s="256"/>
      <c r="E1" s="256"/>
      <c r="F1" s="256"/>
      <c r="G1" s="257"/>
    </row>
    <row r="2" spans="1:7" ht="24.75" customHeight="1" thickBot="1" x14ac:dyDescent="0.2">
      <c r="A2" s="265"/>
      <c r="B2" s="126" t="s">
        <v>282</v>
      </c>
      <c r="C2" s="432"/>
      <c r="D2" s="433"/>
      <c r="E2" s="434"/>
      <c r="F2" s="434"/>
      <c r="G2" s="267"/>
    </row>
    <row r="3" spans="1:7" ht="114.75" customHeight="1" x14ac:dyDescent="0.15">
      <c r="A3" s="265"/>
      <c r="B3" s="1002" t="s">
        <v>533</v>
      </c>
      <c r="C3" s="1023"/>
      <c r="D3" s="1023"/>
      <c r="E3" s="1023"/>
      <c r="F3" s="1023"/>
      <c r="G3" s="267"/>
    </row>
    <row r="4" spans="1:7" ht="24.75" customHeight="1" x14ac:dyDescent="0.15">
      <c r="A4" s="265"/>
      <c r="B4" s="137" t="s">
        <v>131</v>
      </c>
      <c r="C4" s="435"/>
      <c r="D4" s="436"/>
      <c r="E4" s="435"/>
      <c r="F4" s="437"/>
      <c r="G4" s="267"/>
    </row>
    <row r="5" spans="1:7" x14ac:dyDescent="0.15">
      <c r="A5" s="265"/>
      <c r="B5" s="266"/>
      <c r="C5" s="266"/>
      <c r="D5" s="266"/>
      <c r="E5" s="438">
        <f>(Bridging!F26+SUM(Bridging!F30:F31)&gt;0)+(Bridging!H26+SUM(Bridging!H30:H31)&gt;0)</f>
        <v>0</v>
      </c>
      <c r="F5" s="266"/>
      <c r="G5" s="267"/>
    </row>
    <row r="6" spans="1:7" s="439" customFormat="1" x14ac:dyDescent="0.15">
      <c r="A6" s="265"/>
      <c r="B6" s="266"/>
      <c r="C6" s="266"/>
      <c r="D6" s="266"/>
      <c r="E6" s="1021" t="s">
        <v>283</v>
      </c>
      <c r="F6" s="1022"/>
      <c r="G6" s="267"/>
    </row>
    <row r="7" spans="1:7" ht="25.5" customHeight="1" x14ac:dyDescent="0.15">
      <c r="A7" s="265"/>
      <c r="B7" s="440" t="s">
        <v>132</v>
      </c>
      <c r="C7" s="441" t="s">
        <v>61</v>
      </c>
      <c r="D7" s="440" t="s">
        <v>116</v>
      </c>
      <c r="E7" s="441" t="s">
        <v>85</v>
      </c>
      <c r="F7" s="441" t="s">
        <v>86</v>
      </c>
      <c r="G7" s="267"/>
    </row>
    <row r="8" spans="1:7" x14ac:dyDescent="0.15">
      <c r="A8" s="265"/>
      <c r="B8" s="448" t="str">
        <f>IF('Bridging Calculations'!Q3,IF(OR(Bridging!B39="CBA Line of Credit",Bridging!B39="OFI Line of Credit (Other financial institution)"),Bridging!G39,Bridging!F39),"")</f>
        <v/>
      </c>
      <c r="C8" s="744"/>
      <c r="D8" s="743" t="str">
        <f>IF(AND(B8&lt;&gt;"",C8&lt;&gt;""),B8*C8,"")</f>
        <v/>
      </c>
      <c r="E8" s="442"/>
      <c r="F8" s="442"/>
      <c r="G8" s="267"/>
    </row>
    <row r="9" spans="1:7" x14ac:dyDescent="0.15">
      <c r="A9" s="265"/>
      <c r="B9" s="448" t="str">
        <f>IF('Bridging Calculations'!Q4,IF(OR(Bridging!B40="CBA Line of Credit",Bridging!B40="OFI Line of Credit (Other financial institution)"),Bridging!G40,Bridging!F40),"")</f>
        <v/>
      </c>
      <c r="C9" s="744"/>
      <c r="D9" s="743" t="str">
        <f t="shared" ref="D9:D14" si="0">IF(AND(B9&lt;&gt;"",C9&lt;&gt;""),B9*C9,"")</f>
        <v/>
      </c>
      <c r="E9" s="442"/>
      <c r="F9" s="442"/>
      <c r="G9" s="267"/>
    </row>
    <row r="10" spans="1:7" x14ac:dyDescent="0.15">
      <c r="A10" s="265"/>
      <c r="B10" s="448" t="str">
        <f>IF('Bridging Calculations'!Q5,IF(OR(Bridging!B41="CBA Line of Credit",Bridging!B41="OFI Line of Credit (Other financial institution)"),Bridging!G41,Bridging!F41),"")</f>
        <v/>
      </c>
      <c r="C10" s="744"/>
      <c r="D10" s="743" t="str">
        <f t="shared" si="0"/>
        <v/>
      </c>
      <c r="E10" s="442"/>
      <c r="F10" s="442"/>
      <c r="G10" s="267"/>
    </row>
    <row r="11" spans="1:7" x14ac:dyDescent="0.15">
      <c r="A11" s="265"/>
      <c r="B11" s="448" t="str">
        <f>IF('Bridging Calculations'!Q6,IF(OR(Bridging!B42="CBA Line of Credit",Bridging!B42="OFI Line of Credit (Other financial institution)"),Bridging!G42,Bridging!F42),"")</f>
        <v/>
      </c>
      <c r="C11" s="744"/>
      <c r="D11" s="743" t="str">
        <f t="shared" si="0"/>
        <v/>
      </c>
      <c r="E11" s="442"/>
      <c r="F11" s="442"/>
      <c r="G11" s="267"/>
    </row>
    <row r="12" spans="1:7" x14ac:dyDescent="0.15">
      <c r="A12" s="265"/>
      <c r="B12" s="448" t="str">
        <f>IF('Bridging Calculations'!Q7,IF(OR(Bridging!B43="CBA Line of Credit",Bridging!B43="OFI Line of Credit (Other financial institution)"),Bridging!G43,Bridging!F43),"")</f>
        <v/>
      </c>
      <c r="C12" s="744"/>
      <c r="D12" s="743" t="str">
        <f t="shared" si="0"/>
        <v/>
      </c>
      <c r="E12" s="442"/>
      <c r="F12" s="442"/>
      <c r="G12" s="267"/>
    </row>
    <row r="13" spans="1:7" x14ac:dyDescent="0.15">
      <c r="A13" s="265"/>
      <c r="B13" s="448" t="str">
        <f>IF('Bridging Calculations'!Q8,IF(OR(Bridging!B44="CBA Line of Credit",Bridging!B44="OFI Line of Credit (Other financial institution)"),Bridging!G44,Bridging!F44),"")</f>
        <v/>
      </c>
      <c r="C13" s="744"/>
      <c r="D13" s="743" t="str">
        <f t="shared" si="0"/>
        <v/>
      </c>
      <c r="E13" s="442"/>
      <c r="F13" s="442"/>
      <c r="G13" s="267"/>
    </row>
    <row r="14" spans="1:7" x14ac:dyDescent="0.15">
      <c r="A14" s="265"/>
      <c r="B14" s="448" t="str">
        <f>IF('Bridging Calculations'!Q9,IF(OR(Bridging!B45="CBA Line of Credit",Bridging!B45="OFI Line of Credit (Other financial institution)"),Bridging!G45,Bridging!F45),"")</f>
        <v/>
      </c>
      <c r="C14" s="744"/>
      <c r="D14" s="743" t="str">
        <f t="shared" si="0"/>
        <v/>
      </c>
      <c r="E14" s="442"/>
      <c r="F14" s="442"/>
      <c r="G14" s="267"/>
    </row>
    <row r="15" spans="1:7" x14ac:dyDescent="0.15">
      <c r="A15" s="265"/>
      <c r="B15" s="895"/>
      <c r="C15" s="896"/>
      <c r="D15" s="897"/>
      <c r="E15" s="898"/>
      <c r="F15" s="898"/>
      <c r="G15" s="267"/>
    </row>
    <row r="16" spans="1:7" ht="18" x14ac:dyDescent="0.15">
      <c r="A16" s="265"/>
      <c r="B16" s="137" t="s">
        <v>526</v>
      </c>
      <c r="C16" s="445"/>
      <c r="D16" s="445"/>
      <c r="E16" s="445"/>
      <c r="F16" s="446"/>
      <c r="G16" s="267"/>
    </row>
    <row r="17" spans="1:7" x14ac:dyDescent="0.15">
      <c r="A17" s="265"/>
      <c r="B17" s="443"/>
      <c r="C17" s="444"/>
      <c r="D17" s="443"/>
      <c r="E17" s="444"/>
      <c r="F17" s="444"/>
      <c r="G17" s="267"/>
    </row>
    <row r="18" spans="1:7" x14ac:dyDescent="0.15">
      <c r="A18" s="265"/>
      <c r="B18" s="443"/>
      <c r="C18" s="444"/>
      <c r="D18" s="443"/>
      <c r="E18" s="1021" t="s">
        <v>260</v>
      </c>
      <c r="F18" s="1022"/>
      <c r="G18" s="267"/>
    </row>
    <row r="19" spans="1:7" ht="14" x14ac:dyDescent="0.15">
      <c r="A19" s="265"/>
      <c r="B19" s="440" t="s">
        <v>132</v>
      </c>
      <c r="C19" s="441" t="s">
        <v>61</v>
      </c>
      <c r="D19" s="440" t="s">
        <v>116</v>
      </c>
      <c r="E19" s="447" t="s">
        <v>85</v>
      </c>
      <c r="F19" s="441" t="s">
        <v>86</v>
      </c>
      <c r="G19" s="267"/>
    </row>
    <row r="20" spans="1:7" x14ac:dyDescent="0.15">
      <c r="A20" s="265"/>
      <c r="B20" s="448" t="str">
        <f t="array" ref="B20">IF('Bridging Calculations'!Q14,Bridging!E65,"")</f>
        <v/>
      </c>
      <c r="C20" s="598"/>
      <c r="D20" s="449" t="str">
        <f t="shared" ref="D20:D25" si="1">IF(AND(B20&lt;&gt;"",C20&lt;&gt;""),B20*C20,"")</f>
        <v/>
      </c>
      <c r="E20" s="442"/>
      <c r="F20" s="442"/>
      <c r="G20" s="267"/>
    </row>
    <row r="21" spans="1:7" x14ac:dyDescent="0.15">
      <c r="A21" s="265"/>
      <c r="B21" s="448" t="str">
        <f t="array" ref="B21">IF('Bridging Calculations'!Q15,Bridging!E66,"")</f>
        <v/>
      </c>
      <c r="C21" s="598"/>
      <c r="D21" s="449" t="str">
        <f t="shared" si="1"/>
        <v/>
      </c>
      <c r="E21" s="442"/>
      <c r="F21" s="442"/>
      <c r="G21" s="267"/>
    </row>
    <row r="22" spans="1:7" x14ac:dyDescent="0.15">
      <c r="A22" s="265"/>
      <c r="B22" s="448" t="str">
        <f t="array" ref="B22">IF('Bridging Calculations'!Q16,Bridging!E67,"")</f>
        <v/>
      </c>
      <c r="C22" s="598"/>
      <c r="D22" s="449" t="str">
        <f t="shared" si="1"/>
        <v/>
      </c>
      <c r="E22" s="442"/>
      <c r="F22" s="442"/>
      <c r="G22" s="267"/>
    </row>
    <row r="23" spans="1:7" x14ac:dyDescent="0.15">
      <c r="A23" s="265"/>
      <c r="B23" s="448" t="str">
        <f t="array" ref="B23">IF('Bridging Calculations'!Q17,Bridging!E68,"")</f>
        <v/>
      </c>
      <c r="C23" s="598"/>
      <c r="D23" s="449" t="str">
        <f t="shared" si="1"/>
        <v/>
      </c>
      <c r="E23" s="442"/>
      <c r="F23" s="442"/>
      <c r="G23" s="267"/>
    </row>
    <row r="24" spans="1:7" x14ac:dyDescent="0.15">
      <c r="A24" s="265"/>
      <c r="B24" s="448" t="str">
        <f t="array" ref="B24">IF('Bridging Calculations'!Q18,Bridging!E69,"")</f>
        <v/>
      </c>
      <c r="C24" s="598"/>
      <c r="D24" s="449" t="str">
        <f t="shared" si="1"/>
        <v/>
      </c>
      <c r="E24" s="442"/>
      <c r="F24" s="442"/>
      <c r="G24" s="267"/>
    </row>
    <row r="25" spans="1:7" x14ac:dyDescent="0.15">
      <c r="A25" s="265"/>
      <c r="B25" s="448" t="str">
        <f t="array" ref="B25">IF('Bridging Calculations'!Q19,Bridging!E70,"")</f>
        <v/>
      </c>
      <c r="C25" s="598"/>
      <c r="D25" s="449" t="str">
        <f t="shared" si="1"/>
        <v/>
      </c>
      <c r="E25" s="442"/>
      <c r="F25" s="442"/>
      <c r="G25" s="267"/>
    </row>
    <row r="26" spans="1:7" x14ac:dyDescent="0.15">
      <c r="A26" s="265"/>
      <c r="B26" s="895"/>
      <c r="C26" s="896"/>
      <c r="D26" s="897"/>
      <c r="E26" s="898"/>
      <c r="F26" s="898"/>
      <c r="G26" s="267"/>
    </row>
    <row r="27" spans="1:7" x14ac:dyDescent="0.15">
      <c r="A27" s="265"/>
      <c r="B27" s="443"/>
      <c r="C27" s="444"/>
      <c r="D27" s="443"/>
      <c r="E27" s="444"/>
      <c r="F27" s="444"/>
      <c r="G27" s="267"/>
    </row>
    <row r="28" spans="1:7" ht="24.75" customHeight="1" x14ac:dyDescent="0.15">
      <c r="A28" s="265"/>
      <c r="B28" s="137" t="s">
        <v>529</v>
      </c>
      <c r="C28" s="445"/>
      <c r="D28" s="445"/>
      <c r="E28" s="445"/>
      <c r="F28" s="446"/>
      <c r="G28" s="267"/>
    </row>
    <row r="29" spans="1:7" x14ac:dyDescent="0.15">
      <c r="A29" s="265"/>
      <c r="B29" s="443"/>
      <c r="C29" s="444"/>
      <c r="D29" s="443"/>
      <c r="E29" s="444"/>
      <c r="F29" s="444"/>
      <c r="G29" s="267"/>
    </row>
    <row r="30" spans="1:7" x14ac:dyDescent="0.15">
      <c r="A30" s="265"/>
      <c r="B30" s="443"/>
      <c r="C30" s="444"/>
      <c r="D30" s="443"/>
      <c r="E30" s="1021" t="s">
        <v>260</v>
      </c>
      <c r="F30" s="1022"/>
      <c r="G30" s="267"/>
    </row>
    <row r="31" spans="1:7" ht="25.5" customHeight="1" x14ac:dyDescent="0.15">
      <c r="A31" s="265"/>
      <c r="B31" s="440" t="s">
        <v>132</v>
      </c>
      <c r="C31" s="441" t="s">
        <v>61</v>
      </c>
      <c r="D31" s="440" t="s">
        <v>116</v>
      </c>
      <c r="E31" s="447" t="s">
        <v>85</v>
      </c>
      <c r="F31" s="441" t="s">
        <v>86</v>
      </c>
      <c r="G31" s="267"/>
    </row>
    <row r="32" spans="1:7" x14ac:dyDescent="0.15">
      <c r="A32" s="265"/>
      <c r="B32" s="448" t="str">
        <f>IF('Bridging Calculations'!Q14,Bridging!E65,"")</f>
        <v/>
      </c>
      <c r="C32" s="598"/>
      <c r="D32" s="449" t="str">
        <f t="shared" ref="D32:D37" si="2">IF(AND(B32&lt;&gt;"",C32&lt;&gt;""),B32*C32,"")</f>
        <v/>
      </c>
      <c r="E32" s="442"/>
      <c r="F32" s="442"/>
      <c r="G32" s="267"/>
    </row>
    <row r="33" spans="1:7" x14ac:dyDescent="0.15">
      <c r="A33" s="265"/>
      <c r="B33" s="448" t="str">
        <f>IF('Bridging Calculations'!Q15,Bridging!E66,"")</f>
        <v/>
      </c>
      <c r="C33" s="598"/>
      <c r="D33" s="449" t="str">
        <f t="shared" si="2"/>
        <v/>
      </c>
      <c r="E33" s="442"/>
      <c r="F33" s="442"/>
      <c r="G33" s="267"/>
    </row>
    <row r="34" spans="1:7" x14ac:dyDescent="0.15">
      <c r="A34" s="265"/>
      <c r="B34" s="448" t="str">
        <f>IF('Bridging Calculations'!Q16,Bridging!E67,"")</f>
        <v/>
      </c>
      <c r="C34" s="598"/>
      <c r="D34" s="449" t="str">
        <f t="shared" si="2"/>
        <v/>
      </c>
      <c r="E34" s="442"/>
      <c r="F34" s="442"/>
      <c r="G34" s="267"/>
    </row>
    <row r="35" spans="1:7" x14ac:dyDescent="0.15">
      <c r="A35" s="265"/>
      <c r="B35" s="448" t="str">
        <f>IF('Bridging Calculations'!Q17,Bridging!E68,"")</f>
        <v/>
      </c>
      <c r="C35" s="598"/>
      <c r="D35" s="449" t="str">
        <f t="shared" si="2"/>
        <v/>
      </c>
      <c r="E35" s="442"/>
      <c r="F35" s="442"/>
      <c r="G35" s="267"/>
    </row>
    <row r="36" spans="1:7" x14ac:dyDescent="0.15">
      <c r="A36" s="265"/>
      <c r="B36" s="448" t="str">
        <f>IF('Bridging Calculations'!Q18,Bridging!E69,"")</f>
        <v/>
      </c>
      <c r="C36" s="598"/>
      <c r="D36" s="449" t="str">
        <f t="shared" si="2"/>
        <v/>
      </c>
      <c r="E36" s="442"/>
      <c r="F36" s="442"/>
      <c r="G36" s="267"/>
    </row>
    <row r="37" spans="1:7" x14ac:dyDescent="0.15">
      <c r="A37" s="265"/>
      <c r="B37" s="448" t="str">
        <f>IF('Bridging Calculations'!Q19,Bridging!E70,"")</f>
        <v/>
      </c>
      <c r="C37" s="598"/>
      <c r="D37" s="449" t="str">
        <f t="shared" si="2"/>
        <v/>
      </c>
      <c r="E37" s="442"/>
      <c r="F37" s="442"/>
      <c r="G37" s="267"/>
    </row>
    <row r="38" spans="1:7" s="439" customFormat="1" x14ac:dyDescent="0.15">
      <c r="A38" s="265"/>
      <c r="B38" s="443"/>
      <c r="C38" s="450"/>
      <c r="D38" s="451"/>
      <c r="E38" s="444"/>
      <c r="F38" s="444"/>
      <c r="G38" s="267"/>
    </row>
    <row r="39" spans="1:7" s="455" customFormat="1" ht="24.75" customHeight="1" x14ac:dyDescent="0.15">
      <c r="A39" s="265"/>
      <c r="B39" s="137" t="s">
        <v>284</v>
      </c>
      <c r="C39" s="452"/>
      <c r="D39" s="453"/>
      <c r="E39" s="452"/>
      <c r="F39" s="454"/>
      <c r="G39" s="267"/>
    </row>
    <row r="40" spans="1:7" s="455" customFormat="1" x14ac:dyDescent="0.15">
      <c r="A40" s="265"/>
      <c r="B40" s="268"/>
      <c r="C40" s="268" t="s">
        <v>285</v>
      </c>
      <c r="E40" s="268"/>
      <c r="F40" s="268" t="s">
        <v>524</v>
      </c>
      <c r="G40" s="267"/>
    </row>
    <row r="41" spans="1:7" s="439" customFormat="1" x14ac:dyDescent="0.15">
      <c r="A41" s="265"/>
      <c r="B41" s="161"/>
      <c r="C41" s="160" t="s">
        <v>136</v>
      </c>
      <c r="E41" s="160" t="s">
        <v>134</v>
      </c>
      <c r="F41" s="456" t="s">
        <v>135</v>
      </c>
      <c r="G41" s="267"/>
    </row>
    <row r="42" spans="1:7" s="439" customFormat="1" x14ac:dyDescent="0.15">
      <c r="A42" s="265"/>
      <c r="B42" s="161" t="s">
        <v>255</v>
      </c>
      <c r="C42" s="457">
        <f t="array" ref="C42">SUM(IF(D8:D14&lt;&gt;"",D8:D14*E8:E14))+SUM(IF(D20:D25&lt;&gt;"",D20:D25*E20:E25))</f>
        <v>0</v>
      </c>
      <c r="E42" s="457">
        <f t="array" ref="E42">SUM(IF((D8:D14&lt;&gt;"")*(Bridging!E39:E45="No"),D8:D14*E8:E14))</f>
        <v>0</v>
      </c>
      <c r="F42" s="457">
        <f t="array" ref="F42">SUM(IF(D32:D37&lt;&gt;"",D32:D37*E32:E37))</f>
        <v>0</v>
      </c>
      <c r="G42" s="267"/>
    </row>
    <row r="43" spans="1:7" s="439" customFormat="1" x14ac:dyDescent="0.15">
      <c r="A43" s="265"/>
      <c r="B43" s="161" t="s">
        <v>256</v>
      </c>
      <c r="C43" s="457">
        <f t="array" ref="C43">SUM(IF(D8:D14&lt;&gt;"",D8:D14*E8:E14))+SUM(IF(D20:D25&lt;&gt;"",D20:D25*F20:F25))</f>
        <v>0</v>
      </c>
      <c r="E43" s="457">
        <f t="array" ref="E43">SUM(IF((D8:D14&lt;&gt;"")*(Bridging!E39:E45="No"),D8:D14*F8:F14))</f>
        <v>0</v>
      </c>
      <c r="F43" s="457">
        <f t="array" ref="F43">SUM(IF(D32:D37&lt;&gt;"",D32:D37*F32:F37))</f>
        <v>0</v>
      </c>
      <c r="G43" s="267"/>
    </row>
    <row r="44" spans="1:7" s="439" customFormat="1" x14ac:dyDescent="0.15">
      <c r="A44" s="265"/>
      <c r="B44" s="161" t="s">
        <v>259</v>
      </c>
      <c r="C44" s="458">
        <f>SUM(C42:C43)</f>
        <v>0</v>
      </c>
      <c r="E44" s="458">
        <f>SUM(E42:E43)</f>
        <v>0</v>
      </c>
      <c r="F44" s="458">
        <f>SUM(F42:F43)</f>
        <v>0</v>
      </c>
      <c r="G44" s="267"/>
    </row>
    <row r="45" spans="1:7" s="439" customFormat="1" x14ac:dyDescent="0.15">
      <c r="A45" s="265"/>
      <c r="B45" s="161"/>
      <c r="C45" s="218"/>
      <c r="E45" s="218"/>
      <c r="F45" s="218"/>
      <c r="G45" s="267"/>
    </row>
    <row r="46" spans="1:7" s="636" customFormat="1" x14ac:dyDescent="0.15">
      <c r="A46" s="634"/>
      <c r="B46" s="723"/>
      <c r="C46" s="724"/>
      <c r="D46" s="724"/>
      <c r="E46" s="724"/>
      <c r="F46" s="724"/>
      <c r="G46" s="635"/>
    </row>
    <row r="47" spans="1:7" s="460" customFormat="1" ht="11.25" customHeight="1" x14ac:dyDescent="0.15">
      <c r="A47" s="265"/>
      <c r="B47" s="266"/>
      <c r="C47" s="266"/>
      <c r="D47" s="266"/>
      <c r="E47" s="266"/>
      <c r="F47" s="459" t="s">
        <v>106</v>
      </c>
      <c r="G47" s="267"/>
    </row>
    <row r="48" spans="1:7" x14ac:dyDescent="0.15">
      <c r="A48" s="274"/>
      <c r="B48" s="461"/>
      <c r="C48" s="462"/>
      <c r="D48" s="461"/>
      <c r="E48" s="462"/>
      <c r="F48" s="462"/>
      <c r="G48" s="276"/>
    </row>
  </sheetData>
  <sheetProtection algorithmName="SHA-512" hashValue="eLSC2VNiErTwvu0B4bszDQcMGZFDhA+NyHqCjTU30+OEnEloIG6UDebs9M+7KwHfUbGIzmMX3vOZw5tQc6DFOA==" saltValue="dRyGXL/rEAVAxly2S0VJlA==" spinCount="100000" sheet="1" objects="1" scenarios="1"/>
  <mergeCells count="4">
    <mergeCell ref="E6:F6"/>
    <mergeCell ref="E30:F30"/>
    <mergeCell ref="B3:F3"/>
    <mergeCell ref="E18:F18"/>
  </mergeCells>
  <conditionalFormatting sqref="E8:F15 E26:F26">
    <cfRule type="expression" dxfId="13" priority="6" stopIfTrue="1">
      <formula>AND($D8&lt;&gt;"",COUNTBLANK($E8:$F8)=2)</formula>
    </cfRule>
  </conditionalFormatting>
  <conditionalFormatting sqref="E32:F37">
    <cfRule type="expression" dxfId="12" priority="5" stopIfTrue="1">
      <formula>AND($D32&lt;&gt;"",COUNTBLANK($E32:$F32)=2)</formula>
    </cfRule>
  </conditionalFormatting>
  <conditionalFormatting sqref="C32:C37">
    <cfRule type="expression" dxfId="11" priority="4">
      <formula>AND(C32="",B32&lt;&gt;"",B32&gt;0)</formula>
    </cfRule>
  </conditionalFormatting>
  <conditionalFormatting sqref="C8:C15 C26">
    <cfRule type="expression" dxfId="10" priority="3">
      <formula>AND(B8&lt;&gt;"",C8="")</formula>
    </cfRule>
  </conditionalFormatting>
  <conditionalFormatting sqref="E20:F25">
    <cfRule type="expression" dxfId="9" priority="2" stopIfTrue="1">
      <formula>AND($D20&lt;&gt;"",COUNTBLANK($E20:$F20)=2)</formula>
    </cfRule>
  </conditionalFormatting>
  <conditionalFormatting sqref="C20:C25">
    <cfRule type="expression" dxfId="8" priority="1">
      <formula>AND(C20="",B20&lt;&gt;"",B20&gt;0)</formula>
    </cfRule>
  </conditionalFormatting>
  <dataValidations count="6">
    <dataValidation type="custom" allowBlank="1" showInputMessage="1" showErrorMessage="1" error="Total Tax benefit % of all four applicants must not be greater than 100%." prompt="Enter the tax benefit % applicable for applicant 2 on this proposed loan" sqref="F32:F37 F20:F25" xr:uid="{00000000-0002-0000-0800-000000000000}">
      <formula1>SUM($E20:$G20)&lt;=100%</formula1>
    </dataValidation>
    <dataValidation type="custom" allowBlank="1" showInputMessage="1" showErrorMessage="1" error="Total Tax benefit % of all four applicants must not be greater than 100%." prompt="Enter the tax benefit % applicable for applicant 1 on this proposed loan" sqref="E32:E37 E20:E25" xr:uid="{00000000-0002-0000-0800-000001000000}">
      <formula1>SUM($E20:$G20)&lt;=100%</formula1>
    </dataValidation>
    <dataValidation type="custom" allowBlank="1" showInputMessage="1" showErrorMessage="1" error="Total Tax benefit % of all four applicants must not be greater than 100%." prompt="Enter the tax benefit % applicable for applicant 2 on this existing loan" sqref="F8:F15 F26" xr:uid="{00000000-0002-0000-0800-000002000000}">
      <formula1>SUM($E8:$G8)&lt;=100%</formula1>
    </dataValidation>
    <dataValidation type="custom" allowBlank="1" showInputMessage="1" showErrorMessage="1" error="Total Tax benefit % of all four applicants must not be greater than 100%." prompt="Enter the tax benefit % applicable for applicant 1 on this existing loan" sqref="E8:E15 E26" xr:uid="{00000000-0002-0000-0800-000003000000}">
      <formula1>SUM($E8:$G8)&lt;=100%</formula1>
    </dataValidation>
    <dataValidation type="decimal" operator="greaterThanOrEqual" allowBlank="1" showInputMessage="1" showErrorMessage="1" error="You must enter a positive number" prompt="Enter the interest rate (post discount) for this proposed loan." sqref="C32:C37 C20:C25" xr:uid="{00000000-0002-0000-0800-000004000000}">
      <formula1>0</formula1>
    </dataValidation>
    <dataValidation type="decimal" operator="greaterThanOrEqual" allowBlank="1" showInputMessage="1" showErrorMessage="1" error="You must enter a positive number." prompt="Enter the actual interest rate" sqref="C8:C15 C26" xr:uid="{00000000-0002-0000-0800-000005000000}">
      <formula1>0</formula1>
    </dataValidation>
  </dataValidations>
  <pageMargins left="0.19685039370078741" right="0.19685039370078741" top="0.19685039370078741" bottom="0.19685039370078741" header="0.31496062992125984" footer="0.31496062992125984"/>
  <pageSetup paperSize="9" orientation="portrait" r:id="rId1"/>
  <headerFooter>
    <oddFooter>&amp;L&amp;"Calibri"&amp;11&amp;K000000&amp;"Calibri"&amp;11&amp;K000000&amp;"Calibri"&amp;11&amp;K000000&amp;"Calibri"&amp;11&amp;K000000&amp;"Calibri"&amp;11&amp;K000000&amp;"Calibri"&amp;11&amp;K000000&amp;"Calibri"&amp;11&amp;K000000Printed: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12295" r:id="rId4">
          <objectPr defaultSize="0" autoPict="0" r:id="rId5">
            <anchor moveWithCells="1">
              <from>
                <xdr:col>4</xdr:col>
                <xdr:colOff>266700</xdr:colOff>
                <xdr:row>1</xdr:row>
                <xdr:rowOff>12700</xdr:rowOff>
              </from>
              <to>
                <xdr:col>5</xdr:col>
                <xdr:colOff>1130300</xdr:colOff>
                <xdr:row>2</xdr:row>
                <xdr:rowOff>63500</xdr:rowOff>
              </to>
            </anchor>
          </objectPr>
        </oleObject>
      </mc:Choice>
      <mc:Fallback>
        <oleObject progId="MSPhotoEd.3" shapeId="12295" r:id="rId4"/>
      </mc:Fallback>
    </mc:AlternateContent>
  </oleObjects>
  <mc:AlternateContent xmlns:mc="http://schemas.openxmlformats.org/markup-compatibility/2006">
    <mc:Choice Requires="x14">
      <controls>
        <mc:AlternateContent xmlns:mc="http://schemas.openxmlformats.org/markup-compatibility/2006">
          <mc:Choice Requires="x14">
            <control shapeId="12289" r:id="rId6" name="Button 1">
              <controlPr defaultSize="0" print="0" autoFill="0" autoPict="0" macro="[0]!cmdClearBridgingNeg">
                <anchor moveWithCells="1" sizeWithCells="1">
                  <from>
                    <xdr:col>2</xdr:col>
                    <xdr:colOff>266700</xdr:colOff>
                    <xdr:row>2</xdr:row>
                    <xdr:rowOff>50800</xdr:rowOff>
                  </from>
                  <to>
                    <xdr:col>2</xdr:col>
                    <xdr:colOff>1016000</xdr:colOff>
                    <xdr:row>2</xdr:row>
                    <xdr:rowOff>317500</xdr:rowOff>
                  </to>
                </anchor>
              </controlPr>
            </control>
          </mc:Choice>
        </mc:AlternateContent>
        <mc:AlternateContent xmlns:mc="http://schemas.openxmlformats.org/markup-compatibility/2006">
          <mc:Choice Requires="x14">
            <control shapeId="12290" r:id="rId7" name="Button 2">
              <controlPr defaultSize="0" print="0" autoFill="0" autoPict="0" macro="[0]!cmdBridging">
                <anchor moveWithCells="1" sizeWithCells="1">
                  <from>
                    <xdr:col>2</xdr:col>
                    <xdr:colOff>1092200</xdr:colOff>
                    <xdr:row>2</xdr:row>
                    <xdr:rowOff>50800</xdr:rowOff>
                  </from>
                  <to>
                    <xdr:col>3</xdr:col>
                    <xdr:colOff>1130300</xdr:colOff>
                    <xdr:row>2</xdr:row>
                    <xdr:rowOff>317500</xdr:rowOff>
                  </to>
                </anchor>
              </controlPr>
            </control>
          </mc:Choice>
        </mc:AlternateContent>
        <mc:AlternateContent xmlns:mc="http://schemas.openxmlformats.org/markup-compatibility/2006">
          <mc:Choice Requires="x14">
            <control shapeId="12291" r:id="rId8" name="Button 3">
              <controlPr defaultSize="0" print="0" autoFill="0" autoPict="0" macro="[0]!cmdClearBridgingNeg">
                <anchor moveWithCells="1" sizeWithCells="1">
                  <from>
                    <xdr:col>1</xdr:col>
                    <xdr:colOff>241300</xdr:colOff>
                    <xdr:row>45</xdr:row>
                    <xdr:rowOff>38100</xdr:rowOff>
                  </from>
                  <to>
                    <xdr:col>1</xdr:col>
                    <xdr:colOff>990600</xdr:colOff>
                    <xdr:row>47</xdr:row>
                    <xdr:rowOff>0</xdr:rowOff>
                  </to>
                </anchor>
              </controlPr>
            </control>
          </mc:Choice>
        </mc:AlternateContent>
        <mc:AlternateContent xmlns:mc="http://schemas.openxmlformats.org/markup-compatibility/2006">
          <mc:Choice Requires="x14">
            <control shapeId="12292" r:id="rId9" name="Button 4">
              <controlPr defaultSize="0" print="0" autoFill="0" autoPict="0" macro="[0]!cmdBridging">
                <anchor moveWithCells="1" sizeWithCells="1">
                  <from>
                    <xdr:col>1</xdr:col>
                    <xdr:colOff>1104900</xdr:colOff>
                    <xdr:row>45</xdr:row>
                    <xdr:rowOff>25400</xdr:rowOff>
                  </from>
                  <to>
                    <xdr:col>3</xdr:col>
                    <xdr:colOff>0</xdr:colOff>
                    <xdr:row>46</xdr:row>
                    <xdr:rowOff>139700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pageSetUpPr fitToPage="1"/>
  </sheetPr>
  <dimension ref="A1:O65"/>
  <sheetViews>
    <sheetView showGridLines="0" showRowColHeaders="0" zoomScaleNormal="100" workbookViewId="0"/>
  </sheetViews>
  <sheetFormatPr baseColWidth="10" defaultColWidth="8.83203125" defaultRowHeight="13" x14ac:dyDescent="0.15"/>
  <cols>
    <col min="1" max="1" width="1.6640625" customWidth="1"/>
    <col min="2" max="2" width="4.6640625" customWidth="1"/>
    <col min="3" max="3" width="23.1640625" customWidth="1"/>
    <col min="4" max="4" width="18.1640625" customWidth="1"/>
    <col min="5" max="5" width="14.1640625" customWidth="1"/>
    <col min="6" max="6" width="13.83203125" bestFit="1" customWidth="1"/>
    <col min="7" max="10" width="13.6640625" customWidth="1"/>
    <col min="11" max="12" width="14.1640625" customWidth="1"/>
    <col min="13" max="13" width="1.6640625" customWidth="1"/>
    <col min="15" max="15" width="9.1640625" hidden="1" customWidth="1"/>
  </cols>
  <sheetData>
    <row r="1" spans="1:15" ht="14" thickBot="1" x14ac:dyDescent="0.2">
      <c r="A1" s="705"/>
      <c r="B1" s="706"/>
      <c r="C1" s="706"/>
      <c r="D1" s="706"/>
      <c r="E1" s="706"/>
      <c r="F1" s="706"/>
      <c r="G1" s="706"/>
      <c r="H1" s="706"/>
      <c r="I1" s="706"/>
      <c r="J1" s="706"/>
      <c r="K1" s="706"/>
      <c r="L1" s="706"/>
      <c r="M1" s="707"/>
    </row>
    <row r="2" spans="1:15" ht="24" customHeight="1" thickBot="1" x14ac:dyDescent="0.2">
      <c r="A2" s="265"/>
      <c r="B2" s="693" t="s">
        <v>419</v>
      </c>
      <c r="C2" s="694"/>
      <c r="D2" s="695"/>
      <c r="E2" s="695"/>
      <c r="F2" s="695"/>
      <c r="G2" s="695"/>
      <c r="H2" s="696"/>
      <c r="I2" s="266"/>
      <c r="J2" s="266"/>
      <c r="K2" s="266"/>
      <c r="L2" s="266"/>
      <c r="M2" s="267"/>
    </row>
    <row r="3" spans="1:15" ht="25.5" customHeight="1" x14ac:dyDescent="0.15">
      <c r="A3" s="265"/>
      <c r="B3" s="266"/>
      <c r="C3" s="266"/>
      <c r="D3" s="266"/>
      <c r="E3" s="266"/>
      <c r="F3" s="266"/>
      <c r="G3" s="266"/>
      <c r="H3" s="266"/>
      <c r="I3" s="266"/>
      <c r="J3" s="266"/>
      <c r="K3" s="266"/>
      <c r="L3" s="266"/>
      <c r="M3" s="267"/>
    </row>
    <row r="4" spans="1:15" ht="24" customHeight="1" x14ac:dyDescent="0.15">
      <c r="A4" s="265"/>
      <c r="B4" s="689" t="s">
        <v>398</v>
      </c>
      <c r="C4" s="690"/>
      <c r="D4" s="691"/>
      <c r="E4" s="691"/>
      <c r="F4" s="691"/>
      <c r="G4" s="691"/>
      <c r="H4" s="691"/>
      <c r="I4" s="691"/>
      <c r="J4" s="691"/>
      <c r="K4" s="691"/>
      <c r="L4" s="692"/>
      <c r="M4" s="267"/>
    </row>
    <row r="5" spans="1:15" x14ac:dyDescent="0.15">
      <c r="A5" s="265"/>
      <c r="B5" s="266"/>
      <c r="C5" s="266"/>
      <c r="D5" s="266"/>
      <c r="E5" s="266"/>
      <c r="F5" s="266"/>
      <c r="G5" s="266"/>
      <c r="H5" s="266"/>
      <c r="I5" s="266"/>
      <c r="J5" s="266"/>
      <c r="K5" s="266"/>
      <c r="L5" s="266"/>
      <c r="M5" s="267"/>
    </row>
    <row r="6" spans="1:15" ht="42" x14ac:dyDescent="0.15">
      <c r="A6" s="265"/>
      <c r="B6" s="653"/>
      <c r="C6" s="708" t="s">
        <v>399</v>
      </c>
      <c r="D6" s="708" t="s">
        <v>400</v>
      </c>
      <c r="E6" s="708" t="s">
        <v>401</v>
      </c>
      <c r="F6" s="708" t="s">
        <v>402</v>
      </c>
      <c r="G6" s="708" t="s">
        <v>403</v>
      </c>
      <c r="H6" s="708" t="s">
        <v>404</v>
      </c>
      <c r="I6" s="709" t="s">
        <v>534</v>
      </c>
      <c r="J6" s="655" t="s">
        <v>405</v>
      </c>
      <c r="K6" s="655" t="s">
        <v>406</v>
      </c>
      <c r="L6" s="655" t="s">
        <v>407</v>
      </c>
      <c r="M6" s="267"/>
    </row>
    <row r="7" spans="1:15" x14ac:dyDescent="0.15">
      <c r="A7" s="265"/>
      <c r="B7" s="656">
        <v>1</v>
      </c>
      <c r="C7" s="657"/>
      <c r="D7" s="657"/>
      <c r="E7" s="658"/>
      <c r="F7" s="659"/>
      <c r="G7" s="660"/>
      <c r="H7" s="657"/>
      <c r="I7" s="657"/>
      <c r="J7" s="731" t="str">
        <f>IF(AND(NOT('Bridging Calculations'!O30),'Bridging Calculations'!P30),(G7*52)/F7,"")</f>
        <v/>
      </c>
      <c r="K7" s="661" t="str">
        <f>IF(AND(NOT('Bridging Calculations'!O30),'Bridging Calculations'!P30),MIN((G7*52)/12,(F7*0.06)/12),"")</f>
        <v/>
      </c>
      <c r="L7" s="661" t="str">
        <f>IF(AND(NOT('Bridging Calculations'!O30),'Bridging Calculations'!P30),K7*12,"")</f>
        <v/>
      </c>
      <c r="M7" s="267"/>
      <c r="O7" t="b">
        <f>'Bridging Calculations'!O30</f>
        <v>1</v>
      </c>
    </row>
    <row r="8" spans="1:15" x14ac:dyDescent="0.15">
      <c r="A8" s="265"/>
      <c r="B8" s="656">
        <v>2</v>
      </c>
      <c r="C8" s="657"/>
      <c r="D8" s="657"/>
      <c r="E8" s="658"/>
      <c r="F8" s="659"/>
      <c r="G8" s="660"/>
      <c r="H8" s="657"/>
      <c r="I8" s="657"/>
      <c r="J8" s="731" t="str">
        <f>IF(AND(NOT('Bridging Calculations'!O31),'Bridging Calculations'!P31),(G8*52)/F8,"")</f>
        <v/>
      </c>
      <c r="K8" s="661" t="str">
        <f>IF(AND(NOT('Bridging Calculations'!O31),'Bridging Calculations'!P31),MIN((G8*52)/12,(F8*0.06)/12),"")</f>
        <v/>
      </c>
      <c r="L8" s="661" t="str">
        <f>IF(AND(NOT('Bridging Calculations'!O31),'Bridging Calculations'!P31),K8*12,"")</f>
        <v/>
      </c>
      <c r="M8" s="267"/>
      <c r="O8" t="b">
        <f>'Bridging Calculations'!O31</f>
        <v>1</v>
      </c>
    </row>
    <row r="9" spans="1:15" x14ac:dyDescent="0.15">
      <c r="A9" s="265"/>
      <c r="B9" s="656">
        <v>3</v>
      </c>
      <c r="C9" s="657"/>
      <c r="D9" s="657"/>
      <c r="E9" s="658"/>
      <c r="F9" s="659"/>
      <c r="G9" s="660"/>
      <c r="H9" s="657"/>
      <c r="I9" s="657"/>
      <c r="J9" s="731" t="str">
        <f>IF(AND(NOT('Bridging Calculations'!O32),'Bridging Calculations'!P32),(G9*52)/F9,"")</f>
        <v/>
      </c>
      <c r="K9" s="661" t="str">
        <f>IF(AND(NOT('Bridging Calculations'!O32),'Bridging Calculations'!P32),MIN((G9*52)/12,(F9*0.06)/12),"")</f>
        <v/>
      </c>
      <c r="L9" s="661" t="str">
        <f>IF(AND(NOT('Bridging Calculations'!O32),'Bridging Calculations'!P32),K9*12,"")</f>
        <v/>
      </c>
      <c r="M9" s="267"/>
      <c r="O9" t="b">
        <f>'Bridging Calculations'!O32</f>
        <v>1</v>
      </c>
    </row>
    <row r="10" spans="1:15" x14ac:dyDescent="0.15">
      <c r="A10" s="265"/>
      <c r="B10" s="383">
        <v>4</v>
      </c>
      <c r="C10" s="657"/>
      <c r="D10" s="657"/>
      <c r="E10" s="658"/>
      <c r="F10" s="659"/>
      <c r="G10" s="660"/>
      <c r="H10" s="657"/>
      <c r="I10" s="657"/>
      <c r="J10" s="731" t="str">
        <f>IF(AND(NOT('Bridging Calculations'!O33),'Bridging Calculations'!P33),(G10*52)/F10,"")</f>
        <v/>
      </c>
      <c r="K10" s="661" t="str">
        <f>IF(AND(NOT('Bridging Calculations'!O33),'Bridging Calculations'!P33),MIN((G10*52)/12,(F10*0.06)/12),"")</f>
        <v/>
      </c>
      <c r="L10" s="661" t="str">
        <f>IF(AND(NOT('Bridging Calculations'!O33),'Bridging Calculations'!P33),K10*12,"")</f>
        <v/>
      </c>
      <c r="M10" s="267"/>
      <c r="O10" t="b">
        <f>'Bridging Calculations'!O33</f>
        <v>1</v>
      </c>
    </row>
    <row r="11" spans="1:15" x14ac:dyDescent="0.15">
      <c r="A11" s="265"/>
      <c r="B11" s="383">
        <v>5</v>
      </c>
      <c r="C11" s="658"/>
      <c r="D11" s="658"/>
      <c r="E11" s="658"/>
      <c r="F11" s="659"/>
      <c r="G11" s="660"/>
      <c r="H11" s="657"/>
      <c r="I11" s="657"/>
      <c r="J11" s="731" t="str">
        <f>IF(AND(NOT('Bridging Calculations'!O34),'Bridging Calculations'!P34),(G11*52)/F11,"")</f>
        <v/>
      </c>
      <c r="K11" s="661" t="str">
        <f>IF(AND(NOT('Bridging Calculations'!O34),'Bridging Calculations'!P34),MIN((G11*52)/12,(F11*0.06)/12),"")</f>
        <v/>
      </c>
      <c r="L11" s="661" t="str">
        <f>IF(AND(NOT('Bridging Calculations'!O34),'Bridging Calculations'!P34),K11*12,"")</f>
        <v/>
      </c>
      <c r="M11" s="267"/>
      <c r="O11" t="b">
        <f>'Bridging Calculations'!O34</f>
        <v>1</v>
      </c>
    </row>
    <row r="12" spans="1:15" x14ac:dyDescent="0.15">
      <c r="A12" s="265"/>
      <c r="B12" s="383">
        <v>6</v>
      </c>
      <c r="C12" s="658"/>
      <c r="D12" s="658"/>
      <c r="E12" s="658"/>
      <c r="F12" s="659"/>
      <c r="G12" s="660"/>
      <c r="H12" s="657"/>
      <c r="I12" s="657"/>
      <c r="J12" s="731" t="str">
        <f>IF(AND(NOT('Bridging Calculations'!O35),'Bridging Calculations'!P35),(G12*52)/F12,"")</f>
        <v/>
      </c>
      <c r="K12" s="661" t="str">
        <f>IF(AND(NOT('Bridging Calculations'!O35),'Bridging Calculations'!P35),MIN((G12*52)/12,(F12*0.06)/12),"")</f>
        <v/>
      </c>
      <c r="L12" s="661" t="str">
        <f>IF(AND(NOT('Bridging Calculations'!O35),'Bridging Calculations'!P35),K12*12,"")</f>
        <v/>
      </c>
      <c r="M12" s="267"/>
      <c r="O12" t="b">
        <f>'Bridging Calculations'!O35</f>
        <v>1</v>
      </c>
    </row>
    <row r="13" spans="1:15" x14ac:dyDescent="0.15">
      <c r="A13" s="265"/>
      <c r="B13" s="383">
        <v>7</v>
      </c>
      <c r="C13" s="658"/>
      <c r="D13" s="658"/>
      <c r="E13" s="658"/>
      <c r="F13" s="659"/>
      <c r="G13" s="660"/>
      <c r="H13" s="657"/>
      <c r="I13" s="657"/>
      <c r="J13" s="731" t="str">
        <f>IF(AND(NOT('Bridging Calculations'!O36),'Bridging Calculations'!P36),(G13*52)/F13,"")</f>
        <v/>
      </c>
      <c r="K13" s="661" t="str">
        <f>IF(AND(NOT('Bridging Calculations'!O36),'Bridging Calculations'!P36),MIN((G13*52)/12,(F13*0.06)/12),"")</f>
        <v/>
      </c>
      <c r="L13" s="661" t="str">
        <f>IF(AND(NOT('Bridging Calculations'!O36),'Bridging Calculations'!P36),K13*12,"")</f>
        <v/>
      </c>
      <c r="M13" s="267"/>
      <c r="O13" t="b">
        <f>'Bridging Calculations'!O36</f>
        <v>1</v>
      </c>
    </row>
    <row r="14" spans="1:15" x14ac:dyDescent="0.15">
      <c r="A14" s="265"/>
      <c r="B14" s="383">
        <v>8</v>
      </c>
      <c r="C14" s="658"/>
      <c r="D14" s="658"/>
      <c r="E14" s="658"/>
      <c r="F14" s="659"/>
      <c r="G14" s="660"/>
      <c r="H14" s="657"/>
      <c r="I14" s="657"/>
      <c r="J14" s="731" t="str">
        <f>IF(AND(NOT('Bridging Calculations'!O37),'Bridging Calculations'!P37),(G14*52)/F14,"")</f>
        <v/>
      </c>
      <c r="K14" s="661" t="str">
        <f>IF(AND(NOT('Bridging Calculations'!O37),'Bridging Calculations'!P37),MIN((G14*52)/12,(F14*0.06)/12),"")</f>
        <v/>
      </c>
      <c r="L14" s="661" t="str">
        <f>IF(AND(NOT('Bridging Calculations'!O37),'Bridging Calculations'!P37),K14*12,"")</f>
        <v/>
      </c>
      <c r="M14" s="267"/>
      <c r="O14" t="b">
        <f>'Bridging Calculations'!O37</f>
        <v>1</v>
      </c>
    </row>
    <row r="15" spans="1:15" x14ac:dyDescent="0.15">
      <c r="A15" s="265"/>
      <c r="B15" s="383">
        <v>9</v>
      </c>
      <c r="C15" s="658"/>
      <c r="D15" s="658"/>
      <c r="E15" s="658"/>
      <c r="F15" s="659"/>
      <c r="G15" s="660"/>
      <c r="H15" s="657"/>
      <c r="I15" s="657"/>
      <c r="J15" s="731" t="str">
        <f>IF(AND(NOT('Bridging Calculations'!O38),'Bridging Calculations'!P38),(G15*52)/F15,"")</f>
        <v/>
      </c>
      <c r="K15" s="661" t="str">
        <f>IF(AND(NOT('Bridging Calculations'!O38),'Bridging Calculations'!P38),MIN((G15*52)/12,(F15*0.06)/12),"")</f>
        <v/>
      </c>
      <c r="L15" s="661" t="str">
        <f>IF(AND(NOT('Bridging Calculations'!O38),'Bridging Calculations'!P38),K15*12,"")</f>
        <v/>
      </c>
      <c r="M15" s="267"/>
      <c r="O15" t="b">
        <f>'Bridging Calculations'!O38</f>
        <v>1</v>
      </c>
    </row>
    <row r="16" spans="1:15" x14ac:dyDescent="0.15">
      <c r="A16" s="265"/>
      <c r="B16" s="383">
        <v>10</v>
      </c>
      <c r="C16" s="658"/>
      <c r="D16" s="658"/>
      <c r="E16" s="658"/>
      <c r="F16" s="659"/>
      <c r="G16" s="660"/>
      <c r="H16" s="657"/>
      <c r="I16" s="657"/>
      <c r="J16" s="731" t="str">
        <f>IF(AND(NOT('Bridging Calculations'!O39),'Bridging Calculations'!P39),(G16*52)/F16,"")</f>
        <v/>
      </c>
      <c r="K16" s="661" t="str">
        <f>IF(AND(NOT('Bridging Calculations'!O39),'Bridging Calculations'!P39),MIN((G16*52)/12,(F16*0.06)/12),"")</f>
        <v/>
      </c>
      <c r="L16" s="661" t="str">
        <f>IF(AND(NOT('Bridging Calculations'!O39),'Bridging Calculations'!P39),K16*12,"")</f>
        <v/>
      </c>
      <c r="M16" s="267"/>
      <c r="O16" t="b">
        <f>'Bridging Calculations'!O39</f>
        <v>1</v>
      </c>
    </row>
    <row r="17" spans="1:15" x14ac:dyDescent="0.15">
      <c r="A17" s="265"/>
      <c r="B17" s="383">
        <v>11</v>
      </c>
      <c r="C17" s="658"/>
      <c r="D17" s="658"/>
      <c r="E17" s="658"/>
      <c r="F17" s="659"/>
      <c r="G17" s="660"/>
      <c r="H17" s="657"/>
      <c r="I17" s="657"/>
      <c r="J17" s="736" t="str">
        <f>IF(AND(NOT('Bridging Calculations'!O40),'Bridging Calculations'!P40),(G17*52)/F17,"")</f>
        <v/>
      </c>
      <c r="K17" s="737" t="str">
        <f>IF(AND(NOT('Bridging Calculations'!O40),'Bridging Calculations'!P40),MIN((G17*52)/12,(F17*0.06)/12),"")</f>
        <v/>
      </c>
      <c r="L17" s="737" t="str">
        <f>IF(AND(NOT('Bridging Calculations'!O40),'Bridging Calculations'!P40),K17*12,"")</f>
        <v/>
      </c>
      <c r="M17" s="267"/>
      <c r="O17" t="b">
        <f>'Bridging Calculations'!O40</f>
        <v>1</v>
      </c>
    </row>
    <row r="18" spans="1:15" x14ac:dyDescent="0.15">
      <c r="A18" s="265"/>
      <c r="B18" s="383">
        <v>12</v>
      </c>
      <c r="C18" s="658"/>
      <c r="D18" s="658"/>
      <c r="E18" s="658"/>
      <c r="F18" s="659"/>
      <c r="G18" s="660"/>
      <c r="H18" s="657"/>
      <c r="I18" s="657"/>
      <c r="J18" s="738" t="str">
        <f>IF(AND(NOT('Bridging Calculations'!O41),'Bridging Calculations'!P41),(G18*52)/F18,"")</f>
        <v/>
      </c>
      <c r="K18" s="739" t="str">
        <f>IF(AND(NOT('Bridging Calculations'!O41),'Bridging Calculations'!P41),MIN((G18*52)/12,(F18*0.06)/12),"")</f>
        <v/>
      </c>
      <c r="L18" s="739" t="str">
        <f>IF(AND(NOT('Bridging Calculations'!O41),'Bridging Calculations'!P41),K18*12,"")</f>
        <v/>
      </c>
      <c r="M18" s="267"/>
      <c r="O18" t="b">
        <f>'Bridging Calculations'!O41</f>
        <v>1</v>
      </c>
    </row>
    <row r="19" spans="1:15" x14ac:dyDescent="0.15">
      <c r="A19" s="265"/>
      <c r="B19" s="383">
        <v>13</v>
      </c>
      <c r="C19" s="658"/>
      <c r="D19" s="658"/>
      <c r="E19" s="658"/>
      <c r="F19" s="659"/>
      <c r="G19" s="660"/>
      <c r="H19" s="657"/>
      <c r="I19" s="657"/>
      <c r="J19" s="738" t="str">
        <f>IF(AND(NOT('Bridging Calculations'!O42),'Bridging Calculations'!P42),(G19*52)/F19,"")</f>
        <v/>
      </c>
      <c r="K19" s="739" t="str">
        <f>IF(AND(NOT('Bridging Calculations'!O42),'Bridging Calculations'!P42),MIN((G19*52)/12,(F19*0.06)/12),"")</f>
        <v/>
      </c>
      <c r="L19" s="739" t="str">
        <f>IF(AND(NOT('Bridging Calculations'!O42),'Bridging Calculations'!P42),K19*12,"")</f>
        <v/>
      </c>
      <c r="M19" s="267"/>
      <c r="O19" t="b">
        <f>'Bridging Calculations'!O42</f>
        <v>1</v>
      </c>
    </row>
    <row r="20" spans="1:15" x14ac:dyDescent="0.15">
      <c r="A20" s="265"/>
      <c r="B20" s="383">
        <v>14</v>
      </c>
      <c r="C20" s="658"/>
      <c r="D20" s="658"/>
      <c r="E20" s="658"/>
      <c r="F20" s="659"/>
      <c r="G20" s="660"/>
      <c r="H20" s="657"/>
      <c r="I20" s="657"/>
      <c r="J20" s="738" t="str">
        <f>IF(AND(NOT('Bridging Calculations'!O43),'Bridging Calculations'!P43),(G20*52)/F20,"")</f>
        <v/>
      </c>
      <c r="K20" s="739" t="str">
        <f>IF(AND(NOT('Bridging Calculations'!O43),'Bridging Calculations'!P43),MIN((G20*52)/12,(F20*0.06)/12),"")</f>
        <v/>
      </c>
      <c r="L20" s="739" t="str">
        <f>IF(AND(NOT('Bridging Calculations'!O43),'Bridging Calculations'!P43),K20*12,"")</f>
        <v/>
      </c>
      <c r="M20" s="267"/>
      <c r="O20" t="b">
        <f>'Bridging Calculations'!O43</f>
        <v>1</v>
      </c>
    </row>
    <row r="21" spans="1:15" x14ac:dyDescent="0.15">
      <c r="A21" s="265"/>
      <c r="B21" s="383">
        <v>15</v>
      </c>
      <c r="C21" s="658"/>
      <c r="D21" s="658"/>
      <c r="E21" s="658"/>
      <c r="F21" s="659"/>
      <c r="G21" s="660"/>
      <c r="H21" s="657"/>
      <c r="I21" s="657"/>
      <c r="J21" s="738" t="str">
        <f>IF(AND(NOT('Bridging Calculations'!O44),'Bridging Calculations'!P44),(G21*52)/F21,"")</f>
        <v/>
      </c>
      <c r="K21" s="739" t="str">
        <f>IF(AND(NOT('Bridging Calculations'!O44),'Bridging Calculations'!P44),MIN((G21*52)/12,(F21*0.06)/12),"")</f>
        <v/>
      </c>
      <c r="L21" s="739" t="str">
        <f>IF(AND(NOT('Bridging Calculations'!O44),'Bridging Calculations'!P44),K21*12,"")</f>
        <v/>
      </c>
      <c r="M21" s="267"/>
      <c r="O21" t="b">
        <f>'Bridging Calculations'!O44</f>
        <v>1</v>
      </c>
    </row>
    <row r="22" spans="1:15" x14ac:dyDescent="0.15">
      <c r="A22" s="265"/>
      <c r="B22" s="383">
        <v>16</v>
      </c>
      <c r="C22" s="658"/>
      <c r="D22" s="658"/>
      <c r="E22" s="658"/>
      <c r="F22" s="659"/>
      <c r="G22" s="660"/>
      <c r="H22" s="657"/>
      <c r="I22" s="657"/>
      <c r="J22" s="738" t="str">
        <f>IF(AND(NOT('Bridging Calculations'!O45),'Bridging Calculations'!P45),(G22*52)/F22,"")</f>
        <v/>
      </c>
      <c r="K22" s="739" t="str">
        <f>IF(AND(NOT('Bridging Calculations'!O45),'Bridging Calculations'!P45),MIN((G22*52)/12,(F22*0.06)/12),"")</f>
        <v/>
      </c>
      <c r="L22" s="739" t="str">
        <f>IF(AND(NOT('Bridging Calculations'!O45),'Bridging Calculations'!P45),K22*12,"")</f>
        <v/>
      </c>
      <c r="M22" s="267"/>
      <c r="O22" t="b">
        <f>'Bridging Calculations'!O45</f>
        <v>1</v>
      </c>
    </row>
    <row r="23" spans="1:15" x14ac:dyDescent="0.15">
      <c r="A23" s="265"/>
      <c r="B23" s="383">
        <v>17</v>
      </c>
      <c r="C23" s="658"/>
      <c r="D23" s="658"/>
      <c r="E23" s="658"/>
      <c r="F23" s="659"/>
      <c r="G23" s="660"/>
      <c r="H23" s="657"/>
      <c r="I23" s="657"/>
      <c r="J23" s="738" t="str">
        <f>IF(AND(NOT('Bridging Calculations'!O46),'Bridging Calculations'!P46),(G23*52)/F23,"")</f>
        <v/>
      </c>
      <c r="K23" s="739" t="str">
        <f>IF(AND(NOT('Bridging Calculations'!O46),'Bridging Calculations'!P46),MIN((G23*52)/12,(F23*0.06)/12),"")</f>
        <v/>
      </c>
      <c r="L23" s="739" t="str">
        <f>IF(AND(NOT('Bridging Calculations'!O46),'Bridging Calculations'!P46),K23*12,"")</f>
        <v/>
      </c>
      <c r="M23" s="267"/>
      <c r="O23" t="b">
        <f>'Bridging Calculations'!O46</f>
        <v>1</v>
      </c>
    </row>
    <row r="24" spans="1:15" x14ac:dyDescent="0.15">
      <c r="A24" s="265"/>
      <c r="B24" s="383">
        <v>18</v>
      </c>
      <c r="C24" s="658"/>
      <c r="D24" s="658"/>
      <c r="E24" s="658"/>
      <c r="F24" s="659"/>
      <c r="G24" s="660"/>
      <c r="H24" s="657"/>
      <c r="I24" s="657"/>
      <c r="J24" s="738" t="str">
        <f>IF(AND(NOT('Bridging Calculations'!O47),'Bridging Calculations'!P47),(G24*52)/F24,"")</f>
        <v/>
      </c>
      <c r="K24" s="739" t="str">
        <f>IF(AND(NOT('Bridging Calculations'!O47),'Bridging Calculations'!P47),MIN((G24*52)/12,(F24*0.06)/12),"")</f>
        <v/>
      </c>
      <c r="L24" s="739" t="str">
        <f>IF(AND(NOT('Bridging Calculations'!O47),'Bridging Calculations'!P47),K24*12,"")</f>
        <v/>
      </c>
      <c r="M24" s="267"/>
      <c r="O24" t="b">
        <f>'Bridging Calculations'!O47</f>
        <v>1</v>
      </c>
    </row>
    <row r="25" spans="1:15" x14ac:dyDescent="0.15">
      <c r="A25" s="265"/>
      <c r="B25" s="383">
        <v>19</v>
      </c>
      <c r="C25" s="658"/>
      <c r="D25" s="658"/>
      <c r="E25" s="658"/>
      <c r="F25" s="659"/>
      <c r="G25" s="660"/>
      <c r="H25" s="657"/>
      <c r="I25" s="657"/>
      <c r="J25" s="738" t="str">
        <f>IF(AND(NOT('Bridging Calculations'!O48),'Bridging Calculations'!P48),(G25*52)/F25,"")</f>
        <v/>
      </c>
      <c r="K25" s="739" t="str">
        <f>IF(AND(NOT('Bridging Calculations'!O48),'Bridging Calculations'!P48),MIN((G25*52)/12,(F25*0.06)/12),"")</f>
        <v/>
      </c>
      <c r="L25" s="739" t="str">
        <f>IF(AND(NOT('Bridging Calculations'!O48),'Bridging Calculations'!P48),K25*12,"")</f>
        <v/>
      </c>
      <c r="M25" s="267"/>
      <c r="O25" t="b">
        <f>'Bridging Calculations'!O48</f>
        <v>1</v>
      </c>
    </row>
    <row r="26" spans="1:15" x14ac:dyDescent="0.15">
      <c r="A26" s="265"/>
      <c r="B26" s="383">
        <v>20</v>
      </c>
      <c r="C26" s="658"/>
      <c r="D26" s="658"/>
      <c r="E26" s="658"/>
      <c r="F26" s="659"/>
      <c r="G26" s="660"/>
      <c r="H26" s="657"/>
      <c r="I26" s="657"/>
      <c r="J26" s="738" t="str">
        <f>IF(AND(NOT('Bridging Calculations'!O49),'Bridging Calculations'!P49),(G26*52)/F26,"")</f>
        <v/>
      </c>
      <c r="K26" s="739" t="str">
        <f>IF(AND(NOT('Bridging Calculations'!O49),'Bridging Calculations'!P49),MIN((G26*52)/12,(F26*0.06)/12),"")</f>
        <v/>
      </c>
      <c r="L26" s="739" t="str">
        <f>IF(AND(NOT('Bridging Calculations'!O49),'Bridging Calculations'!P49),K26*12,"")</f>
        <v/>
      </c>
      <c r="M26" s="267"/>
      <c r="O26" t="b">
        <f>'Bridging Calculations'!O49</f>
        <v>1</v>
      </c>
    </row>
    <row r="27" spans="1:15" ht="25.5" customHeight="1" x14ac:dyDescent="0.15">
      <c r="A27" s="265"/>
      <c r="B27" s="266"/>
      <c r="C27" s="266"/>
      <c r="D27" s="266"/>
      <c r="E27" s="266"/>
      <c r="F27" s="266"/>
      <c r="G27" s="266"/>
      <c r="H27" s="266"/>
      <c r="I27" s="266"/>
      <c r="J27" s="266"/>
      <c r="K27" s="266"/>
      <c r="L27" s="266"/>
      <c r="M27" s="267"/>
    </row>
    <row r="28" spans="1:15" x14ac:dyDescent="0.15">
      <c r="A28" s="265"/>
      <c r="B28" s="266"/>
      <c r="C28" s="266"/>
      <c r="D28" s="266"/>
      <c r="E28" s="266"/>
      <c r="F28" s="1003" t="s">
        <v>408</v>
      </c>
      <c r="G28" s="1005"/>
      <c r="H28" s="688"/>
      <c r="I28" s="688"/>
      <c r="J28" s="688"/>
      <c r="K28" s="688"/>
      <c r="L28" s="688"/>
      <c r="M28" s="267"/>
    </row>
    <row r="29" spans="1:15" ht="28" x14ac:dyDescent="0.15">
      <c r="A29" s="265"/>
      <c r="B29" s="266"/>
      <c r="C29" s="655" t="s">
        <v>407</v>
      </c>
      <c r="D29" s="662" t="s">
        <v>428</v>
      </c>
      <c r="E29" s="710" t="s">
        <v>89</v>
      </c>
      <c r="F29" s="664" t="s">
        <v>85</v>
      </c>
      <c r="G29" s="664" t="s">
        <v>86</v>
      </c>
      <c r="H29" s="715"/>
      <c r="I29" s="684"/>
      <c r="J29" s="684"/>
      <c r="K29" s="684"/>
      <c r="L29" s="684"/>
      <c r="M29" s="267"/>
    </row>
    <row r="30" spans="1:15" x14ac:dyDescent="0.15">
      <c r="A30" s="265"/>
      <c r="B30" s="383">
        <v>1</v>
      </c>
      <c r="C30" s="666" t="str">
        <f>IF(AND(NOT('Bridging Calculations'!O30),'Bridging Calculations'!P30),L7,"")</f>
        <v/>
      </c>
      <c r="D30" s="667"/>
      <c r="E30" s="711" t="str">
        <f>IF(AND(NOT('Bridging Calculations'!O30),'Bridging Calculations'!P30),C30*D30,"")</f>
        <v/>
      </c>
      <c r="F30" s="669"/>
      <c r="G30" s="669"/>
      <c r="H30" s="712"/>
      <c r="I30" s="713"/>
      <c r="J30" s="713"/>
      <c r="K30" s="713"/>
      <c r="L30" s="713"/>
      <c r="M30" s="267"/>
      <c r="O30" s="670">
        <f>SUM(F30:I30)</f>
        <v>0</v>
      </c>
    </row>
    <row r="31" spans="1:15" x14ac:dyDescent="0.15">
      <c r="A31" s="265"/>
      <c r="B31" s="383">
        <v>2</v>
      </c>
      <c r="C31" s="666" t="str">
        <f>IF(AND(NOT('Bridging Calculations'!O31),'Bridging Calculations'!P31),L8,"")</f>
        <v/>
      </c>
      <c r="D31" s="667"/>
      <c r="E31" s="711" t="str">
        <f>IF(AND(NOT('Bridging Calculations'!O31),'Bridging Calculations'!P31),C31*D31,"")</f>
        <v/>
      </c>
      <c r="F31" s="669"/>
      <c r="G31" s="669"/>
      <c r="H31" s="712"/>
      <c r="I31" s="713"/>
      <c r="J31" s="713"/>
      <c r="K31" s="713"/>
      <c r="L31" s="713"/>
      <c r="M31" s="267"/>
      <c r="O31" s="670">
        <f t="shared" ref="O31:O49" si="0">SUM(F31:I31)</f>
        <v>0</v>
      </c>
    </row>
    <row r="32" spans="1:15" x14ac:dyDescent="0.15">
      <c r="A32" s="265"/>
      <c r="B32" s="383">
        <v>3</v>
      </c>
      <c r="C32" s="666" t="str">
        <f>IF(AND(NOT('Bridging Calculations'!O32),'Bridging Calculations'!P32),L9,"")</f>
        <v/>
      </c>
      <c r="D32" s="671"/>
      <c r="E32" s="711" t="str">
        <f>IF(AND(NOT('Bridging Calculations'!O32),'Bridging Calculations'!P32),C32*D32,"")</f>
        <v/>
      </c>
      <c r="F32" s="669"/>
      <c r="G32" s="669"/>
      <c r="H32" s="712"/>
      <c r="I32" s="713"/>
      <c r="J32" s="713"/>
      <c r="K32" s="713"/>
      <c r="L32" s="713"/>
      <c r="M32" s="267"/>
      <c r="O32" s="670">
        <f t="shared" si="0"/>
        <v>0</v>
      </c>
    </row>
    <row r="33" spans="1:15" x14ac:dyDescent="0.15">
      <c r="A33" s="265"/>
      <c r="B33" s="383">
        <v>4</v>
      </c>
      <c r="C33" s="666" t="str">
        <f>IF(AND(NOT('Bridging Calculations'!O33),'Bridging Calculations'!P33),L10,"")</f>
        <v/>
      </c>
      <c r="D33" s="671"/>
      <c r="E33" s="711" t="str">
        <f>IF(AND(NOT('Bridging Calculations'!O33),'Bridging Calculations'!P33),C33*D33,"")</f>
        <v/>
      </c>
      <c r="F33" s="669"/>
      <c r="G33" s="669"/>
      <c r="H33" s="712"/>
      <c r="I33" s="713"/>
      <c r="J33" s="713"/>
      <c r="K33" s="713"/>
      <c r="L33" s="713"/>
      <c r="M33" s="267"/>
      <c r="O33" s="670">
        <f t="shared" si="0"/>
        <v>0</v>
      </c>
    </row>
    <row r="34" spans="1:15" x14ac:dyDescent="0.15">
      <c r="A34" s="265"/>
      <c r="B34" s="383">
        <v>5</v>
      </c>
      <c r="C34" s="666" t="str">
        <f>IF(AND(NOT('Bridging Calculations'!O34),'Bridging Calculations'!P34),L11,"")</f>
        <v/>
      </c>
      <c r="D34" s="735"/>
      <c r="E34" s="711" t="str">
        <f>IF(AND(NOT('Bridging Calculations'!O34),'Bridging Calculations'!P34),C34*D34,"")</f>
        <v/>
      </c>
      <c r="F34" s="669"/>
      <c r="G34" s="669"/>
      <c r="H34" s="712"/>
      <c r="I34" s="713"/>
      <c r="J34" s="714"/>
      <c r="K34" s="713"/>
      <c r="L34" s="713"/>
      <c r="M34" s="267"/>
      <c r="O34" s="670">
        <f t="shared" si="0"/>
        <v>0</v>
      </c>
    </row>
    <row r="35" spans="1:15" x14ac:dyDescent="0.15">
      <c r="A35" s="265"/>
      <c r="B35" s="383">
        <v>6</v>
      </c>
      <c r="C35" s="666" t="str">
        <f>IF(AND(NOT('Bridging Calculations'!O35),'Bridging Calculations'!P35),L12,"")</f>
        <v/>
      </c>
      <c r="D35" s="735"/>
      <c r="E35" s="711" t="str">
        <f>IF(AND(NOT('Bridging Calculations'!O35),'Bridging Calculations'!P35),C35*D35,"")</f>
        <v/>
      </c>
      <c r="F35" s="672"/>
      <c r="G35" s="669"/>
      <c r="H35" s="712"/>
      <c r="I35" s="713"/>
      <c r="J35" s="713"/>
      <c r="K35" s="713"/>
      <c r="L35" s="713"/>
      <c r="M35" s="267"/>
      <c r="O35" s="670">
        <f t="shared" si="0"/>
        <v>0</v>
      </c>
    </row>
    <row r="36" spans="1:15" x14ac:dyDescent="0.15">
      <c r="A36" s="265"/>
      <c r="B36" s="383">
        <v>7</v>
      </c>
      <c r="C36" s="666" t="str">
        <f>IF(AND(NOT('Bridging Calculations'!O36),'Bridging Calculations'!P36),L13,"")</f>
        <v/>
      </c>
      <c r="D36" s="735"/>
      <c r="E36" s="711" t="str">
        <f>IF(AND(NOT('Bridging Calculations'!O36),'Bridging Calculations'!P36),C36*D36,"")</f>
        <v/>
      </c>
      <c r="F36" s="669"/>
      <c r="G36" s="669"/>
      <c r="H36" s="712"/>
      <c r="I36" s="713"/>
      <c r="J36" s="713"/>
      <c r="K36" s="713"/>
      <c r="L36" s="713"/>
      <c r="M36" s="267"/>
      <c r="O36" s="670">
        <f t="shared" si="0"/>
        <v>0</v>
      </c>
    </row>
    <row r="37" spans="1:15" x14ac:dyDescent="0.15">
      <c r="A37" s="265"/>
      <c r="B37" s="383">
        <v>8</v>
      </c>
      <c r="C37" s="666" t="str">
        <f>IF(AND(NOT('Bridging Calculations'!O37),'Bridging Calculations'!P37),L14,"")</f>
        <v/>
      </c>
      <c r="D37" s="735"/>
      <c r="E37" s="711" t="str">
        <f>IF(AND(NOT('Bridging Calculations'!O37),'Bridging Calculations'!P37),C37*D37,"")</f>
        <v/>
      </c>
      <c r="F37" s="669"/>
      <c r="G37" s="669"/>
      <c r="H37" s="712"/>
      <c r="I37" s="713"/>
      <c r="J37" s="713"/>
      <c r="K37" s="713"/>
      <c r="L37" s="713"/>
      <c r="M37" s="267"/>
      <c r="O37" s="670">
        <f t="shared" si="0"/>
        <v>0</v>
      </c>
    </row>
    <row r="38" spans="1:15" x14ac:dyDescent="0.15">
      <c r="A38" s="265"/>
      <c r="B38" s="383">
        <v>9</v>
      </c>
      <c r="C38" s="666" t="str">
        <f>IF(AND(NOT('Bridging Calculations'!O38),'Bridging Calculations'!P38),L15,"")</f>
        <v/>
      </c>
      <c r="D38" s="735"/>
      <c r="E38" s="711" t="str">
        <f>IF(AND(NOT('Bridging Calculations'!O38),'Bridging Calculations'!P38),C38*D38,"")</f>
        <v/>
      </c>
      <c r="F38" s="669"/>
      <c r="G38" s="669"/>
      <c r="H38" s="712"/>
      <c r="I38" s="713"/>
      <c r="J38" s="713"/>
      <c r="K38" s="713"/>
      <c r="L38" s="713"/>
      <c r="M38" s="267"/>
      <c r="O38" s="670">
        <f t="shared" si="0"/>
        <v>0</v>
      </c>
    </row>
    <row r="39" spans="1:15" x14ac:dyDescent="0.15">
      <c r="A39" s="265"/>
      <c r="B39" s="383">
        <v>10</v>
      </c>
      <c r="C39" s="666" t="str">
        <f>IF(AND(NOT('Bridging Calculations'!O39),'Bridging Calculations'!P39),L16,"")</f>
        <v/>
      </c>
      <c r="D39" s="735"/>
      <c r="E39" s="711" t="str">
        <f>IF(AND(NOT('Bridging Calculations'!O39),'Bridging Calculations'!P39),C39*D39,"")</f>
        <v/>
      </c>
      <c r="F39" s="669"/>
      <c r="G39" s="669"/>
      <c r="H39" s="712"/>
      <c r="I39" s="713"/>
      <c r="J39" s="713"/>
      <c r="K39" s="713"/>
      <c r="L39" s="713"/>
      <c r="M39" s="267"/>
      <c r="O39" s="670">
        <f t="shared" si="0"/>
        <v>0</v>
      </c>
    </row>
    <row r="40" spans="1:15" x14ac:dyDescent="0.15">
      <c r="A40" s="265"/>
      <c r="B40" s="383">
        <v>11</v>
      </c>
      <c r="C40" s="734" t="str">
        <f>IF(AND(NOT('Bridging Calculations'!O40),'Bridging Calculations'!P40),L17,"")</f>
        <v/>
      </c>
      <c r="D40" s="735"/>
      <c r="E40" s="733" t="str">
        <f>IF(AND(NOT('Bridging Calculations'!O40),'Bridging Calculations'!P40),C40*D40,"")</f>
        <v/>
      </c>
      <c r="F40" s="669"/>
      <c r="G40" s="669"/>
      <c r="H40" s="713"/>
      <c r="I40" s="713"/>
      <c r="J40" s="713"/>
      <c r="K40" s="713"/>
      <c r="L40" s="713"/>
      <c r="M40" s="267"/>
      <c r="O40" s="670">
        <f t="shared" si="0"/>
        <v>0</v>
      </c>
    </row>
    <row r="41" spans="1:15" x14ac:dyDescent="0.15">
      <c r="A41" s="265"/>
      <c r="B41" s="383">
        <v>12</v>
      </c>
      <c r="C41" s="734" t="str">
        <f>IF(AND(NOT('Bridging Calculations'!O41),'Bridging Calculations'!P41),L18,"")</f>
        <v/>
      </c>
      <c r="D41" s="735"/>
      <c r="E41" s="733" t="str">
        <f>IF(AND(NOT('Bridging Calculations'!O41),'Bridging Calculations'!P41),C41*D41,"")</f>
        <v/>
      </c>
      <c r="F41" s="669"/>
      <c r="G41" s="669"/>
      <c r="H41" s="713"/>
      <c r="I41" s="713"/>
      <c r="J41" s="713"/>
      <c r="K41" s="713"/>
      <c r="L41" s="713"/>
      <c r="M41" s="267"/>
      <c r="O41" s="670">
        <f t="shared" si="0"/>
        <v>0</v>
      </c>
    </row>
    <row r="42" spans="1:15" x14ac:dyDescent="0.15">
      <c r="A42" s="265"/>
      <c r="B42" s="383">
        <v>13</v>
      </c>
      <c r="C42" s="734" t="str">
        <f>IF(AND(NOT('Bridging Calculations'!O42),'Bridging Calculations'!P42),L19,"")</f>
        <v/>
      </c>
      <c r="D42" s="735"/>
      <c r="E42" s="733" t="str">
        <f>IF(AND(NOT('Bridging Calculations'!O42),'Bridging Calculations'!P42),C42*D42,"")</f>
        <v/>
      </c>
      <c r="F42" s="669"/>
      <c r="G42" s="669"/>
      <c r="H42" s="713"/>
      <c r="I42" s="713"/>
      <c r="J42" s="713"/>
      <c r="K42" s="713"/>
      <c r="L42" s="713"/>
      <c r="M42" s="267"/>
      <c r="O42" s="670">
        <f t="shared" si="0"/>
        <v>0</v>
      </c>
    </row>
    <row r="43" spans="1:15" x14ac:dyDescent="0.15">
      <c r="A43" s="265"/>
      <c r="B43" s="383">
        <v>14</v>
      </c>
      <c r="C43" s="734" t="str">
        <f>IF(AND(NOT('Bridging Calculations'!O43),'Bridging Calculations'!P43),L20,"")</f>
        <v/>
      </c>
      <c r="D43" s="735"/>
      <c r="E43" s="733" t="str">
        <f>IF(AND(NOT('Bridging Calculations'!O43),'Bridging Calculations'!P43),C43*D43,"")</f>
        <v/>
      </c>
      <c r="F43" s="669"/>
      <c r="G43" s="669"/>
      <c r="H43" s="713"/>
      <c r="I43" s="713"/>
      <c r="J43" s="713"/>
      <c r="K43" s="713"/>
      <c r="L43" s="713"/>
      <c r="M43" s="267"/>
      <c r="O43" s="670">
        <f t="shared" si="0"/>
        <v>0</v>
      </c>
    </row>
    <row r="44" spans="1:15" x14ac:dyDescent="0.15">
      <c r="A44" s="265"/>
      <c r="B44" s="383">
        <v>15</v>
      </c>
      <c r="C44" s="734" t="str">
        <f>IF(AND(NOT('Bridging Calculations'!O44),'Bridging Calculations'!P44),L21,"")</f>
        <v/>
      </c>
      <c r="D44" s="735"/>
      <c r="E44" s="733" t="str">
        <f>IF(AND(NOT('Bridging Calculations'!O44),'Bridging Calculations'!P44),C44*D44,"")</f>
        <v/>
      </c>
      <c r="F44" s="669"/>
      <c r="G44" s="669"/>
      <c r="H44" s="713"/>
      <c r="I44" s="713"/>
      <c r="J44" s="713"/>
      <c r="K44" s="713"/>
      <c r="L44" s="713"/>
      <c r="M44" s="267"/>
      <c r="O44" s="670">
        <f t="shared" si="0"/>
        <v>0</v>
      </c>
    </row>
    <row r="45" spans="1:15" x14ac:dyDescent="0.15">
      <c r="A45" s="265"/>
      <c r="B45" s="383">
        <v>16</v>
      </c>
      <c r="C45" s="734" t="str">
        <f>IF(AND(NOT('Bridging Calculations'!O45),'Bridging Calculations'!P45),L22,"")</f>
        <v/>
      </c>
      <c r="D45" s="735"/>
      <c r="E45" s="733" t="str">
        <f>IF(AND(NOT('Bridging Calculations'!O45),'Bridging Calculations'!P45),C45*D45,"")</f>
        <v/>
      </c>
      <c r="F45" s="669"/>
      <c r="G45" s="669"/>
      <c r="H45" s="713"/>
      <c r="I45" s="713"/>
      <c r="J45" s="713"/>
      <c r="K45" s="713"/>
      <c r="L45" s="713"/>
      <c r="M45" s="267"/>
      <c r="O45" s="670">
        <f t="shared" si="0"/>
        <v>0</v>
      </c>
    </row>
    <row r="46" spans="1:15" x14ac:dyDescent="0.15">
      <c r="A46" s="265"/>
      <c r="B46" s="383">
        <v>17</v>
      </c>
      <c r="C46" s="734" t="str">
        <f>IF(AND(NOT('Bridging Calculations'!O46),'Bridging Calculations'!P46),L23,"")</f>
        <v/>
      </c>
      <c r="D46" s="735"/>
      <c r="E46" s="733" t="str">
        <f>IF(AND(NOT('Bridging Calculations'!O46),'Bridging Calculations'!P46),C46*D46,"")</f>
        <v/>
      </c>
      <c r="F46" s="669"/>
      <c r="G46" s="669"/>
      <c r="H46" s="713"/>
      <c r="I46" s="713"/>
      <c r="J46" s="713"/>
      <c r="K46" s="713"/>
      <c r="L46" s="713"/>
      <c r="M46" s="267"/>
      <c r="O46" s="670">
        <f t="shared" si="0"/>
        <v>0</v>
      </c>
    </row>
    <row r="47" spans="1:15" x14ac:dyDescent="0.15">
      <c r="A47" s="265"/>
      <c r="B47" s="383">
        <v>18</v>
      </c>
      <c r="C47" s="734" t="str">
        <f>IF(AND(NOT('Bridging Calculations'!O47),'Bridging Calculations'!P47),L24,"")</f>
        <v/>
      </c>
      <c r="D47" s="735"/>
      <c r="E47" s="733" t="str">
        <f>IF(AND(NOT('Bridging Calculations'!O47),'Bridging Calculations'!P47),C47*D47,"")</f>
        <v/>
      </c>
      <c r="F47" s="669"/>
      <c r="G47" s="669"/>
      <c r="H47" s="713"/>
      <c r="I47" s="713"/>
      <c r="J47" s="713"/>
      <c r="K47" s="713"/>
      <c r="L47" s="713"/>
      <c r="M47" s="267"/>
      <c r="O47" s="670">
        <f t="shared" si="0"/>
        <v>0</v>
      </c>
    </row>
    <row r="48" spans="1:15" x14ac:dyDescent="0.15">
      <c r="A48" s="265"/>
      <c r="B48" s="383">
        <v>19</v>
      </c>
      <c r="C48" s="734" t="str">
        <f>IF(AND(NOT('Bridging Calculations'!O48),'Bridging Calculations'!P48),L25,"")</f>
        <v/>
      </c>
      <c r="D48" s="735"/>
      <c r="E48" s="733" t="str">
        <f>IF(AND(NOT('Bridging Calculations'!O48),'Bridging Calculations'!P48),C48*D48,"")</f>
        <v/>
      </c>
      <c r="F48" s="669"/>
      <c r="G48" s="669"/>
      <c r="H48" s="713"/>
      <c r="I48" s="713"/>
      <c r="J48" s="713"/>
      <c r="K48" s="713"/>
      <c r="L48" s="713"/>
      <c r="M48" s="267"/>
      <c r="O48" s="670">
        <f t="shared" si="0"/>
        <v>0</v>
      </c>
    </row>
    <row r="49" spans="1:15" x14ac:dyDescent="0.15">
      <c r="A49" s="265"/>
      <c r="B49" s="383">
        <v>20</v>
      </c>
      <c r="C49" s="734" t="str">
        <f>IF(AND(NOT('Bridging Calculations'!O49),'Bridging Calculations'!P49),L26,"")</f>
        <v/>
      </c>
      <c r="D49" s="735"/>
      <c r="E49" s="733" t="str">
        <f>IF(AND(NOT('Bridging Calculations'!O49),'Bridging Calculations'!P49),C49*D49,"")</f>
        <v/>
      </c>
      <c r="F49" s="669"/>
      <c r="G49" s="669"/>
      <c r="H49" s="713"/>
      <c r="I49" s="713"/>
      <c r="J49" s="713"/>
      <c r="K49" s="713"/>
      <c r="L49" s="713"/>
      <c r="M49" s="267"/>
      <c r="O49" s="670">
        <f t="shared" si="0"/>
        <v>0</v>
      </c>
    </row>
    <row r="50" spans="1:15" ht="25.5" customHeight="1" x14ac:dyDescent="0.15">
      <c r="A50" s="265"/>
      <c r="B50" s="266"/>
      <c r="C50" s="266"/>
      <c r="D50" s="673"/>
      <c r="E50" s="266"/>
      <c r="F50" s="266"/>
      <c r="G50" s="266"/>
      <c r="H50" s="266"/>
      <c r="I50" s="266"/>
      <c r="J50" s="266"/>
      <c r="K50" s="266"/>
      <c r="L50" s="266"/>
      <c r="M50" s="267"/>
    </row>
    <row r="51" spans="1:15" ht="24" customHeight="1" x14ac:dyDescent="0.15">
      <c r="A51" s="265"/>
      <c r="B51" s="689" t="s">
        <v>413</v>
      </c>
      <c r="C51" s="690"/>
      <c r="D51" s="691"/>
      <c r="E51" s="691"/>
      <c r="F51" s="691"/>
      <c r="G51" s="691"/>
      <c r="H51" s="691"/>
      <c r="I51" s="691"/>
      <c r="J51" s="691"/>
      <c r="K51" s="691"/>
      <c r="L51" s="692"/>
      <c r="M51" s="267"/>
    </row>
    <row r="52" spans="1:15" x14ac:dyDescent="0.15">
      <c r="A52" s="265"/>
      <c r="B52" s="266"/>
      <c r="C52" s="266"/>
      <c r="D52" s="673"/>
      <c r="E52" s="266"/>
      <c r="F52" s="266"/>
      <c r="G52" s="266"/>
      <c r="H52" s="266"/>
      <c r="I52" s="266"/>
      <c r="J52" s="266"/>
      <c r="K52" s="266"/>
      <c r="L52" s="266"/>
      <c r="M52" s="267"/>
    </row>
    <row r="53" spans="1:15" ht="25.5" customHeight="1" x14ac:dyDescent="0.15">
      <c r="A53" s="265"/>
      <c r="B53" s="266"/>
      <c r="C53" s="266"/>
      <c r="D53" s="266"/>
      <c r="E53" s="266"/>
      <c r="F53" s="674" t="s">
        <v>85</v>
      </c>
      <c r="G53" s="674" t="s">
        <v>86</v>
      </c>
      <c r="H53" s="680"/>
      <c r="I53" s="653"/>
      <c r="J53" s="653"/>
      <c r="K53" s="653"/>
      <c r="L53" s="653"/>
      <c r="M53" s="267"/>
    </row>
    <row r="54" spans="1:15" x14ac:dyDescent="0.15">
      <c r="A54" s="265"/>
      <c r="B54" s="266"/>
      <c r="C54" s="266"/>
      <c r="D54" s="266"/>
      <c r="E54" s="521" t="s">
        <v>410</v>
      </c>
      <c r="F54" s="661">
        <f t="array" ref="F54">SUM(IF(($H$7:$H$26="Existing")*(($I$7:$I$26="Bridging")+($I$7:$I$26="Both")),($E$30:$E$49)*(F30:F49),0))</f>
        <v>0</v>
      </c>
      <c r="G54" s="661">
        <f t="array" ref="G54">SUM(IF(($H$7:$H$26="Existing")*(($I$7:$I$26="Bridging")+($I$7:$I$26="Both")),($E$30:$E$49)*(G30:G49),0))</f>
        <v>0</v>
      </c>
      <c r="H54" s="681"/>
      <c r="I54" s="682"/>
      <c r="J54" s="682"/>
      <c r="K54" s="682"/>
      <c r="L54" s="682"/>
      <c r="M54" s="267"/>
    </row>
    <row r="55" spans="1:15" x14ac:dyDescent="0.15">
      <c r="A55" s="265"/>
      <c r="B55" s="266"/>
      <c r="C55" s="266"/>
      <c r="D55" s="266"/>
      <c r="E55" s="521" t="s">
        <v>411</v>
      </c>
      <c r="F55" s="661">
        <f t="array" ref="F55">SUM(IF(($H$7:$H$26="Proposed")*(($I$7:$I$26="Bridging")+($I$7:$I$26="Both")),($E$30:$E$49)*(F30:F49),0))</f>
        <v>0</v>
      </c>
      <c r="G55" s="661">
        <f t="array" ref="G55">SUM(IF(($H$7:$H$26="Proposed")*(($I$7:$I$26="Bridging")+($I$7:$I$26="Both")),($E$30:$E$49)*(G30:G49),0))</f>
        <v>0</v>
      </c>
      <c r="H55" s="681"/>
      <c r="I55" s="682"/>
      <c r="J55" s="682"/>
      <c r="K55" s="682"/>
      <c r="L55" s="682"/>
      <c r="M55" s="267"/>
    </row>
    <row r="56" spans="1:15" x14ac:dyDescent="0.15">
      <c r="A56" s="265"/>
      <c r="B56" s="266"/>
      <c r="C56" s="266"/>
      <c r="D56" s="266"/>
      <c r="E56" s="266"/>
      <c r="F56" s="266"/>
      <c r="G56" s="266"/>
      <c r="H56" s="266"/>
      <c r="I56" s="688"/>
      <c r="J56" s="521"/>
      <c r="K56" s="673"/>
      <c r="L56" s="673"/>
      <c r="M56" s="267"/>
    </row>
    <row r="57" spans="1:15" ht="24" customHeight="1" x14ac:dyDescent="0.15">
      <c r="A57" s="265"/>
      <c r="B57" s="689" t="s">
        <v>535</v>
      </c>
      <c r="C57" s="690"/>
      <c r="D57" s="691"/>
      <c r="E57" s="691"/>
      <c r="F57" s="691"/>
      <c r="G57" s="691"/>
      <c r="H57" s="691"/>
      <c r="I57" s="691"/>
      <c r="J57" s="691"/>
      <c r="K57" s="691"/>
      <c r="L57" s="692"/>
      <c r="M57" s="267"/>
    </row>
    <row r="58" spans="1:15" x14ac:dyDescent="0.15">
      <c r="A58" s="265"/>
      <c r="B58" s="266"/>
      <c r="C58" s="266"/>
      <c r="D58" s="673"/>
      <c r="E58" s="266"/>
      <c r="F58" s="266"/>
      <c r="G58" s="266"/>
      <c r="H58" s="266"/>
      <c r="I58" s="266"/>
      <c r="J58" s="266"/>
      <c r="K58" s="266"/>
      <c r="L58" s="266"/>
      <c r="M58" s="267"/>
    </row>
    <row r="59" spans="1:15" ht="25.5" customHeight="1" x14ac:dyDescent="0.15">
      <c r="A59" s="265"/>
      <c r="B59" s="266"/>
      <c r="C59" s="266"/>
      <c r="D59" s="266"/>
      <c r="E59" s="266"/>
      <c r="F59" s="674" t="s">
        <v>85</v>
      </c>
      <c r="G59" s="674" t="s">
        <v>86</v>
      </c>
      <c r="H59" s="680"/>
      <c r="I59" s="653"/>
      <c r="J59" s="653"/>
      <c r="K59" s="653"/>
      <c r="L59" s="653"/>
      <c r="M59" s="267"/>
    </row>
    <row r="60" spans="1:15" x14ac:dyDescent="0.15">
      <c r="A60" s="265"/>
      <c r="B60" s="266"/>
      <c r="C60" s="266"/>
      <c r="D60" s="266"/>
      <c r="E60" s="521" t="s">
        <v>410</v>
      </c>
      <c r="F60" s="661">
        <f t="array" ref="F60">SUM(IF(($H$7:$H$26="Existing")*(($I$7:$I$26="Ongoing")+($I$7:$I$26="Both")),($E$30:$E$49)*(F30:F49),0))</f>
        <v>0</v>
      </c>
      <c r="G60" s="661">
        <f t="array" ref="G60">SUM(IF(($H$7:$H$26="Existing")*(($I$7:$I$26="Ongoing")+($I$7:$I$26="Both")),($E$30:$E$49)*(G30:G49),0))</f>
        <v>0</v>
      </c>
      <c r="H60" s="681"/>
      <c r="I60" s="682"/>
      <c r="J60" s="682"/>
      <c r="K60" s="682"/>
      <c r="L60" s="682"/>
      <c r="M60" s="267"/>
    </row>
    <row r="61" spans="1:15" x14ac:dyDescent="0.15">
      <c r="A61" s="265"/>
      <c r="B61" s="266"/>
      <c r="C61" s="266"/>
      <c r="D61" s="266"/>
      <c r="E61" s="521" t="s">
        <v>411</v>
      </c>
      <c r="F61" s="661">
        <f t="array" ref="F61">SUM(IF(($H$7:$H$26="Proposed")*(($I$7:$I$26="Ongoing")+($I$7:$I$26="Both")),($E$30:$E$49)*(F30:F49),0))</f>
        <v>0</v>
      </c>
      <c r="G61" s="661">
        <f t="array" ref="G61">SUM(IF(($H$7:$H$26="Proposed")*(($I$7:$I$26="Ongoing")+($I$7:$I$26="Both")),($E$30:$E$49)*(G30:G49),0))</f>
        <v>0</v>
      </c>
      <c r="H61" s="681"/>
      <c r="I61" s="682"/>
      <c r="J61" s="682"/>
      <c r="K61" s="682"/>
      <c r="L61" s="682"/>
      <c r="M61" s="267"/>
    </row>
    <row r="62" spans="1:15" x14ac:dyDescent="0.15">
      <c r="A62" s="265"/>
      <c r="B62" s="266"/>
      <c r="C62" s="266"/>
      <c r="D62" s="266"/>
      <c r="E62" s="266"/>
      <c r="F62" s="266"/>
      <c r="G62" s="266"/>
      <c r="H62" s="266"/>
      <c r="I62" s="688"/>
      <c r="J62" s="521"/>
      <c r="K62" s="673"/>
      <c r="L62" s="673"/>
      <c r="M62" s="267"/>
    </row>
    <row r="63" spans="1:15" x14ac:dyDescent="0.15">
      <c r="A63" s="265"/>
      <c r="B63" s="266"/>
      <c r="C63" s="266"/>
      <c r="D63" s="266"/>
      <c r="E63" s="266"/>
      <c r="F63" s="266"/>
      <c r="G63" s="266"/>
      <c r="H63" s="675"/>
      <c r="I63" s="266"/>
      <c r="J63" s="266"/>
      <c r="K63" s="266"/>
      <c r="L63" s="266"/>
      <c r="M63" s="267"/>
    </row>
    <row r="64" spans="1:15" x14ac:dyDescent="0.15">
      <c r="A64" s="677"/>
      <c r="B64" s="678"/>
      <c r="C64" s="678"/>
      <c r="D64" s="678"/>
      <c r="E64" s="678"/>
      <c r="F64" s="678"/>
      <c r="G64" s="678"/>
      <c r="H64" s="679"/>
      <c r="I64" s="678"/>
      <c r="J64" s="678"/>
      <c r="K64" s="679"/>
      <c r="L64" s="679" t="s">
        <v>129</v>
      </c>
      <c r="M64" s="267"/>
    </row>
    <row r="65" spans="1:13" x14ac:dyDescent="0.15">
      <c r="A65" s="274"/>
      <c r="B65" s="275"/>
      <c r="C65" s="275"/>
      <c r="D65" s="275"/>
      <c r="E65" s="275"/>
      <c r="F65" s="275"/>
      <c r="G65" s="275"/>
      <c r="H65" s="275"/>
      <c r="I65" s="275"/>
      <c r="J65" s="275"/>
      <c r="K65" s="275"/>
      <c r="L65" s="275"/>
      <c r="M65" s="276"/>
    </row>
  </sheetData>
  <sheetProtection algorithmName="SHA-512" hashValue="SqnRffAygH4Tt7HW52GqRIVcjx1PDh2j1uGlMz5/EZK2bM877Dt3ukZ1/+oJt31Hd2R3oFGwEZoiJybSY/ghdQ==" saltValue="UfnXmqyecUXJREUt2dA2dw==" spinCount="100000" sheet="1" objects="1" scenarios="1"/>
  <mergeCells count="1">
    <mergeCell ref="F28:G28"/>
  </mergeCells>
  <conditionalFormatting sqref="F30:G49">
    <cfRule type="expression" dxfId="7" priority="2">
      <formula>AND($D30&gt;0,SUM($F30:$K30)=0)</formula>
    </cfRule>
  </conditionalFormatting>
  <conditionalFormatting sqref="L7:L26">
    <cfRule type="expression" dxfId="6" priority="3" stopIfTrue="1">
      <formula>$L7=($F7*0.08)</formula>
    </cfRule>
  </conditionalFormatting>
  <conditionalFormatting sqref="F7:I26">
    <cfRule type="expression" dxfId="5" priority="1">
      <formula>AND($O7=FALSE,F7="")</formula>
    </cfRule>
  </conditionalFormatting>
  <dataValidations count="9">
    <dataValidation type="list" allowBlank="1" showInputMessage="1" showErrorMessage="1" promptTitle="Existing or Proposed" prompt="Select whether this property is either an existing or proposed" sqref="H7:H26" xr:uid="{00000000-0002-0000-0900-000000000000}">
      <formula1>"Existing,Proposed"</formula1>
    </dataValidation>
    <dataValidation type="whole" operator="lessThanOrEqual" allowBlank="1" showInputMessage="1" showErrorMessage="1" promptTitle="Postcode" prompt="Enter the postcode of the property" sqref="E7:E26" xr:uid="{00000000-0002-0000-0900-000001000000}">
      <formula1>9999</formula1>
    </dataValidation>
    <dataValidation allowBlank="1" showInputMessage="1" showErrorMessage="1" promptTitle="Address" prompt="Enter the address of the property" sqref="C7:C26" xr:uid="{00000000-0002-0000-0900-000002000000}"/>
    <dataValidation allowBlank="1" showInputMessage="1" showErrorMessage="1" promptTitle="Suburb" prompt="Enter the suburb of the property" sqref="D7:D26" xr:uid="{00000000-0002-0000-0900-000003000000}"/>
    <dataValidation type="whole" operator="greaterThan" allowBlank="1" showInputMessage="1" showErrorMessage="1" error="OEV must be a whole number greater than $0." promptTitle="OEV" prompt="Enter the owners estimated value of the property" sqref="F7:F26" xr:uid="{00000000-0002-0000-0900-000004000000}">
      <formula1>0</formula1>
    </dataValidation>
    <dataValidation allowBlank="1" showInputMessage="1" showErrorMessage="1" promptTitle="Declared Weekly Rental Income" prompt="Enter the weekly rental income from this property" sqref="G7:G26" xr:uid="{00000000-0002-0000-0900-000005000000}"/>
    <dataValidation type="list" allowBlank="1" showInputMessage="1" showErrorMessage="1" promptTitle="Eligible Percentage" prompt="% of income eligible to be used for servicing. Please refer to the postcode tool for any specific geographic policies that may apply." sqref="D30:D49" xr:uid="{00000000-0002-0000-0900-000006000000}">
      <formula1>"0%,10%,20%,30%,40%,50%,60%,70%,80%"</formula1>
    </dataValidation>
    <dataValidation type="decimal" allowBlank="1" showInputMessage="1" showErrorMessage="1" promptTitle="Share of Rental Income" prompt="Enter this applicant's share of rental income as a percentage between 0 and 100." sqref="F30:G49" xr:uid="{00000000-0002-0000-0900-000007000000}">
      <formula1>0</formula1>
      <formula2>100</formula2>
    </dataValidation>
    <dataValidation type="list" allowBlank="1" showInputMessage="1" showErrorMessage="1" promptTitle="Bridging or Ongoing" prompt="Select whether this property will be owned during the bridging period, the ongoing period or during both periods." sqref="I7:I26" xr:uid="{00000000-0002-0000-0900-000008000000}">
      <formula1>"Bridging,Ongoing,Both"</formula1>
    </dataValidation>
  </dataValidations>
  <pageMargins left="0.19685039370078741" right="0.19685039370078741" top="0.19685039370078741" bottom="0.19685039370078741" header="0.31496062992125984" footer="0.31496062992125984"/>
  <pageSetup scale="64" orientation="portrait" r:id="rId1"/>
  <headerFooter>
    <oddFooter>&amp;L&amp;"Calibri"&amp;11&amp;K000000&amp;"Calibri"&amp;11&amp;K000000&amp;"Calibri"&amp;11&amp;K000000&amp;"Calibri"&amp;11&amp;K000000&amp;"Calibri"&amp;11&amp;K000000&amp;"Calibri"&amp;11&amp;K000000Printed: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1505" r:id="rId4">
          <objectPr defaultSize="0" autoPict="0" r:id="rId5">
            <anchor moveWithCells="1">
              <from>
                <xdr:col>9</xdr:col>
                <xdr:colOff>787400</xdr:colOff>
                <xdr:row>1</xdr:row>
                <xdr:rowOff>12700</xdr:rowOff>
              </from>
              <to>
                <xdr:col>11</xdr:col>
                <xdr:colOff>939800</xdr:colOff>
                <xdr:row>2</xdr:row>
                <xdr:rowOff>76200</xdr:rowOff>
              </to>
            </anchor>
          </objectPr>
        </oleObject>
      </mc:Choice>
      <mc:Fallback>
        <oleObject progId="MSPhotoEd.3" shapeId="21505" r:id="rId4"/>
      </mc:Fallback>
    </mc:AlternateContent>
  </oleObjects>
  <mc:AlternateContent xmlns:mc="http://schemas.openxmlformats.org/markup-compatibility/2006">
    <mc:Choice Requires="x14">
      <controls>
        <mc:AlternateContent xmlns:mc="http://schemas.openxmlformats.org/markup-compatibility/2006">
          <mc:Choice Requires="x14">
            <control shapeId="21506" r:id="rId6" name="Button 2">
              <controlPr defaultSize="0" print="0" autoFill="0" autoPict="0" macro="[0]!cmdClearBridgingRentalYield">
                <anchor moveWithCells="1">
                  <from>
                    <xdr:col>4</xdr:col>
                    <xdr:colOff>12700</xdr:colOff>
                    <xdr:row>62</xdr:row>
                    <xdr:rowOff>12700</xdr:rowOff>
                  </from>
                  <to>
                    <xdr:col>4</xdr:col>
                    <xdr:colOff>774700</xdr:colOff>
                    <xdr:row>63</xdr:row>
                    <xdr:rowOff>114300</xdr:rowOff>
                  </to>
                </anchor>
              </controlPr>
            </control>
          </mc:Choice>
        </mc:AlternateContent>
        <mc:AlternateContent xmlns:mc="http://schemas.openxmlformats.org/markup-compatibility/2006">
          <mc:Choice Requires="x14">
            <control shapeId="21507" r:id="rId7" name="Button 3">
              <controlPr defaultSize="0" print="0" autoFill="0" autoPict="0" macro="[0]!cmdBridging">
                <anchor moveWithCells="1">
                  <from>
                    <xdr:col>5</xdr:col>
                    <xdr:colOff>0</xdr:colOff>
                    <xdr:row>62</xdr:row>
                    <xdr:rowOff>12700</xdr:rowOff>
                  </from>
                  <to>
                    <xdr:col>6</xdr:col>
                    <xdr:colOff>381000</xdr:colOff>
                    <xdr:row>63</xdr:row>
                    <xdr:rowOff>114300</xdr:rowOff>
                  </to>
                </anchor>
              </controlPr>
            </control>
          </mc:Choice>
        </mc:AlternateContent>
        <mc:AlternateContent xmlns:mc="http://schemas.openxmlformats.org/markup-compatibility/2006">
          <mc:Choice Requires="x14">
            <control shapeId="21508" r:id="rId8" name="Button 4">
              <controlPr defaultSize="0" print="0" autoFill="0" autoPict="0" macro="[0]!cmdBridging">
                <anchor moveWithCells="1">
                  <from>
                    <xdr:col>6</xdr:col>
                    <xdr:colOff>12700</xdr:colOff>
                    <xdr:row>2</xdr:row>
                    <xdr:rowOff>25400</xdr:rowOff>
                  </from>
                  <to>
                    <xdr:col>7</xdr:col>
                    <xdr:colOff>406400</xdr:colOff>
                    <xdr:row>2</xdr:row>
                    <xdr:rowOff>292100</xdr:rowOff>
                  </to>
                </anchor>
              </controlPr>
            </control>
          </mc:Choice>
        </mc:AlternateContent>
        <mc:AlternateContent xmlns:mc="http://schemas.openxmlformats.org/markup-compatibility/2006">
          <mc:Choice Requires="x14">
            <control shapeId="21509" r:id="rId9" name="Button 5">
              <controlPr defaultSize="0" print="0" autoFill="0" autoPict="0" macro="[0]!cmdClearBridgingRentalYield">
                <anchor moveWithCells="1">
                  <from>
                    <xdr:col>5</xdr:col>
                    <xdr:colOff>0</xdr:colOff>
                    <xdr:row>2</xdr:row>
                    <xdr:rowOff>25400</xdr:rowOff>
                  </from>
                  <to>
                    <xdr:col>5</xdr:col>
                    <xdr:colOff>762000</xdr:colOff>
                    <xdr:row>2</xdr:row>
                    <xdr:rowOff>292100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pageSetUpPr fitToPage="1"/>
  </sheetPr>
  <dimension ref="A1:L49"/>
  <sheetViews>
    <sheetView showGridLines="0" showRowColHeaders="0" topLeftCell="A36" workbookViewId="0">
      <selection activeCell="F13" sqref="F13"/>
    </sheetView>
  </sheetViews>
  <sheetFormatPr baseColWidth="10" defaultColWidth="8.83203125" defaultRowHeight="13" x14ac:dyDescent="0.15"/>
  <cols>
    <col min="1" max="1" width="1.6640625" customWidth="1"/>
    <col min="2" max="2" width="2.6640625" customWidth="1"/>
    <col min="3" max="3" width="11.6640625" customWidth="1"/>
    <col min="4" max="10" width="12.33203125" customWidth="1"/>
    <col min="11" max="11" width="2.6640625" customWidth="1"/>
    <col min="12" max="12" width="1.6640625" customWidth="1"/>
  </cols>
  <sheetData>
    <row r="1" spans="1:12" ht="14" thickBot="1" x14ac:dyDescent="0.2">
      <c r="A1" s="255"/>
      <c r="B1" s="256"/>
      <c r="C1" s="256"/>
      <c r="D1" s="256"/>
      <c r="E1" s="256"/>
      <c r="F1" s="256"/>
      <c r="G1" s="256"/>
      <c r="H1" s="256"/>
      <c r="I1" s="256"/>
      <c r="J1" s="256"/>
      <c r="K1" s="256"/>
      <c r="L1" s="257"/>
    </row>
    <row r="2" spans="1:12" s="74" customFormat="1" ht="24" customHeight="1" thickBot="1" x14ac:dyDescent="0.2">
      <c r="A2" s="258"/>
      <c r="B2" s="259" t="s">
        <v>206</v>
      </c>
      <c r="C2" s="260"/>
      <c r="D2" s="260"/>
      <c r="E2" s="260"/>
      <c r="F2" s="261"/>
      <c r="G2" s="262"/>
      <c r="H2" s="263"/>
      <c r="I2" s="263"/>
      <c r="J2" s="263"/>
      <c r="K2" s="263"/>
      <c r="L2" s="264"/>
    </row>
    <row r="3" spans="1:12" ht="17.25" customHeight="1" x14ac:dyDescent="0.15">
      <c r="A3" s="265"/>
      <c r="B3" s="266"/>
      <c r="C3" s="266"/>
      <c r="D3" s="266"/>
      <c r="E3" s="266"/>
      <c r="F3" s="266"/>
      <c r="G3" s="266"/>
      <c r="H3" s="266"/>
      <c r="I3" s="266"/>
      <c r="J3" s="266"/>
      <c r="K3" s="266"/>
      <c r="L3" s="267"/>
    </row>
    <row r="4" spans="1:12" x14ac:dyDescent="0.15">
      <c r="A4" s="265"/>
      <c r="B4" s="255"/>
      <c r="C4" s="256"/>
      <c r="D4" s="256"/>
      <c r="E4" s="256"/>
      <c r="F4" s="256"/>
      <c r="G4" s="256"/>
      <c r="H4" s="256"/>
      <c r="I4" s="256"/>
      <c r="J4" s="256"/>
      <c r="K4" s="257"/>
      <c r="L4" s="267"/>
    </row>
    <row r="5" spans="1:12" x14ac:dyDescent="0.15">
      <c r="A5" s="265"/>
      <c r="B5" s="265"/>
      <c r="C5" s="266"/>
      <c r="D5" s="266"/>
      <c r="E5" s="266"/>
      <c r="F5" s="268" t="s">
        <v>207</v>
      </c>
      <c r="G5" s="268"/>
      <c r="H5" s="268" t="s">
        <v>219</v>
      </c>
      <c r="I5" s="268"/>
      <c r="J5" s="268" t="s">
        <v>208</v>
      </c>
      <c r="K5" s="267"/>
      <c r="L5" s="267"/>
    </row>
    <row r="6" spans="1:12" x14ac:dyDescent="0.15">
      <c r="A6" s="265"/>
      <c r="B6" s="265"/>
      <c r="C6" s="266"/>
      <c r="D6" s="266"/>
      <c r="E6" s="266"/>
      <c r="F6" s="266"/>
      <c r="G6" s="266"/>
      <c r="H6" s="266"/>
      <c r="I6" s="266"/>
      <c r="J6" s="266"/>
      <c r="K6" s="267"/>
      <c r="L6" s="267"/>
    </row>
    <row r="7" spans="1:12" x14ac:dyDescent="0.15">
      <c r="A7" s="265"/>
      <c r="B7" s="265"/>
      <c r="C7" s="269" t="s">
        <v>209</v>
      </c>
      <c r="D7" s="266"/>
      <c r="E7" s="266"/>
      <c r="F7" s="270"/>
      <c r="G7" s="266"/>
      <c r="H7" s="270"/>
      <c r="I7" s="266"/>
      <c r="J7" s="270"/>
      <c r="K7" s="267"/>
      <c r="L7" s="267"/>
    </row>
    <row r="8" spans="1:12" x14ac:dyDescent="0.15">
      <c r="A8" s="265"/>
      <c r="B8" s="265"/>
      <c r="C8" s="269" t="s">
        <v>210</v>
      </c>
      <c r="D8" s="266"/>
      <c r="E8" s="266"/>
      <c r="F8" s="271"/>
      <c r="G8" s="266"/>
      <c r="H8" s="271"/>
      <c r="I8" s="266"/>
      <c r="J8" s="271"/>
      <c r="K8" s="267"/>
      <c r="L8" s="267"/>
    </row>
    <row r="9" spans="1:12" x14ac:dyDescent="0.15">
      <c r="A9" s="265"/>
      <c r="B9" s="265"/>
      <c r="C9" s="269" t="s">
        <v>211</v>
      </c>
      <c r="D9" s="266"/>
      <c r="E9" s="266"/>
      <c r="F9" s="272"/>
      <c r="G9" s="266"/>
      <c r="H9" s="272"/>
      <c r="I9" s="266"/>
      <c r="J9" s="272"/>
      <c r="K9" s="267"/>
      <c r="L9" s="267"/>
    </row>
    <row r="10" spans="1:12" x14ac:dyDescent="0.15">
      <c r="A10" s="265"/>
      <c r="B10" s="265"/>
      <c r="C10" s="269" t="s">
        <v>196</v>
      </c>
      <c r="D10" s="266"/>
      <c r="E10" s="266"/>
      <c r="F10" s="271"/>
      <c r="G10" s="266"/>
      <c r="H10" s="271"/>
      <c r="I10" s="266"/>
      <c r="J10" s="271"/>
      <c r="K10" s="267"/>
      <c r="L10" s="267"/>
    </row>
    <row r="11" spans="1:12" x14ac:dyDescent="0.15">
      <c r="A11" s="265"/>
      <c r="B11" s="265"/>
      <c r="C11" s="269" t="s">
        <v>63</v>
      </c>
      <c r="D11" s="266"/>
      <c r="E11" s="266"/>
      <c r="F11" s="339"/>
      <c r="G11" s="266"/>
      <c r="H11" s="339"/>
      <c r="I11" s="266"/>
      <c r="J11" s="339"/>
      <c r="K11" s="267"/>
      <c r="L11" s="267"/>
    </row>
    <row r="12" spans="1:12" ht="14" thickBot="1" x14ac:dyDescent="0.2">
      <c r="A12" s="265"/>
      <c r="B12" s="265"/>
      <c r="C12" s="269"/>
      <c r="D12" s="266"/>
      <c r="E12" s="266"/>
      <c r="F12" s="266"/>
      <c r="G12" s="266"/>
      <c r="H12" s="266"/>
      <c r="I12" s="266"/>
      <c r="J12" s="266"/>
      <c r="K12" s="267"/>
      <c r="L12" s="267"/>
    </row>
    <row r="13" spans="1:12" ht="14" thickBot="1" x14ac:dyDescent="0.2">
      <c r="A13" s="265"/>
      <c r="B13" s="265"/>
      <c r="C13" s="269" t="s">
        <v>212</v>
      </c>
      <c r="D13" s="266"/>
      <c r="E13" s="266"/>
      <c r="F13" s="340">
        <f>IF(AND(F7&lt;&gt;"",F8&lt;&gt;"",F9&lt;&gt;""), IF(F8&lt;=F10,"Check I/O",ROUNDUP(-PMT(F9/12,(F8-F10)*12,F7)+F11,0)),0)</f>
        <v>0</v>
      </c>
      <c r="G13" s="266"/>
      <c r="H13" s="340">
        <f>IF(AND(H7&lt;&gt;"",H8&lt;&gt;"",H9&lt;&gt;""), IF(H8&lt;=H10,"Check I/O",ROUNDUP(-PMT(H9/12,(H8-H10)*12,H7)+H11,0)),0)</f>
        <v>0</v>
      </c>
      <c r="I13" s="266"/>
      <c r="J13" s="340">
        <f>IF(AND(J7&lt;&gt;"",J8&lt;&gt;"",J9&lt;&gt;""), IF(J8&lt;=J10,"Check I/O",ROUNDUP(-PMT(J9/12,(J8-J10)*12,J7)+J11,0)),0)</f>
        <v>0</v>
      </c>
      <c r="K13" s="267"/>
      <c r="L13" s="267"/>
    </row>
    <row r="14" spans="1:12" x14ac:dyDescent="0.15">
      <c r="A14" s="265"/>
      <c r="B14" s="274"/>
      <c r="C14" s="275"/>
      <c r="D14" s="275"/>
      <c r="E14" s="275"/>
      <c r="F14" s="275"/>
      <c r="G14" s="275"/>
      <c r="H14" s="275"/>
      <c r="I14" s="275"/>
      <c r="J14" s="275"/>
      <c r="K14" s="276"/>
      <c r="L14" s="267"/>
    </row>
    <row r="15" spans="1:12" ht="38.25" customHeight="1" x14ac:dyDescent="0.15">
      <c r="A15" s="265"/>
      <c r="B15" s="266"/>
      <c r="C15" s="266"/>
      <c r="D15" s="266"/>
      <c r="E15" s="266"/>
      <c r="F15" s="266"/>
      <c r="G15" s="266"/>
      <c r="H15" s="266"/>
      <c r="I15" s="266"/>
      <c r="J15" s="266"/>
      <c r="K15" s="266"/>
      <c r="L15" s="267"/>
    </row>
    <row r="16" spans="1:12" x14ac:dyDescent="0.15">
      <c r="A16" s="265"/>
      <c r="B16" s="255"/>
      <c r="C16" s="256"/>
      <c r="D16" s="256"/>
      <c r="E16" s="256"/>
      <c r="F16" s="256"/>
      <c r="G16" s="256"/>
      <c r="H16" s="256"/>
      <c r="I16" s="256"/>
      <c r="J16" s="256"/>
      <c r="K16" s="257"/>
      <c r="L16" s="267"/>
    </row>
    <row r="17" spans="1:12" ht="16" x14ac:dyDescent="0.2">
      <c r="A17" s="265"/>
      <c r="B17" s="265"/>
      <c r="C17" s="277" t="s">
        <v>213</v>
      </c>
      <c r="D17" s="266"/>
      <c r="E17" s="266"/>
      <c r="F17" s="266"/>
      <c r="G17" s="266"/>
      <c r="H17" s="266"/>
      <c r="I17" s="266"/>
      <c r="J17" s="266"/>
      <c r="K17" s="267"/>
      <c r="L17" s="267"/>
    </row>
    <row r="18" spans="1:12" x14ac:dyDescent="0.15">
      <c r="A18" s="265"/>
      <c r="B18" s="265"/>
      <c r="C18" s="266"/>
      <c r="D18" s="266"/>
      <c r="E18" s="266"/>
      <c r="F18" s="266"/>
      <c r="G18" s="266"/>
      <c r="H18" s="266"/>
      <c r="I18" s="266"/>
      <c r="J18" s="266"/>
      <c r="K18" s="267"/>
      <c r="L18" s="267"/>
    </row>
    <row r="19" spans="1:12" x14ac:dyDescent="0.15">
      <c r="A19" s="265"/>
      <c r="B19" s="265"/>
      <c r="C19" s="278" t="s">
        <v>214</v>
      </c>
      <c r="D19" s="272"/>
      <c r="E19" s="266"/>
      <c r="F19" s="279" t="s">
        <v>215</v>
      </c>
      <c r="G19" s="271"/>
      <c r="H19" s="266"/>
      <c r="I19" s="279" t="s">
        <v>216</v>
      </c>
      <c r="J19" s="273"/>
      <c r="K19" s="267"/>
      <c r="L19" s="267"/>
    </row>
    <row r="20" spans="1:12" ht="14" thickBot="1" x14ac:dyDescent="0.2">
      <c r="A20" s="265"/>
      <c r="B20" s="265"/>
      <c r="C20" s="266"/>
      <c r="D20" s="266"/>
      <c r="E20" s="266"/>
      <c r="F20" s="266"/>
      <c r="G20" s="266"/>
      <c r="H20" s="266"/>
      <c r="I20" s="266"/>
      <c r="J20" s="266"/>
      <c r="K20" s="267"/>
      <c r="L20" s="267"/>
    </row>
    <row r="21" spans="1:12" x14ac:dyDescent="0.15">
      <c r="A21" s="265"/>
      <c r="B21" s="265"/>
      <c r="C21" s="1024" t="s">
        <v>217</v>
      </c>
      <c r="D21" s="1026" t="s">
        <v>210</v>
      </c>
      <c r="E21" s="1027"/>
      <c r="F21" s="1027"/>
      <c r="G21" s="1027"/>
      <c r="H21" s="1027"/>
      <c r="I21" s="1028"/>
      <c r="J21" s="280" t="s">
        <v>218</v>
      </c>
      <c r="K21" s="267"/>
      <c r="L21" s="267"/>
    </row>
    <row r="22" spans="1:12" ht="14" thickBot="1" x14ac:dyDescent="0.2">
      <c r="A22" s="265"/>
      <c r="B22" s="265"/>
      <c r="C22" s="1025"/>
      <c r="D22" s="281">
        <v>5</v>
      </c>
      <c r="E22" s="282">
        <v>10</v>
      </c>
      <c r="F22" s="282">
        <v>15</v>
      </c>
      <c r="G22" s="282">
        <v>20</v>
      </c>
      <c r="H22" s="282">
        <v>25</v>
      </c>
      <c r="I22" s="283">
        <v>30</v>
      </c>
      <c r="J22" s="284"/>
      <c r="K22" s="267"/>
      <c r="L22" s="267"/>
    </row>
    <row r="23" spans="1:12" x14ac:dyDescent="0.15">
      <c r="A23" s="265"/>
      <c r="B23" s="265"/>
      <c r="C23" s="285">
        <v>25000</v>
      </c>
      <c r="D23" s="286">
        <f t="shared" ref="D23:I42" si="0">IF(D$22&lt;=$G$19,"Check I/O",ROUNDUP(-PMT($D$19/12,(D$22-$G$19)*12,$C23)+$J$19,0))</f>
        <v>417</v>
      </c>
      <c r="E23" s="287">
        <f>IF(E$22&lt;=$G$19,"Check I/O",ROUNDUP(-PMT($D$19/12,(E$22-$G$19)*12,$C23)+$J$19,0))</f>
        <v>209</v>
      </c>
      <c r="F23" s="287">
        <f>IF(F$22&lt;=$G$19,"Check I/O",ROUNDUP(-PMT($D$19/12,(F$22-$G$19)*12,$C23)+$J$19,0))</f>
        <v>139</v>
      </c>
      <c r="G23" s="287">
        <f t="shared" si="0"/>
        <v>105</v>
      </c>
      <c r="H23" s="287">
        <f>IF(H$22&lt;=$G$19,"Check I/O",ROUNDUP(-PMT($D$19/12,(H$22-$G$19)*12,$C23)+$J$19,0))</f>
        <v>84</v>
      </c>
      <c r="I23" s="287">
        <f>IF(I$22&lt;=$G$19,"Check I/O",ROUNDUP(-PMT($D$19/12,(I$22-$G$19)*12,$C23)+$J$19,0))</f>
        <v>70</v>
      </c>
      <c r="J23" s="288" t="str">
        <f>IF(J$22="","",IF(J$22&lt;=$G$19,"Check I/O",ROUNDUP(-PMT($D$19/12,(J$22-$G$19)*12,$C23)+$J$19,0)))</f>
        <v/>
      </c>
      <c r="K23" s="267"/>
      <c r="L23" s="267"/>
    </row>
    <row r="24" spans="1:12" x14ac:dyDescent="0.15">
      <c r="A24" s="265"/>
      <c r="B24" s="265"/>
      <c r="C24" s="289">
        <v>50000</v>
      </c>
      <c r="D24" s="290">
        <f t="shared" si="0"/>
        <v>834</v>
      </c>
      <c r="E24" s="291">
        <f t="shared" si="0"/>
        <v>417</v>
      </c>
      <c r="F24" s="291">
        <f t="shared" si="0"/>
        <v>278</v>
      </c>
      <c r="G24" s="291">
        <f t="shared" si="0"/>
        <v>209</v>
      </c>
      <c r="H24" s="291">
        <f t="shared" si="0"/>
        <v>167</v>
      </c>
      <c r="I24" s="291">
        <f t="shared" si="0"/>
        <v>139</v>
      </c>
      <c r="J24" s="292" t="str">
        <f t="shared" ref="J24:J42" si="1">IF(J$22="","",IF(J$22&lt;=$G$19,"Check I/O",ROUNDUP(-PMT($D$19/12,(J$22-$G$19)*12,$C24)+$J$19,0)))</f>
        <v/>
      </c>
      <c r="K24" s="267"/>
      <c r="L24" s="267"/>
    </row>
    <row r="25" spans="1:12" x14ac:dyDescent="0.15">
      <c r="A25" s="265"/>
      <c r="B25" s="265"/>
      <c r="C25" s="289">
        <v>75000</v>
      </c>
      <c r="D25" s="290">
        <f t="shared" si="0"/>
        <v>1250</v>
      </c>
      <c r="E25" s="291">
        <f t="shared" si="0"/>
        <v>625</v>
      </c>
      <c r="F25" s="291">
        <f t="shared" si="0"/>
        <v>417</v>
      </c>
      <c r="G25" s="291">
        <f t="shared" si="0"/>
        <v>313</v>
      </c>
      <c r="H25" s="291">
        <f t="shared" si="0"/>
        <v>250</v>
      </c>
      <c r="I25" s="291">
        <f t="shared" si="0"/>
        <v>209</v>
      </c>
      <c r="J25" s="292" t="str">
        <f t="shared" si="1"/>
        <v/>
      </c>
      <c r="K25" s="267"/>
      <c r="L25" s="267"/>
    </row>
    <row r="26" spans="1:12" x14ac:dyDescent="0.15">
      <c r="A26" s="265"/>
      <c r="B26" s="265"/>
      <c r="C26" s="289">
        <v>100000</v>
      </c>
      <c r="D26" s="290">
        <f t="shared" si="0"/>
        <v>1667</v>
      </c>
      <c r="E26" s="291">
        <f t="shared" si="0"/>
        <v>834</v>
      </c>
      <c r="F26" s="291">
        <f t="shared" si="0"/>
        <v>556</v>
      </c>
      <c r="G26" s="291">
        <f t="shared" si="0"/>
        <v>417</v>
      </c>
      <c r="H26" s="291">
        <f t="shared" si="0"/>
        <v>334</v>
      </c>
      <c r="I26" s="291">
        <f t="shared" si="0"/>
        <v>278</v>
      </c>
      <c r="J26" s="292" t="str">
        <f t="shared" si="1"/>
        <v/>
      </c>
      <c r="K26" s="267"/>
      <c r="L26" s="267"/>
    </row>
    <row r="27" spans="1:12" x14ac:dyDescent="0.15">
      <c r="A27" s="265"/>
      <c r="B27" s="265"/>
      <c r="C27" s="289">
        <v>125000</v>
      </c>
      <c r="D27" s="290">
        <f t="shared" si="0"/>
        <v>2084</v>
      </c>
      <c r="E27" s="291">
        <f t="shared" si="0"/>
        <v>1042</v>
      </c>
      <c r="F27" s="291">
        <f t="shared" si="0"/>
        <v>695</v>
      </c>
      <c r="G27" s="291">
        <f t="shared" si="0"/>
        <v>521</v>
      </c>
      <c r="H27" s="291">
        <f t="shared" si="0"/>
        <v>417</v>
      </c>
      <c r="I27" s="291">
        <f t="shared" si="0"/>
        <v>348</v>
      </c>
      <c r="J27" s="292" t="str">
        <f t="shared" si="1"/>
        <v/>
      </c>
      <c r="K27" s="267"/>
      <c r="L27" s="267"/>
    </row>
    <row r="28" spans="1:12" x14ac:dyDescent="0.15">
      <c r="A28" s="265"/>
      <c r="B28" s="265"/>
      <c r="C28" s="289">
        <v>150000</v>
      </c>
      <c r="D28" s="290">
        <f t="shared" si="0"/>
        <v>2500</v>
      </c>
      <c r="E28" s="291">
        <f t="shared" si="0"/>
        <v>1250</v>
      </c>
      <c r="F28" s="291">
        <f t="shared" si="0"/>
        <v>834</v>
      </c>
      <c r="G28" s="291">
        <f t="shared" si="0"/>
        <v>625</v>
      </c>
      <c r="H28" s="291">
        <f t="shared" si="0"/>
        <v>500</v>
      </c>
      <c r="I28" s="291">
        <f t="shared" si="0"/>
        <v>417</v>
      </c>
      <c r="J28" s="292" t="str">
        <f t="shared" si="1"/>
        <v/>
      </c>
      <c r="K28" s="267"/>
      <c r="L28" s="267"/>
    </row>
    <row r="29" spans="1:12" x14ac:dyDescent="0.15">
      <c r="A29" s="265"/>
      <c r="B29" s="265"/>
      <c r="C29" s="289">
        <v>175000</v>
      </c>
      <c r="D29" s="290">
        <f t="shared" si="0"/>
        <v>2917</v>
      </c>
      <c r="E29" s="291">
        <f t="shared" si="0"/>
        <v>1459</v>
      </c>
      <c r="F29" s="291">
        <f t="shared" si="0"/>
        <v>973</v>
      </c>
      <c r="G29" s="291">
        <f t="shared" si="0"/>
        <v>730</v>
      </c>
      <c r="H29" s="291">
        <f t="shared" si="0"/>
        <v>584</v>
      </c>
      <c r="I29" s="291">
        <f t="shared" si="0"/>
        <v>487</v>
      </c>
      <c r="J29" s="292" t="str">
        <f t="shared" si="1"/>
        <v/>
      </c>
      <c r="K29" s="267"/>
      <c r="L29" s="267"/>
    </row>
    <row r="30" spans="1:12" x14ac:dyDescent="0.15">
      <c r="A30" s="265"/>
      <c r="B30" s="265"/>
      <c r="C30" s="289">
        <v>200000</v>
      </c>
      <c r="D30" s="290">
        <f t="shared" si="0"/>
        <v>3334</v>
      </c>
      <c r="E30" s="291">
        <f t="shared" si="0"/>
        <v>1667</v>
      </c>
      <c r="F30" s="291">
        <f t="shared" si="0"/>
        <v>1112</v>
      </c>
      <c r="G30" s="291">
        <f t="shared" si="0"/>
        <v>834</v>
      </c>
      <c r="H30" s="291">
        <f t="shared" si="0"/>
        <v>667</v>
      </c>
      <c r="I30" s="291">
        <f t="shared" si="0"/>
        <v>556</v>
      </c>
      <c r="J30" s="292" t="str">
        <f t="shared" si="1"/>
        <v/>
      </c>
      <c r="K30" s="267"/>
      <c r="L30" s="267"/>
    </row>
    <row r="31" spans="1:12" x14ac:dyDescent="0.15">
      <c r="A31" s="265"/>
      <c r="B31" s="265"/>
      <c r="C31" s="289">
        <v>225000</v>
      </c>
      <c r="D31" s="290">
        <f t="shared" si="0"/>
        <v>3750</v>
      </c>
      <c r="E31" s="291">
        <f t="shared" si="0"/>
        <v>1875</v>
      </c>
      <c r="F31" s="291">
        <f t="shared" si="0"/>
        <v>1250</v>
      </c>
      <c r="G31" s="291">
        <f t="shared" si="0"/>
        <v>938</v>
      </c>
      <c r="H31" s="291">
        <f t="shared" si="0"/>
        <v>750</v>
      </c>
      <c r="I31" s="291">
        <f t="shared" si="0"/>
        <v>625</v>
      </c>
      <c r="J31" s="292" t="str">
        <f t="shared" si="1"/>
        <v/>
      </c>
      <c r="K31" s="267"/>
      <c r="L31" s="267"/>
    </row>
    <row r="32" spans="1:12" x14ac:dyDescent="0.15">
      <c r="A32" s="265"/>
      <c r="B32" s="265"/>
      <c r="C32" s="289">
        <v>250000</v>
      </c>
      <c r="D32" s="290">
        <f t="shared" si="0"/>
        <v>4167</v>
      </c>
      <c r="E32" s="291">
        <f t="shared" si="0"/>
        <v>2084</v>
      </c>
      <c r="F32" s="291">
        <f t="shared" si="0"/>
        <v>1389</v>
      </c>
      <c r="G32" s="291">
        <f t="shared" si="0"/>
        <v>1042</v>
      </c>
      <c r="H32" s="291">
        <f t="shared" si="0"/>
        <v>834</v>
      </c>
      <c r="I32" s="291">
        <f t="shared" si="0"/>
        <v>695</v>
      </c>
      <c r="J32" s="292" t="str">
        <f t="shared" si="1"/>
        <v/>
      </c>
      <c r="K32" s="267"/>
      <c r="L32" s="267"/>
    </row>
    <row r="33" spans="1:12" x14ac:dyDescent="0.15">
      <c r="A33" s="265"/>
      <c r="B33" s="265"/>
      <c r="C33" s="289">
        <v>275000</v>
      </c>
      <c r="D33" s="290">
        <f t="shared" si="0"/>
        <v>4584</v>
      </c>
      <c r="E33" s="291">
        <f t="shared" si="0"/>
        <v>2292</v>
      </c>
      <c r="F33" s="291">
        <f t="shared" si="0"/>
        <v>1528</v>
      </c>
      <c r="G33" s="291">
        <f t="shared" si="0"/>
        <v>1146</v>
      </c>
      <c r="H33" s="291">
        <f t="shared" si="0"/>
        <v>917</v>
      </c>
      <c r="I33" s="291">
        <f t="shared" si="0"/>
        <v>764</v>
      </c>
      <c r="J33" s="292" t="str">
        <f t="shared" si="1"/>
        <v/>
      </c>
      <c r="K33" s="267"/>
      <c r="L33" s="267"/>
    </row>
    <row r="34" spans="1:12" x14ac:dyDescent="0.15">
      <c r="A34" s="265"/>
      <c r="B34" s="265"/>
      <c r="C34" s="289">
        <v>300000</v>
      </c>
      <c r="D34" s="290">
        <f t="shared" si="0"/>
        <v>5000</v>
      </c>
      <c r="E34" s="291">
        <f t="shared" si="0"/>
        <v>2500</v>
      </c>
      <c r="F34" s="291">
        <f t="shared" si="0"/>
        <v>1667</v>
      </c>
      <c r="G34" s="291">
        <f t="shared" si="0"/>
        <v>1250</v>
      </c>
      <c r="H34" s="291">
        <f t="shared" si="0"/>
        <v>1000</v>
      </c>
      <c r="I34" s="291">
        <f t="shared" si="0"/>
        <v>834</v>
      </c>
      <c r="J34" s="292" t="str">
        <f t="shared" si="1"/>
        <v/>
      </c>
      <c r="K34" s="267"/>
      <c r="L34" s="267"/>
    </row>
    <row r="35" spans="1:12" x14ac:dyDescent="0.15">
      <c r="A35" s="265"/>
      <c r="B35" s="265"/>
      <c r="C35" s="289">
        <v>325000</v>
      </c>
      <c r="D35" s="290">
        <f t="shared" si="0"/>
        <v>5417</v>
      </c>
      <c r="E35" s="291">
        <f t="shared" si="0"/>
        <v>2709</v>
      </c>
      <c r="F35" s="291">
        <f t="shared" si="0"/>
        <v>1806</v>
      </c>
      <c r="G35" s="291">
        <f t="shared" si="0"/>
        <v>1355</v>
      </c>
      <c r="H35" s="291">
        <f t="shared" si="0"/>
        <v>1084</v>
      </c>
      <c r="I35" s="291">
        <f t="shared" si="0"/>
        <v>903</v>
      </c>
      <c r="J35" s="292" t="str">
        <f t="shared" si="1"/>
        <v/>
      </c>
      <c r="K35" s="267"/>
      <c r="L35" s="267"/>
    </row>
    <row r="36" spans="1:12" x14ac:dyDescent="0.15">
      <c r="A36" s="265"/>
      <c r="B36" s="265"/>
      <c r="C36" s="289">
        <v>350000</v>
      </c>
      <c r="D36" s="290">
        <f t="shared" si="0"/>
        <v>5834</v>
      </c>
      <c r="E36" s="291">
        <f t="shared" si="0"/>
        <v>2917</v>
      </c>
      <c r="F36" s="291">
        <f t="shared" si="0"/>
        <v>1945</v>
      </c>
      <c r="G36" s="291">
        <f t="shared" si="0"/>
        <v>1459</v>
      </c>
      <c r="H36" s="291">
        <f t="shared" si="0"/>
        <v>1167</v>
      </c>
      <c r="I36" s="291">
        <f t="shared" si="0"/>
        <v>973</v>
      </c>
      <c r="J36" s="292" t="str">
        <f t="shared" si="1"/>
        <v/>
      </c>
      <c r="K36" s="267"/>
      <c r="L36" s="267"/>
    </row>
    <row r="37" spans="1:12" x14ac:dyDescent="0.15">
      <c r="A37" s="265"/>
      <c r="B37" s="265"/>
      <c r="C37" s="289">
        <v>375000</v>
      </c>
      <c r="D37" s="290">
        <f t="shared" si="0"/>
        <v>6250</v>
      </c>
      <c r="E37" s="291">
        <f t="shared" si="0"/>
        <v>3125</v>
      </c>
      <c r="F37" s="291">
        <f t="shared" si="0"/>
        <v>2084</v>
      </c>
      <c r="G37" s="291">
        <f t="shared" si="0"/>
        <v>1563</v>
      </c>
      <c r="H37" s="291">
        <f t="shared" si="0"/>
        <v>1250</v>
      </c>
      <c r="I37" s="291">
        <f t="shared" si="0"/>
        <v>1042</v>
      </c>
      <c r="J37" s="292" t="str">
        <f t="shared" si="1"/>
        <v/>
      </c>
      <c r="K37" s="267"/>
      <c r="L37" s="267"/>
    </row>
    <row r="38" spans="1:12" x14ac:dyDescent="0.15">
      <c r="A38" s="265"/>
      <c r="B38" s="265"/>
      <c r="C38" s="289">
        <v>400000</v>
      </c>
      <c r="D38" s="290">
        <f t="shared" si="0"/>
        <v>6667</v>
      </c>
      <c r="E38" s="291">
        <f t="shared" si="0"/>
        <v>3334</v>
      </c>
      <c r="F38" s="291">
        <f t="shared" si="0"/>
        <v>2223</v>
      </c>
      <c r="G38" s="291">
        <f t="shared" si="0"/>
        <v>1667</v>
      </c>
      <c r="H38" s="291">
        <f t="shared" si="0"/>
        <v>1334</v>
      </c>
      <c r="I38" s="291">
        <f t="shared" si="0"/>
        <v>1112</v>
      </c>
      <c r="J38" s="292" t="str">
        <f t="shared" si="1"/>
        <v/>
      </c>
      <c r="K38" s="267"/>
      <c r="L38" s="267"/>
    </row>
    <row r="39" spans="1:12" x14ac:dyDescent="0.15">
      <c r="A39" s="265"/>
      <c r="B39" s="265"/>
      <c r="C39" s="289">
        <v>425000</v>
      </c>
      <c r="D39" s="290">
        <f t="shared" si="0"/>
        <v>7084</v>
      </c>
      <c r="E39" s="291">
        <f t="shared" si="0"/>
        <v>3542</v>
      </c>
      <c r="F39" s="291">
        <f t="shared" si="0"/>
        <v>2362</v>
      </c>
      <c r="G39" s="291">
        <f t="shared" si="0"/>
        <v>1771</v>
      </c>
      <c r="H39" s="291">
        <f t="shared" si="0"/>
        <v>1417</v>
      </c>
      <c r="I39" s="291">
        <f t="shared" si="0"/>
        <v>1181</v>
      </c>
      <c r="J39" s="292" t="str">
        <f t="shared" si="1"/>
        <v/>
      </c>
      <c r="K39" s="267"/>
      <c r="L39" s="267"/>
    </row>
    <row r="40" spans="1:12" x14ac:dyDescent="0.15">
      <c r="A40" s="265"/>
      <c r="B40" s="265"/>
      <c r="C40" s="289">
        <v>450000</v>
      </c>
      <c r="D40" s="290">
        <f t="shared" si="0"/>
        <v>7500</v>
      </c>
      <c r="E40" s="291">
        <f t="shared" si="0"/>
        <v>3750</v>
      </c>
      <c r="F40" s="291">
        <f t="shared" si="0"/>
        <v>2500</v>
      </c>
      <c r="G40" s="291">
        <f t="shared" si="0"/>
        <v>1875</v>
      </c>
      <c r="H40" s="291">
        <f t="shared" si="0"/>
        <v>1500</v>
      </c>
      <c r="I40" s="291">
        <f t="shared" si="0"/>
        <v>1250</v>
      </c>
      <c r="J40" s="292" t="str">
        <f t="shared" si="1"/>
        <v/>
      </c>
      <c r="K40" s="267"/>
      <c r="L40" s="267"/>
    </row>
    <row r="41" spans="1:12" x14ac:dyDescent="0.15">
      <c r="A41" s="265"/>
      <c r="B41" s="265"/>
      <c r="C41" s="289">
        <v>475000</v>
      </c>
      <c r="D41" s="290">
        <f t="shared" si="0"/>
        <v>7917</v>
      </c>
      <c r="E41" s="291">
        <f t="shared" si="0"/>
        <v>3959</v>
      </c>
      <c r="F41" s="291">
        <f t="shared" si="0"/>
        <v>2639</v>
      </c>
      <c r="G41" s="291">
        <f t="shared" si="0"/>
        <v>1980</v>
      </c>
      <c r="H41" s="291">
        <f t="shared" si="0"/>
        <v>1584</v>
      </c>
      <c r="I41" s="291">
        <f t="shared" si="0"/>
        <v>1320</v>
      </c>
      <c r="J41" s="292" t="str">
        <f t="shared" si="1"/>
        <v/>
      </c>
      <c r="K41" s="267"/>
      <c r="L41" s="267"/>
    </row>
    <row r="42" spans="1:12" ht="14" thickBot="1" x14ac:dyDescent="0.2">
      <c r="A42" s="265"/>
      <c r="B42" s="265"/>
      <c r="C42" s="293">
        <v>500000</v>
      </c>
      <c r="D42" s="294">
        <f t="shared" si="0"/>
        <v>8334</v>
      </c>
      <c r="E42" s="295">
        <f t="shared" si="0"/>
        <v>4167</v>
      </c>
      <c r="F42" s="295">
        <f t="shared" si="0"/>
        <v>2778</v>
      </c>
      <c r="G42" s="295">
        <f t="shared" si="0"/>
        <v>2084</v>
      </c>
      <c r="H42" s="295">
        <f t="shared" si="0"/>
        <v>1667</v>
      </c>
      <c r="I42" s="295">
        <f t="shared" si="0"/>
        <v>1389</v>
      </c>
      <c r="J42" s="296" t="str">
        <f t="shared" si="1"/>
        <v/>
      </c>
      <c r="K42" s="267"/>
      <c r="L42" s="267"/>
    </row>
    <row r="43" spans="1:12" x14ac:dyDescent="0.15">
      <c r="A43" s="265"/>
      <c r="B43" s="274"/>
      <c r="C43" s="297"/>
      <c r="D43" s="298"/>
      <c r="E43" s="298"/>
      <c r="F43" s="298"/>
      <c r="G43" s="298"/>
      <c r="H43" s="298"/>
      <c r="I43" s="298"/>
      <c r="J43" s="298"/>
      <c r="K43" s="276"/>
      <c r="L43" s="267"/>
    </row>
    <row r="44" spans="1:12" x14ac:dyDescent="0.15">
      <c r="A44" s="265"/>
      <c r="B44" s="266"/>
      <c r="C44" s="299"/>
      <c r="D44" s="300"/>
      <c r="E44" s="300"/>
      <c r="F44" s="300"/>
      <c r="G44" s="300"/>
      <c r="H44" s="300"/>
      <c r="I44" s="300"/>
      <c r="J44" s="300"/>
      <c r="K44" s="266"/>
      <c r="L44" s="267"/>
    </row>
    <row r="45" spans="1:12" x14ac:dyDescent="0.15">
      <c r="A45" s="265"/>
      <c r="B45" s="269" t="s">
        <v>220</v>
      </c>
      <c r="C45" s="299"/>
      <c r="D45" s="300"/>
      <c r="E45" s="300"/>
      <c r="F45" s="300"/>
      <c r="G45" s="300"/>
      <c r="H45" s="300"/>
      <c r="I45" s="300"/>
      <c r="J45" s="300"/>
      <c r="K45" s="266"/>
      <c r="L45" s="267"/>
    </row>
    <row r="46" spans="1:12" ht="150" customHeight="1" x14ac:dyDescent="0.15">
      <c r="A46" s="265"/>
      <c r="B46" s="1029"/>
      <c r="C46" s="1030"/>
      <c r="D46" s="1030"/>
      <c r="E46" s="1030"/>
      <c r="F46" s="1030"/>
      <c r="G46" s="1030"/>
      <c r="H46" s="1030"/>
      <c r="I46" s="1030"/>
      <c r="J46" s="1031"/>
      <c r="K46" s="266"/>
      <c r="L46" s="267"/>
    </row>
    <row r="47" spans="1:12" x14ac:dyDescent="0.15">
      <c r="A47" s="265"/>
      <c r="B47" s="266"/>
      <c r="C47" s="299"/>
      <c r="D47" s="300"/>
      <c r="E47" s="300"/>
      <c r="F47" s="300"/>
      <c r="G47" s="300"/>
      <c r="H47" s="300"/>
      <c r="I47" s="300"/>
      <c r="J47" s="300"/>
      <c r="K47" s="266"/>
      <c r="L47" s="267"/>
    </row>
    <row r="48" spans="1:12" x14ac:dyDescent="0.15">
      <c r="A48" s="265"/>
      <c r="B48" s="266"/>
      <c r="C48" s="299"/>
      <c r="D48" s="300"/>
      <c r="E48" s="300"/>
      <c r="F48" s="300"/>
      <c r="G48" s="300"/>
      <c r="H48" s="300"/>
      <c r="I48" s="301"/>
      <c r="J48" s="338" t="s">
        <v>106</v>
      </c>
      <c r="K48" s="266"/>
      <c r="L48" s="267"/>
    </row>
    <row r="49" spans="1:12" x14ac:dyDescent="0.15">
      <c r="A49" s="274"/>
      <c r="B49" s="275"/>
      <c r="C49" s="275"/>
      <c r="D49" s="275"/>
      <c r="E49" s="275"/>
      <c r="F49" s="275"/>
      <c r="G49" s="275"/>
      <c r="H49" s="275"/>
      <c r="I49" s="275"/>
      <c r="J49" s="275"/>
      <c r="K49" s="275"/>
      <c r="L49" s="276"/>
    </row>
  </sheetData>
  <sheetProtection algorithmName="SHA-512" hashValue="1a55Rj+aNyrt1Ieb1pXSL5llWAw3XU61fa6M9z8EV5vEvKiAqOVmkmHfD65rbWpLnCRG8etHi0skNcWSnqjjlQ==" saltValue="KugtcmyXzcfHVLSNNLHXxg==" spinCount="100000" sheet="1" objects="1" scenarios="1"/>
  <customSheetViews>
    <customSheetView guid="{878686E5-D823-11D7-9EB6-0000F6FFAA54}" showGridLines="0" showRowCol="0" fitToPage="1" showRuler="0">
      <selection activeCell="E4" sqref="E4"/>
      <pageMargins left="0.19685039370078741" right="0.19685039370078741" top="0.19685039370078741" bottom="0.19685039370078741" header="0.51181102362204722" footer="0.23622047244094491"/>
      <printOptions horizontalCentered="1"/>
      <pageSetup paperSize="9" scale="94" orientation="portrait" r:id="rId1"/>
      <headerFooter alignWithMargins="0">
        <oddFooter>&amp;LPrinted: &amp;D &amp;T&amp;RLast modified: 03/03/2004</oddFooter>
      </headerFooter>
    </customSheetView>
    <customSheetView guid="{47743E36-E3F1-4AC8-AB28-1C3AD83F86F4}" showGridLines="0" showRowCol="0" fitToPage="1" showRuler="0">
      <pageMargins left="0.19685039370078741" right="0.19685039370078741" top="0.19685039370078741" bottom="0.19685039370078741" header="0.51181102362204722" footer="0.23622047244094491"/>
      <printOptions horizontalCentered="1"/>
      <pageSetup paperSize="9" scale="94" orientation="portrait" r:id="rId2"/>
      <headerFooter alignWithMargins="0">
        <oddFooter>&amp;LPrinted: &amp;D &amp;T&amp;RLast modified: 21/11/2005</oddFooter>
      </headerFooter>
    </customSheetView>
  </customSheetViews>
  <mergeCells count="3">
    <mergeCell ref="C21:C22"/>
    <mergeCell ref="D21:I21"/>
    <mergeCell ref="B46:J46"/>
  </mergeCells>
  <phoneticPr fontId="27" type="noConversion"/>
  <dataValidations xWindow="365" yWindow="273" count="9">
    <dataValidation type="list" allowBlank="1" showInputMessage="1" showErrorMessage="1" prompt="Enter the interest only period" sqref="G19 F10 H10 J10" xr:uid="{00000000-0002-0000-0A00-000000000000}">
      <formula1>"0,1,2,3,4,5,6,7,8,9,10"</formula1>
    </dataValidation>
    <dataValidation type="whole" allowBlank="1" showInputMessage="1" showErrorMessage="1" prompt="Enter a custom defined loan term between 1 and 30 years." sqref="J22" xr:uid="{00000000-0002-0000-0A00-000001000000}">
      <formula1>1</formula1>
      <formula2>30</formula2>
    </dataValidation>
    <dataValidation allowBlank="1" showInputMessage="1" showErrorMessage="1" prompt="To insert a new line, type Alt + Enter." sqref="B46:J46" xr:uid="{00000000-0002-0000-0A00-000002000000}"/>
    <dataValidation type="decimal" allowBlank="1" showInputMessage="1" showErrorMessage="1" error="You must enter a number between 0 and 10,000,000" prompt="Enter the loan amount" sqref="F7 H7 J7" xr:uid="{00000000-0002-0000-0A00-000003000000}">
      <formula1>0</formula1>
      <formula2>10000000</formula2>
    </dataValidation>
    <dataValidation type="whole" allowBlank="1" showInputMessage="1" showErrorMessage="1" error="You must enter a whole number between 1 and 30." prompt="Enter the loan term" sqref="F8 H8 J8" xr:uid="{00000000-0002-0000-0A00-000004000000}">
      <formula1>1</formula1>
      <formula2>30</formula2>
    </dataValidation>
    <dataValidation type="decimal" operator="greaterThanOrEqual" allowBlank="1" showInputMessage="1" showErrorMessage="1" error="You must enter a positive number." prompt="Enter the interest rate" sqref="F9 H9 J9" xr:uid="{00000000-0002-0000-0A00-000005000000}">
      <formula1>0</formula1>
    </dataValidation>
    <dataValidation type="whole" allowBlank="1" showInputMessage="1" showErrorMessage="1" error="You must enter a whole number between 0 and 10,000,000" prompt="Enter any monthly fees" sqref="F11 H11 J11" xr:uid="{00000000-0002-0000-0A00-000007000000}">
      <formula1>0</formula1>
      <formula2>10000000</formula2>
    </dataValidation>
    <dataValidation type="decimal" operator="greaterThanOrEqual" allowBlank="1" showInputMessage="1" showErrorMessage="1" prompt="Enter the interest rate" sqref="D19" xr:uid="{00000000-0002-0000-0A00-000008000000}">
      <formula1>0</formula1>
    </dataValidation>
    <dataValidation type="whole" allowBlank="1" showInputMessage="1" showErrorMessage="1" error="You must enter a whole number between 0 and 10,000,000." prompt="Enter any monthly fees" sqref="J19" xr:uid="{00000000-0002-0000-0A00-000009000000}">
      <formula1>0</formula1>
      <formula2>10000000</formula2>
    </dataValidation>
  </dataValidations>
  <printOptions horizontalCentered="1"/>
  <pageMargins left="0.19685039370078741" right="0.19685039370078741" top="0.19685039370078741" bottom="0.19685039370078741" header="0.51181102362204722" footer="0.23622047244094491"/>
  <pageSetup paperSize="9" scale="95" orientation="portrait" r:id="rId3"/>
  <headerFooter alignWithMargins="0">
    <oddFooter>&amp;L&amp;"Calibri"&amp;11&amp;K000000&amp;"Calibri"&amp;11&amp;K000000&amp;"Calibri"&amp;11&amp;K000000&amp;"Calibri"&amp;11&amp;K000000Printed: &amp;D &amp;T_x000D_&amp;1#&amp;"Arial"&amp;9&amp;K000000&amp;RLast modified: 5 Feb 2021</oddFooter>
  </headerFooter>
  <drawing r:id="rId4"/>
  <legacyDrawing r:id="rId5"/>
  <oleObjects>
    <mc:AlternateContent xmlns:mc="http://schemas.openxmlformats.org/markup-compatibility/2006">
      <mc:Choice Requires="x14">
        <oleObject progId="MSPhotoEd.3" shapeId="6157" r:id="rId6">
          <objectPr defaultSize="0" autoPict="0" r:id="rId7">
            <anchor moveWithCells="1">
              <from>
                <xdr:col>7</xdr:col>
                <xdr:colOff>635000</xdr:colOff>
                <xdr:row>1</xdr:row>
                <xdr:rowOff>12700</xdr:rowOff>
              </from>
              <to>
                <xdr:col>11</xdr:col>
                <xdr:colOff>0</xdr:colOff>
                <xdr:row>2</xdr:row>
                <xdr:rowOff>76200</xdr:rowOff>
              </to>
            </anchor>
          </objectPr>
        </oleObject>
      </mc:Choice>
      <mc:Fallback>
        <oleObject progId="MSPhotoEd.3" shapeId="6157" r:id="rId6"/>
      </mc:Fallback>
    </mc:AlternateContent>
  </oleObjects>
  <mc:AlternateContent xmlns:mc="http://schemas.openxmlformats.org/markup-compatibility/2006">
    <mc:Choice Requires="x14">
      <controls>
        <mc:AlternateContent xmlns:mc="http://schemas.openxmlformats.org/markup-compatibility/2006">
          <mc:Choice Requires="x14">
            <control shapeId="6145" r:id="rId8" name="Button 1">
              <controlPr defaultSize="0" print="0" autoFill="0" autoPict="0" macro="[0]!cmdClearBasic">
                <anchor moveWithCells="1" sizeWithCells="1">
                  <from>
                    <xdr:col>9</xdr:col>
                    <xdr:colOff>177800</xdr:colOff>
                    <xdr:row>14</xdr:row>
                    <xdr:rowOff>101600</xdr:rowOff>
                  </from>
                  <to>
                    <xdr:col>10</xdr:col>
                    <xdr:colOff>139700</xdr:colOff>
                    <xdr:row>14</xdr:row>
                    <xdr:rowOff>368300</xdr:rowOff>
                  </to>
                </anchor>
              </controlPr>
            </control>
          </mc:Choice>
        </mc:AlternateContent>
        <mc:AlternateContent xmlns:mc="http://schemas.openxmlformats.org/markup-compatibility/2006">
          <mc:Choice Requires="x14">
            <control shapeId="6146" r:id="rId9" name="Button 2">
              <controlPr defaultSize="0" print="0" autoFill="0" autoPict="0" macro="[0]!cmdMenu">
                <anchor moveWithCells="1" sizeWithCells="1">
                  <from>
                    <xdr:col>7</xdr:col>
                    <xdr:colOff>774700</xdr:colOff>
                    <xdr:row>14</xdr:row>
                    <xdr:rowOff>101600</xdr:rowOff>
                  </from>
                  <to>
                    <xdr:col>9</xdr:col>
                    <xdr:colOff>139700</xdr:colOff>
                    <xdr:row>14</xdr:row>
                    <xdr:rowOff>368300</xdr:rowOff>
                  </to>
                </anchor>
              </controlPr>
            </control>
          </mc:Choice>
        </mc:AlternateContent>
        <mc:AlternateContent xmlns:mc="http://schemas.openxmlformats.org/markup-compatibility/2006">
          <mc:Choice Requires="x14">
            <control shapeId="6147" r:id="rId10" name="Button 3">
              <controlPr defaultSize="0" print="0" autoFill="0" autoPict="0" macro="[0]!cmdMenu">
                <anchor moveWithCells="1" sizeWithCells="1">
                  <from>
                    <xdr:col>1</xdr:col>
                    <xdr:colOff>0</xdr:colOff>
                    <xdr:row>46</xdr:row>
                    <xdr:rowOff>101600</xdr:rowOff>
                  </from>
                  <to>
                    <xdr:col>3</xdr:col>
                    <xdr:colOff>38100</xdr:colOff>
                    <xdr:row>48</xdr:row>
                    <xdr:rowOff>25400</xdr:rowOff>
                  </to>
                </anchor>
              </controlPr>
            </control>
          </mc:Choice>
        </mc:AlternateContent>
        <mc:AlternateContent xmlns:mc="http://schemas.openxmlformats.org/markup-compatibility/2006">
          <mc:Choice Requires="x14">
            <control shapeId="6148" r:id="rId11" name="Button 4">
              <controlPr defaultSize="0" print="0" autoFill="0" autoPict="0" macro="[0]!cmdClearSelf">
                <anchor moveWithCells="1" sizeWithCells="1">
                  <from>
                    <xdr:col>3</xdr:col>
                    <xdr:colOff>114300</xdr:colOff>
                    <xdr:row>46</xdr:row>
                    <xdr:rowOff>88900</xdr:rowOff>
                  </from>
                  <to>
                    <xdr:col>4</xdr:col>
                    <xdr:colOff>63500</xdr:colOff>
                    <xdr:row>48</xdr:row>
                    <xdr:rowOff>25400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5">
    <pageSetUpPr fitToPage="1"/>
  </sheetPr>
  <dimension ref="A1:I15"/>
  <sheetViews>
    <sheetView showGridLines="0" showRowColHeaders="0" workbookViewId="0">
      <selection activeCell="C9" sqref="C9"/>
    </sheetView>
  </sheetViews>
  <sheetFormatPr baseColWidth="10" defaultColWidth="8.83203125" defaultRowHeight="13" x14ac:dyDescent="0.15"/>
  <cols>
    <col min="1" max="1" width="1.6640625" customWidth="1"/>
    <col min="2" max="2" width="25.6640625" customWidth="1"/>
    <col min="3" max="3" width="16.6640625" customWidth="1"/>
    <col min="9" max="9" width="1.6640625" customWidth="1"/>
  </cols>
  <sheetData>
    <row r="1" spans="1:9" ht="14" thickBot="1" x14ac:dyDescent="0.2">
      <c r="A1" s="5"/>
      <c r="B1" s="6"/>
      <c r="C1" s="6"/>
      <c r="D1" s="6"/>
      <c r="E1" s="6"/>
      <c r="F1" s="6"/>
      <c r="G1" s="6"/>
      <c r="H1" s="6"/>
      <c r="I1" s="7"/>
    </row>
    <row r="2" spans="1:9" ht="24" customHeight="1" thickBot="1" x14ac:dyDescent="0.2">
      <c r="A2" s="8"/>
      <c r="B2" s="760" t="s">
        <v>429</v>
      </c>
      <c r="C2" s="758"/>
      <c r="D2" s="759"/>
      <c r="E2" s="472"/>
      <c r="F2" s="472"/>
      <c r="G2" s="472"/>
      <c r="H2" s="472"/>
      <c r="I2" s="10"/>
    </row>
    <row r="3" spans="1:9" ht="18" x14ac:dyDescent="0.15">
      <c r="A3" s="8"/>
      <c r="B3" s="752"/>
      <c r="C3" s="472"/>
      <c r="D3" s="472"/>
      <c r="E3" s="472"/>
      <c r="F3" s="472"/>
      <c r="G3" s="472"/>
      <c r="H3" s="472"/>
      <c r="I3" s="10"/>
    </row>
    <row r="4" spans="1:9" x14ac:dyDescent="0.15">
      <c r="A4" s="8"/>
      <c r="B4" s="9"/>
      <c r="C4" s="9"/>
      <c r="D4" s="9"/>
      <c r="E4" s="9"/>
      <c r="F4" s="9"/>
      <c r="G4" s="9"/>
      <c r="H4" s="9"/>
      <c r="I4" s="10"/>
    </row>
    <row r="5" spans="1:9" x14ac:dyDescent="0.15">
      <c r="A5" s="8"/>
      <c r="B5" s="9" t="s">
        <v>430</v>
      </c>
      <c r="C5" s="753"/>
      <c r="D5" s="9"/>
      <c r="E5" s="754" t="b">
        <f>COUNTBLANK(C5:C7)=0</f>
        <v>0</v>
      </c>
      <c r="F5" s="9"/>
      <c r="G5" s="9"/>
      <c r="H5" s="9"/>
      <c r="I5" s="10"/>
    </row>
    <row r="6" spans="1:9" x14ac:dyDescent="0.15">
      <c r="A6" s="8"/>
      <c r="B6" s="9" t="s">
        <v>431</v>
      </c>
      <c r="C6" s="755"/>
      <c r="D6" s="9"/>
      <c r="E6" s="9"/>
      <c r="F6" s="9"/>
      <c r="G6" s="9"/>
      <c r="H6" s="9"/>
      <c r="I6" s="10"/>
    </row>
    <row r="7" spans="1:9" x14ac:dyDescent="0.15">
      <c r="A7" s="8"/>
      <c r="B7" s="9" t="s">
        <v>432</v>
      </c>
      <c r="C7" s="755"/>
      <c r="D7" s="9"/>
      <c r="E7" s="9"/>
      <c r="F7" s="9"/>
      <c r="G7" s="9"/>
      <c r="H7" s="9"/>
      <c r="I7" s="10"/>
    </row>
    <row r="8" spans="1:9" x14ac:dyDescent="0.15">
      <c r="A8" s="8"/>
      <c r="B8" s="9"/>
      <c r="C8" s="9"/>
      <c r="D8" s="9"/>
      <c r="E8" s="9"/>
      <c r="F8" s="9"/>
      <c r="G8" s="9"/>
      <c r="H8" s="9"/>
      <c r="I8" s="10"/>
    </row>
    <row r="9" spans="1:9" x14ac:dyDescent="0.15">
      <c r="A9" s="8"/>
      <c r="B9" s="390" t="s">
        <v>433</v>
      </c>
      <c r="C9" s="756" t="str">
        <f>IF(E5,(C5/ROUND((C7-C6+1)/7,0))*(52/12),"Input Incomplete")</f>
        <v>Input Incomplete</v>
      </c>
      <c r="D9" s="9"/>
      <c r="E9" s="390"/>
      <c r="F9" s="9"/>
      <c r="G9" s="9"/>
      <c r="H9" s="9"/>
      <c r="I9" s="10"/>
    </row>
    <row r="10" spans="1:9" x14ac:dyDescent="0.15">
      <c r="A10" s="8"/>
      <c r="B10" s="390" t="s">
        <v>434</v>
      </c>
      <c r="C10" s="756" t="str">
        <f>IF(E5,C9*12,"Input Incomplete")</f>
        <v>Input Incomplete</v>
      </c>
      <c r="D10" s="9"/>
      <c r="E10" s="9"/>
      <c r="F10" s="9"/>
      <c r="G10" s="9"/>
      <c r="H10" s="9"/>
      <c r="I10" s="10"/>
    </row>
    <row r="11" spans="1:9" x14ac:dyDescent="0.15">
      <c r="A11" s="8"/>
      <c r="B11" s="9"/>
      <c r="C11" s="9"/>
      <c r="D11" s="9"/>
      <c r="E11" s="9"/>
      <c r="F11" s="9"/>
      <c r="G11" s="9"/>
      <c r="H11" s="9"/>
      <c r="I11" s="10"/>
    </row>
    <row r="12" spans="1:9" ht="110" customHeight="1" x14ac:dyDescent="0.15">
      <c r="A12" s="8"/>
      <c r="B12" s="934" t="s">
        <v>554</v>
      </c>
      <c r="C12" s="1032"/>
      <c r="D12" s="1032"/>
      <c r="E12" s="1032"/>
      <c r="F12" s="1032"/>
      <c r="G12" s="1032"/>
      <c r="H12" s="1033"/>
      <c r="I12" s="10"/>
    </row>
    <row r="13" spans="1:9" x14ac:dyDescent="0.15">
      <c r="A13" s="8"/>
      <c r="B13" s="9"/>
      <c r="C13" s="9"/>
      <c r="D13" s="9"/>
      <c r="E13" s="9"/>
      <c r="F13" s="9"/>
      <c r="G13" s="9"/>
      <c r="H13" s="9"/>
      <c r="I13" s="10"/>
    </row>
    <row r="14" spans="1:9" x14ac:dyDescent="0.15">
      <c r="A14" s="8"/>
      <c r="B14" s="761"/>
      <c r="C14" s="751"/>
      <c r="D14" s="751"/>
      <c r="E14" s="751"/>
      <c r="F14" s="751"/>
      <c r="G14" s="751"/>
      <c r="H14" s="338" t="s">
        <v>106</v>
      </c>
      <c r="I14" s="10"/>
    </row>
    <row r="15" spans="1:9" x14ac:dyDescent="0.15">
      <c r="A15" s="757"/>
      <c r="B15" s="21"/>
      <c r="C15" s="21"/>
      <c r="D15" s="21"/>
      <c r="E15" s="21"/>
      <c r="F15" s="21"/>
      <c r="G15" s="21"/>
      <c r="H15" s="21"/>
      <c r="I15" s="22"/>
    </row>
  </sheetData>
  <sheetProtection algorithmName="SHA-512" hashValue="wqTOGBsw7rFusp+SsvzOFf8w5/UcZ/QSagSF1VGJQaCSlJFLRYCyz67zFYAzAHSqcZypuM77hj+cTuHtmyX9rQ==" saltValue="KxzYSlXKvtSDkDOD+RKbNw==" spinCount="100000" sheet="1" objects="1" scenarios="1"/>
  <mergeCells count="1">
    <mergeCell ref="B12:H12"/>
  </mergeCells>
  <conditionalFormatting sqref="C5:C7">
    <cfRule type="expression" dxfId="4" priority="1">
      <formula>C5=""</formula>
    </cfRule>
  </conditionalFormatting>
  <dataValidations count="3">
    <dataValidation type="decimal" allowBlank="1" showInputMessage="1" showErrorMessage="1" error="You must enter a decimal value between 0 and 999,999,999.99" prompt="Enter the Gross Year to Date (YTD) Income" sqref="C5" xr:uid="{00000000-0002-0000-0B00-000000000000}">
      <formula1>0</formula1>
      <formula2>999999999.99</formula2>
    </dataValidation>
    <dataValidation type="date" allowBlank="1" showInputMessage="1" showErrorMessage="1" error="You must enter a valid date, which must not be later than the Payment Date To." prompt="Enter the Payment Date From value" sqref="C6" xr:uid="{00000000-0002-0000-0B00-000001000000}">
      <formula1>1</formula1>
      <formula2>IF(C7&lt;&gt;"",C7,DATE(9999,12,31))</formula2>
    </dataValidation>
    <dataValidation type="date" allowBlank="1" showInputMessage="1" showErrorMessage="1" error="You must enter a valid date, which must not be before than the Payment Date From." prompt="Enter the Payment Date To value" sqref="C7" xr:uid="{00000000-0002-0000-0B00-000002000000}">
      <formula1>IF(C6&lt;&gt;"",C6,DATE(1900,1,1))</formula1>
      <formula2>2958465</formula2>
    </dataValidation>
  </dataValidations>
  <pageMargins left="0.19685039370078741" right="0.19685039370078741" top="0.19685039370078741" bottom="0.19685039370078741" header="0.31496062992125984" footer="0.31496062992125984"/>
  <pageSetup orientation="portrait" r:id="rId1"/>
  <headerFooter>
    <oddFooter>&amp;L&amp;"Calibri"&amp;11&amp;K000000&amp;"Calibri"&amp;11&amp;K000000&amp;"Calibri"&amp;11&amp;K000000&amp;"Calibri"&amp;11&amp;K000000Printed: &amp;D &amp;T_x000D_&amp;1#&amp;"Arial"&amp;9&amp;K000000&amp;RLast modified: 5 Feb 2021</oddFooter>
  </headerFooter>
  <drawing r:id="rId2"/>
  <legacyDrawing r:id="rId3"/>
  <oleObjects>
    <mc:AlternateContent xmlns:mc="http://schemas.openxmlformats.org/markup-compatibility/2006">
      <mc:Choice Requires="x14">
        <oleObject progId="MSPhotoEd.3" shapeId="28675" r:id="rId4">
          <objectPr defaultSize="0" autoPict="0" r:id="rId5">
            <anchor moveWithCells="1">
              <from>
                <xdr:col>4</xdr:col>
                <xdr:colOff>419100</xdr:colOff>
                <xdr:row>1</xdr:row>
                <xdr:rowOff>12700</xdr:rowOff>
              </from>
              <to>
                <xdr:col>7</xdr:col>
                <xdr:colOff>596900</xdr:colOff>
                <xdr:row>2</xdr:row>
                <xdr:rowOff>76200</xdr:rowOff>
              </to>
            </anchor>
          </objectPr>
        </oleObject>
      </mc:Choice>
      <mc:Fallback>
        <oleObject progId="MSPhotoEd.3" shapeId="28675" r:id="rId4"/>
      </mc:Fallback>
    </mc:AlternateContent>
  </oleObjects>
  <mc:AlternateContent xmlns:mc="http://schemas.openxmlformats.org/markup-compatibility/2006">
    <mc:Choice Requires="x14">
      <controls>
        <mc:AlternateContent xmlns:mc="http://schemas.openxmlformats.org/markup-compatibility/2006">
          <mc:Choice Requires="x14">
            <control shapeId="28673" r:id="rId6" name="Button 1">
              <controlPr defaultSize="0" print="0" autoFill="0" autoPict="0" macro="[0]!cmdClearYTDIncome">
                <anchor moveWithCells="1" sizeWithCells="1">
                  <from>
                    <xdr:col>6</xdr:col>
                    <xdr:colOff>444500</xdr:colOff>
                    <xdr:row>3</xdr:row>
                    <xdr:rowOff>0</xdr:rowOff>
                  </from>
                  <to>
                    <xdr:col>8</xdr:col>
                    <xdr:colOff>0</xdr:colOff>
                    <xdr:row>4</xdr:row>
                    <xdr:rowOff>152400</xdr:rowOff>
                  </to>
                </anchor>
              </controlPr>
            </control>
          </mc:Choice>
        </mc:AlternateContent>
        <mc:AlternateContent xmlns:mc="http://schemas.openxmlformats.org/markup-compatibility/2006">
          <mc:Choice Requires="x14">
            <control shapeId="28674" r:id="rId7" name="Button 2">
              <controlPr defaultSize="0" print="0" autoFill="0" autoPict="0" macro="[0]!cmdMenu">
                <anchor moveWithCells="1" sizeWithCells="1">
                  <from>
                    <xdr:col>6</xdr:col>
                    <xdr:colOff>431800</xdr:colOff>
                    <xdr:row>6</xdr:row>
                    <xdr:rowOff>0</xdr:rowOff>
                  </from>
                  <to>
                    <xdr:col>8</xdr:col>
                    <xdr:colOff>0</xdr:colOff>
                    <xdr:row>7</xdr:row>
                    <xdr:rowOff>139700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dimension ref="A1:AC47"/>
  <sheetViews>
    <sheetView topLeftCell="A31" workbookViewId="0">
      <selection activeCell="J44" sqref="J44"/>
    </sheetView>
  </sheetViews>
  <sheetFormatPr baseColWidth="10" defaultColWidth="8.83203125" defaultRowHeight="13" x14ac:dyDescent="0.15"/>
  <cols>
    <col min="1" max="1" width="12.6640625" customWidth="1"/>
    <col min="5" max="5" width="3.6640625" customWidth="1"/>
    <col min="6" max="6" width="25.6640625" bestFit="1" customWidth="1"/>
    <col min="8" max="8" width="3.6640625" customWidth="1"/>
    <col min="9" max="9" width="12.33203125" customWidth="1"/>
    <col min="10" max="10" width="11.1640625" bestFit="1" customWidth="1"/>
    <col min="11" max="11" width="10.6640625" customWidth="1"/>
    <col min="13" max="13" width="18.83203125" customWidth="1"/>
    <col min="14" max="15" width="10.6640625" customWidth="1"/>
    <col min="17" max="17" width="11.6640625" customWidth="1"/>
    <col min="18" max="18" width="8.6640625" bestFit="1" customWidth="1"/>
    <col min="19" max="22" width="13.1640625" bestFit="1" customWidth="1"/>
    <col min="23" max="23" width="15.5" bestFit="1" customWidth="1"/>
    <col min="24" max="27" width="13.6640625" bestFit="1" customWidth="1"/>
    <col min="28" max="28" width="16.1640625" bestFit="1" customWidth="1"/>
    <col min="29" max="29" width="17.5" bestFit="1" customWidth="1"/>
  </cols>
  <sheetData>
    <row r="1" spans="1:24" x14ac:dyDescent="0.15">
      <c r="A1" s="1038" t="s">
        <v>46</v>
      </c>
      <c r="B1" s="1039"/>
      <c r="C1" s="1040"/>
      <c r="F1" s="1041"/>
      <c r="G1" s="1041"/>
      <c r="I1" s="1045" t="s">
        <v>137</v>
      </c>
      <c r="J1" s="1046"/>
      <c r="K1" s="1047"/>
      <c r="M1" s="1044" t="s">
        <v>263</v>
      </c>
      <c r="N1" s="1044"/>
      <c r="O1" s="1044"/>
      <c r="Q1" s="1037" t="s">
        <v>273</v>
      </c>
      <c r="R1" s="1037"/>
      <c r="S1" s="1037"/>
      <c r="T1" s="1037"/>
      <c r="U1" s="1037"/>
      <c r="V1" s="1037"/>
      <c r="W1" s="1037"/>
      <c r="X1" s="1037"/>
    </row>
    <row r="2" spans="1:24" x14ac:dyDescent="0.15">
      <c r="A2" s="172" t="s">
        <v>138</v>
      </c>
      <c r="B2" s="172" t="s">
        <v>139</v>
      </c>
      <c r="C2" s="172" t="s">
        <v>140</v>
      </c>
      <c r="F2" s="399"/>
      <c r="G2" s="9"/>
      <c r="I2" s="1048" t="s">
        <v>141</v>
      </c>
      <c r="J2" s="1048"/>
      <c r="K2" s="173" t="s">
        <v>142</v>
      </c>
      <c r="M2" s="1044" t="s">
        <v>141</v>
      </c>
      <c r="N2" s="1044"/>
      <c r="O2" s="373" t="s">
        <v>264</v>
      </c>
      <c r="Q2" s="641" t="s">
        <v>373</v>
      </c>
      <c r="R2" s="641" t="s">
        <v>374</v>
      </c>
      <c r="S2" s="641" t="s">
        <v>392</v>
      </c>
      <c r="T2" s="642" t="s">
        <v>393</v>
      </c>
      <c r="U2" s="642" t="s">
        <v>394</v>
      </c>
      <c r="V2" s="642" t="s">
        <v>395</v>
      </c>
      <c r="W2" s="642" t="s">
        <v>396</v>
      </c>
      <c r="X2" s="642" t="s">
        <v>397</v>
      </c>
    </row>
    <row r="3" spans="1:24" x14ac:dyDescent="0.15">
      <c r="A3" s="174">
        <v>0</v>
      </c>
      <c r="B3" s="175">
        <v>0</v>
      </c>
      <c r="C3" s="176">
        <v>0</v>
      </c>
      <c r="F3" s="9"/>
      <c r="G3" s="9"/>
      <c r="I3" s="177">
        <v>0</v>
      </c>
      <c r="J3" s="177">
        <v>10000</v>
      </c>
      <c r="K3" s="178">
        <v>0.1</v>
      </c>
      <c r="M3" s="177">
        <v>0</v>
      </c>
      <c r="N3" s="177">
        <v>20000</v>
      </c>
      <c r="O3" s="631">
        <v>0</v>
      </c>
      <c r="Q3" s="643">
        <v>0</v>
      </c>
      <c r="R3" s="643">
        <v>20000</v>
      </c>
      <c r="S3" s="643"/>
      <c r="T3" s="644"/>
      <c r="U3" s="644"/>
      <c r="V3" s="644"/>
      <c r="W3" s="644"/>
      <c r="X3" s="644"/>
    </row>
    <row r="4" spans="1:24" x14ac:dyDescent="0.15">
      <c r="A4" s="174">
        <v>18200</v>
      </c>
      <c r="B4" s="175">
        <v>0.19</v>
      </c>
      <c r="C4" s="176">
        <v>0</v>
      </c>
      <c r="F4" s="399"/>
      <c r="G4" s="9"/>
      <c r="I4" s="177">
        <f>J3+0.01</f>
        <v>10000.01</v>
      </c>
      <c r="J4" s="177">
        <v>15000</v>
      </c>
      <c r="K4" s="178">
        <v>0.15</v>
      </c>
      <c r="M4" s="177">
        <f>N3+0.01</f>
        <v>20000.009999999998</v>
      </c>
      <c r="N4" s="177">
        <v>55000</v>
      </c>
      <c r="O4" s="631">
        <v>0</v>
      </c>
      <c r="Q4" s="643">
        <f>R3+1</f>
        <v>20001</v>
      </c>
      <c r="R4" s="643">
        <v>25000</v>
      </c>
      <c r="S4" s="645"/>
      <c r="T4" s="644"/>
      <c r="U4" s="644"/>
      <c r="V4" s="644"/>
      <c r="W4" s="644"/>
      <c r="X4" s="644"/>
    </row>
    <row r="5" spans="1:24" x14ac:dyDescent="0.15">
      <c r="A5" s="174">
        <v>45000</v>
      </c>
      <c r="B5" s="175">
        <v>0.32500000000000001</v>
      </c>
      <c r="C5" s="176">
        <v>5092</v>
      </c>
      <c r="F5" s="399"/>
      <c r="G5" s="9"/>
      <c r="I5" s="177">
        <f>J4+0.01</f>
        <v>15000.01</v>
      </c>
      <c r="J5" s="177">
        <v>20000</v>
      </c>
      <c r="K5" s="178">
        <v>0.25</v>
      </c>
      <c r="M5" s="177">
        <f>N4+0.01</f>
        <v>55000.01</v>
      </c>
      <c r="N5" s="177"/>
      <c r="O5" s="631">
        <v>0</v>
      </c>
      <c r="Q5" s="643">
        <f t="shared" ref="Q5:Q19" si="0">R4+1</f>
        <v>25001</v>
      </c>
      <c r="R5" s="643">
        <v>30000</v>
      </c>
      <c r="S5" s="645"/>
      <c r="T5" s="644"/>
      <c r="U5" s="644"/>
      <c r="V5" s="644"/>
      <c r="W5" s="644"/>
      <c r="X5" s="644"/>
    </row>
    <row r="6" spans="1:24" x14ac:dyDescent="0.15">
      <c r="A6" s="174">
        <v>120000</v>
      </c>
      <c r="B6" s="175">
        <v>0.37</v>
      </c>
      <c r="C6" s="176">
        <v>29467</v>
      </c>
      <c r="F6" s="9"/>
      <c r="G6" s="9"/>
      <c r="I6" s="177">
        <f>J5+0.01</f>
        <v>20000.009999999998</v>
      </c>
      <c r="J6" s="177">
        <v>55000</v>
      </c>
      <c r="K6" s="178">
        <v>0.35</v>
      </c>
      <c r="Q6" s="643">
        <f t="shared" si="0"/>
        <v>30001</v>
      </c>
      <c r="R6" s="643">
        <v>35000</v>
      </c>
      <c r="S6" s="644"/>
      <c r="T6" s="644"/>
      <c r="U6" s="644"/>
      <c r="V6" s="644"/>
      <c r="W6" s="644"/>
      <c r="X6" s="644"/>
    </row>
    <row r="7" spans="1:24" x14ac:dyDescent="0.15">
      <c r="A7" s="174">
        <v>180000</v>
      </c>
      <c r="B7" s="175">
        <v>0.45</v>
      </c>
      <c r="C7" s="176">
        <v>51667</v>
      </c>
      <c r="F7" s="399"/>
      <c r="G7" s="9"/>
      <c r="I7" s="177">
        <f>J6+0.01</f>
        <v>55000.01</v>
      </c>
      <c r="J7" s="179"/>
      <c r="K7" s="178">
        <v>0.4</v>
      </c>
      <c r="Q7" s="643">
        <f t="shared" si="0"/>
        <v>35001</v>
      </c>
      <c r="R7" s="643">
        <v>40000</v>
      </c>
      <c r="S7" s="644"/>
      <c r="T7" s="644"/>
      <c r="U7" s="644"/>
      <c r="V7" s="644"/>
      <c r="W7" s="644"/>
      <c r="X7" s="644"/>
    </row>
    <row r="8" spans="1:24" x14ac:dyDescent="0.15">
      <c r="F8" s="9"/>
      <c r="G8" s="9"/>
      <c r="Q8" s="643">
        <f t="shared" si="0"/>
        <v>40001</v>
      </c>
      <c r="R8" s="643">
        <v>45000</v>
      </c>
      <c r="S8" s="644"/>
      <c r="T8" s="644"/>
      <c r="U8" s="644"/>
      <c r="V8" s="644"/>
      <c r="W8" s="644"/>
      <c r="X8" s="644"/>
    </row>
    <row r="9" spans="1:24" x14ac:dyDescent="0.15">
      <c r="I9" s="387" t="s">
        <v>134</v>
      </c>
      <c r="M9" s="387" t="s">
        <v>135</v>
      </c>
      <c r="Q9" s="643">
        <f t="shared" si="0"/>
        <v>45001</v>
      </c>
      <c r="R9" s="643">
        <v>50000</v>
      </c>
      <c r="S9" s="644"/>
      <c r="T9" s="644"/>
      <c r="U9" s="644"/>
      <c r="V9" s="644"/>
      <c r="W9" s="644"/>
      <c r="X9" s="644"/>
    </row>
    <row r="10" spans="1:24" x14ac:dyDescent="0.15">
      <c r="A10" s="1049" t="s">
        <v>48</v>
      </c>
      <c r="B10" s="1049"/>
      <c r="C10" s="1049"/>
      <c r="D10" s="1049"/>
      <c r="F10" s="180" t="s">
        <v>143</v>
      </c>
      <c r="G10" s="181">
        <v>0.1</v>
      </c>
      <c r="I10" s="388" t="s">
        <v>56</v>
      </c>
      <c r="J10" s="388" t="s">
        <v>90</v>
      </c>
      <c r="K10" s="383"/>
      <c r="M10" s="388" t="s">
        <v>56</v>
      </c>
      <c r="N10" s="389" t="s">
        <v>90</v>
      </c>
      <c r="O10" s="389" t="s">
        <v>333</v>
      </c>
      <c r="P10" s="387"/>
      <c r="Q10" s="643">
        <f t="shared" si="0"/>
        <v>50001</v>
      </c>
      <c r="R10" s="643">
        <v>60000</v>
      </c>
      <c r="S10" s="644"/>
      <c r="T10" s="644"/>
      <c r="U10" s="644"/>
      <c r="V10" s="644"/>
      <c r="W10" s="644"/>
      <c r="X10" s="644"/>
    </row>
    <row r="11" spans="1:24" x14ac:dyDescent="0.15">
      <c r="A11" s="383"/>
      <c r="B11" s="384" t="s">
        <v>266</v>
      </c>
      <c r="C11" s="384" t="s">
        <v>139</v>
      </c>
      <c r="D11" s="384" t="s">
        <v>140</v>
      </c>
      <c r="F11" s="382" t="s">
        <v>334</v>
      </c>
      <c r="G11" s="599">
        <v>0.9</v>
      </c>
      <c r="I11" s="382" t="s">
        <v>421</v>
      </c>
      <c r="J11" s="815">
        <v>30</v>
      </c>
      <c r="K11" s="383"/>
      <c r="M11" s="382" t="s">
        <v>421</v>
      </c>
      <c r="N11" s="182">
        <v>30</v>
      </c>
      <c r="O11" s="175">
        <v>5</v>
      </c>
      <c r="Q11" s="643">
        <f t="shared" si="0"/>
        <v>60001</v>
      </c>
      <c r="R11" s="643">
        <v>70000</v>
      </c>
      <c r="S11" s="644"/>
      <c r="T11" s="644"/>
      <c r="U11" s="644"/>
      <c r="V11" s="644"/>
      <c r="W11" s="644"/>
      <c r="X11" s="644"/>
    </row>
    <row r="12" spans="1:24" x14ac:dyDescent="0.15">
      <c r="A12" s="266"/>
      <c r="B12" s="176">
        <v>22801</v>
      </c>
      <c r="C12" s="385">
        <v>0.1</v>
      </c>
      <c r="D12" s="176"/>
      <c r="F12" s="183" t="s">
        <v>145</v>
      </c>
      <c r="G12" s="181">
        <v>0.7</v>
      </c>
      <c r="I12" s="382" t="s">
        <v>422</v>
      </c>
      <c r="J12" s="815">
        <v>30</v>
      </c>
      <c r="K12" s="383"/>
      <c r="M12" s="382" t="s">
        <v>422</v>
      </c>
      <c r="N12" s="182">
        <v>30</v>
      </c>
      <c r="O12" s="175">
        <v>5</v>
      </c>
      <c r="Q12" s="643">
        <f t="shared" si="0"/>
        <v>70001</v>
      </c>
      <c r="R12" s="643">
        <v>80000</v>
      </c>
      <c r="S12" s="644"/>
      <c r="T12" s="644"/>
      <c r="U12" s="644"/>
      <c r="V12" s="644"/>
      <c r="W12" s="644"/>
      <c r="X12" s="644"/>
    </row>
    <row r="13" spans="1:24" x14ac:dyDescent="0.15">
      <c r="A13" s="266"/>
      <c r="B13" s="176">
        <v>28501</v>
      </c>
      <c r="C13" s="386">
        <v>0.02</v>
      </c>
      <c r="D13" s="176"/>
      <c r="F13" s="183" t="s">
        <v>146</v>
      </c>
      <c r="G13" s="184">
        <v>66.67</v>
      </c>
      <c r="I13" s="382" t="s">
        <v>425</v>
      </c>
      <c r="J13" s="838">
        <v>30</v>
      </c>
      <c r="K13" s="383"/>
      <c r="M13" s="382" t="s">
        <v>92</v>
      </c>
      <c r="N13" s="182">
        <v>25</v>
      </c>
      <c r="O13" s="175">
        <v>0</v>
      </c>
      <c r="Q13" s="643">
        <f t="shared" si="0"/>
        <v>80001</v>
      </c>
      <c r="R13" s="643">
        <v>90000</v>
      </c>
      <c r="S13" s="644"/>
      <c r="T13" s="644"/>
      <c r="U13" s="644"/>
      <c r="V13" s="644"/>
      <c r="W13" s="644"/>
      <c r="X13" s="644"/>
    </row>
    <row r="14" spans="1:24" x14ac:dyDescent="0.15">
      <c r="A14" s="266"/>
      <c r="B14" s="176"/>
      <c r="C14" s="386"/>
      <c r="D14" s="176"/>
      <c r="I14" s="382" t="s">
        <v>423</v>
      </c>
      <c r="J14" s="838">
        <v>99</v>
      </c>
      <c r="K14" s="383"/>
      <c r="M14" s="382" t="s">
        <v>93</v>
      </c>
      <c r="N14" s="182">
        <v>0</v>
      </c>
      <c r="O14" s="175">
        <v>0</v>
      </c>
      <c r="Q14" s="643">
        <f t="shared" si="0"/>
        <v>90001</v>
      </c>
      <c r="R14" s="643">
        <v>100000</v>
      </c>
      <c r="S14" s="644"/>
      <c r="T14" s="644"/>
      <c r="U14" s="644"/>
      <c r="V14" s="644"/>
      <c r="W14" s="644"/>
      <c r="X14" s="644"/>
    </row>
    <row r="15" spans="1:24" x14ac:dyDescent="0.15">
      <c r="A15" s="266"/>
      <c r="B15" s="176"/>
      <c r="C15" s="386"/>
      <c r="D15" s="176"/>
      <c r="F15" s="186" t="s">
        <v>148</v>
      </c>
      <c r="G15" s="187" t="s">
        <v>149</v>
      </c>
      <c r="I15" s="382" t="s">
        <v>424</v>
      </c>
      <c r="J15" s="838">
        <v>99</v>
      </c>
      <c r="K15" s="383"/>
      <c r="M15" s="382"/>
      <c r="N15" s="182"/>
      <c r="O15" s="175"/>
      <c r="Q15" s="643">
        <f t="shared" si="0"/>
        <v>100001</v>
      </c>
      <c r="R15" s="643">
        <v>150000</v>
      </c>
      <c r="S15" s="644"/>
      <c r="T15" s="644"/>
      <c r="U15" s="644"/>
      <c r="V15" s="644"/>
      <c r="W15" s="644"/>
      <c r="X15" s="644"/>
    </row>
    <row r="16" spans="1:24" x14ac:dyDescent="0.15">
      <c r="A16" s="266"/>
      <c r="B16" s="176"/>
      <c r="C16" s="386"/>
      <c r="D16" s="176"/>
      <c r="F16" s="183" t="s">
        <v>93</v>
      </c>
      <c r="G16" s="188">
        <v>3.8199999999999998E-2</v>
      </c>
      <c r="I16" s="183" t="s">
        <v>93</v>
      </c>
      <c r="J16" s="815">
        <v>0</v>
      </c>
      <c r="K16" s="383"/>
      <c r="M16" s="382"/>
      <c r="N16" s="182"/>
      <c r="O16" s="175"/>
      <c r="Q16" s="643">
        <f t="shared" si="0"/>
        <v>150001</v>
      </c>
      <c r="R16" s="643">
        <v>200000</v>
      </c>
      <c r="S16" s="644"/>
      <c r="T16" s="644"/>
      <c r="U16" s="644"/>
      <c r="V16" s="644"/>
      <c r="W16" s="644"/>
      <c r="X16" s="644"/>
    </row>
    <row r="17" spans="1:29" x14ac:dyDescent="0.15">
      <c r="A17" s="266"/>
      <c r="B17" s="266"/>
      <c r="C17" s="266"/>
      <c r="D17" s="266"/>
      <c r="F17" s="183" t="s">
        <v>151</v>
      </c>
      <c r="G17" s="189" t="s">
        <v>144</v>
      </c>
      <c r="I17" s="183" t="s">
        <v>94</v>
      </c>
      <c r="J17" s="815">
        <v>7</v>
      </c>
      <c r="K17" s="383"/>
      <c r="M17" s="382"/>
      <c r="N17" s="182"/>
      <c r="O17" s="175"/>
      <c r="Q17" s="643">
        <f t="shared" si="0"/>
        <v>200001</v>
      </c>
      <c r="R17" s="643">
        <v>250000</v>
      </c>
      <c r="S17" s="644"/>
      <c r="T17" s="644"/>
      <c r="U17" s="644"/>
      <c r="V17" s="644"/>
      <c r="W17" s="644"/>
      <c r="X17" s="644"/>
    </row>
    <row r="18" spans="1:29" x14ac:dyDescent="0.15">
      <c r="A18" s="1043" t="s">
        <v>147</v>
      </c>
      <c r="B18" s="1043"/>
      <c r="C18" s="185">
        <v>0.5</v>
      </c>
      <c r="F18" s="183" t="s">
        <v>252</v>
      </c>
      <c r="G18" s="188">
        <v>0.03</v>
      </c>
      <c r="I18" s="183" t="s">
        <v>252</v>
      </c>
      <c r="J18" s="815">
        <v>0</v>
      </c>
      <c r="K18" s="383"/>
      <c r="M18" s="382"/>
      <c r="N18" s="182"/>
      <c r="O18" s="175"/>
      <c r="Q18" s="643">
        <f t="shared" si="0"/>
        <v>250001</v>
      </c>
      <c r="R18" s="643">
        <v>300000</v>
      </c>
      <c r="S18" s="644"/>
      <c r="T18" s="644"/>
      <c r="U18" s="644"/>
      <c r="V18" s="644"/>
      <c r="W18" s="644"/>
      <c r="X18" s="644"/>
    </row>
    <row r="19" spans="1:29" x14ac:dyDescent="0.15">
      <c r="A19" s="1043" t="s">
        <v>150</v>
      </c>
      <c r="B19" s="1043"/>
      <c r="C19" s="185">
        <v>0.8</v>
      </c>
      <c r="F19" s="815" t="s">
        <v>470</v>
      </c>
      <c r="G19" s="815"/>
      <c r="I19" s="183" t="s">
        <v>95</v>
      </c>
      <c r="J19" s="815">
        <v>5</v>
      </c>
      <c r="K19" s="383"/>
      <c r="M19" s="382"/>
      <c r="N19" s="182"/>
      <c r="O19" s="175"/>
      <c r="Q19" s="643">
        <f t="shared" si="0"/>
        <v>300001</v>
      </c>
      <c r="R19" s="646" t="s">
        <v>375</v>
      </c>
      <c r="S19" s="644"/>
      <c r="T19" s="644"/>
      <c r="U19" s="644"/>
      <c r="V19" s="644"/>
      <c r="W19" s="644"/>
      <c r="X19" s="644"/>
    </row>
    <row r="20" spans="1:29" x14ac:dyDescent="0.15">
      <c r="A20" s="1050" t="s">
        <v>366</v>
      </c>
      <c r="B20" s="1051"/>
      <c r="C20" s="632">
        <v>0.8</v>
      </c>
      <c r="F20" s="382" t="s">
        <v>510</v>
      </c>
      <c r="G20" s="864">
        <v>1.4999999999999999E-2</v>
      </c>
      <c r="I20" s="183" t="s">
        <v>96</v>
      </c>
      <c r="J20" s="815">
        <v>5</v>
      </c>
      <c r="K20" s="383"/>
      <c r="M20" s="382"/>
      <c r="N20" s="182"/>
      <c r="O20" s="175"/>
      <c r="Q20" s="9"/>
      <c r="R20" s="9"/>
      <c r="S20" s="9"/>
      <c r="T20" s="9"/>
      <c r="U20" s="9"/>
      <c r="V20" s="9"/>
      <c r="W20" s="9"/>
    </row>
    <row r="21" spans="1:29" x14ac:dyDescent="0.15">
      <c r="A21" s="1042" t="s">
        <v>367</v>
      </c>
      <c r="B21" s="1043"/>
      <c r="C21" s="185">
        <v>0.8</v>
      </c>
      <c r="I21" s="183" t="s">
        <v>121</v>
      </c>
      <c r="J21" s="815">
        <v>30</v>
      </c>
      <c r="K21" s="383"/>
      <c r="M21" s="183"/>
      <c r="N21" s="182"/>
      <c r="O21" s="175"/>
      <c r="Q21" s="1037" t="s">
        <v>273</v>
      </c>
      <c r="R21" s="1037"/>
      <c r="S21" s="1037"/>
      <c r="T21" s="1037"/>
      <c r="U21" s="1037"/>
      <c r="V21" s="1037"/>
      <c r="W21" s="1037"/>
      <c r="X21" s="1037"/>
      <c r="Y21" s="1037"/>
      <c r="Z21" s="1037"/>
      <c r="AA21" s="1037"/>
      <c r="AB21" s="1037"/>
      <c r="AC21" s="1037"/>
    </row>
    <row r="22" spans="1:29" x14ac:dyDescent="0.15">
      <c r="A22" s="1042" t="s">
        <v>368</v>
      </c>
      <c r="B22" s="1043"/>
      <c r="C22" s="185">
        <v>0.8</v>
      </c>
      <c r="F22" s="176" t="s">
        <v>152</v>
      </c>
      <c r="G22" s="176">
        <v>25</v>
      </c>
      <c r="I22" s="382" t="s">
        <v>508</v>
      </c>
      <c r="J22" s="815">
        <v>0</v>
      </c>
      <c r="K22" s="383"/>
      <c r="M22" s="382"/>
      <c r="N22" s="182"/>
      <c r="O22" s="175"/>
      <c r="Q22" s="641" t="s">
        <v>373</v>
      </c>
      <c r="R22" s="641" t="s">
        <v>374</v>
      </c>
      <c r="S22" s="641" t="s">
        <v>381</v>
      </c>
      <c r="T22" s="642" t="s">
        <v>382</v>
      </c>
      <c r="U22" s="642" t="s">
        <v>383</v>
      </c>
      <c r="V22" s="642" t="s">
        <v>384</v>
      </c>
      <c r="W22" s="642" t="s">
        <v>385</v>
      </c>
      <c r="X22" s="642" t="s">
        <v>386</v>
      </c>
      <c r="Y22" s="642" t="s">
        <v>387</v>
      </c>
      <c r="Z22" s="642" t="s">
        <v>388</v>
      </c>
      <c r="AA22" s="642" t="s">
        <v>389</v>
      </c>
      <c r="AB22" s="642" t="s">
        <v>390</v>
      </c>
      <c r="AC22" s="642" t="s">
        <v>391</v>
      </c>
    </row>
    <row r="23" spans="1:29" x14ac:dyDescent="0.15">
      <c r="A23" s="266"/>
      <c r="B23" s="266"/>
      <c r="C23" s="633"/>
      <c r="I23" s="863" t="s">
        <v>509</v>
      </c>
      <c r="J23" s="862">
        <v>0</v>
      </c>
      <c r="M23" s="382"/>
      <c r="N23" s="182"/>
      <c r="O23" s="182"/>
      <c r="Q23" s="866">
        <v>0</v>
      </c>
      <c r="R23" s="867">
        <v>22000</v>
      </c>
      <c r="S23" s="905">
        <v>1103</v>
      </c>
      <c r="T23" s="905">
        <v>1504</v>
      </c>
      <c r="U23" s="905">
        <v>1895</v>
      </c>
      <c r="V23" s="905">
        <v>2278</v>
      </c>
      <c r="W23" s="906">
        <v>383</v>
      </c>
      <c r="X23" s="907">
        <v>2083</v>
      </c>
      <c r="Y23" s="905">
        <v>2382</v>
      </c>
      <c r="Z23" s="905">
        <v>2639</v>
      </c>
      <c r="AA23" s="905">
        <v>2887</v>
      </c>
      <c r="AB23" s="905">
        <v>248</v>
      </c>
      <c r="AC23" s="906">
        <v>981</v>
      </c>
    </row>
    <row r="24" spans="1:29" x14ac:dyDescent="0.15">
      <c r="A24" t="s">
        <v>225</v>
      </c>
      <c r="F24" s="176" t="s">
        <v>364</v>
      </c>
      <c r="G24" s="385">
        <v>0.5</v>
      </c>
      <c r="I24" s="863" t="s">
        <v>510</v>
      </c>
      <c r="J24" s="862">
        <v>0</v>
      </c>
      <c r="Q24" s="866">
        <f>R23+0.01</f>
        <v>22000.01</v>
      </c>
      <c r="R24" s="867">
        <v>32000</v>
      </c>
      <c r="S24" s="905">
        <v>1169</v>
      </c>
      <c r="T24" s="905">
        <v>1570</v>
      </c>
      <c r="U24" s="905">
        <v>1961</v>
      </c>
      <c r="V24" s="905">
        <v>2344</v>
      </c>
      <c r="W24" s="906">
        <v>383</v>
      </c>
      <c r="X24" s="907">
        <v>2149</v>
      </c>
      <c r="Y24" s="905">
        <v>2448</v>
      </c>
      <c r="Z24" s="905">
        <v>2705</v>
      </c>
      <c r="AA24" s="905">
        <v>2953</v>
      </c>
      <c r="AB24" s="905">
        <v>248</v>
      </c>
      <c r="AC24" s="906">
        <v>981</v>
      </c>
    </row>
    <row r="25" spans="1:29" x14ac:dyDescent="0.15">
      <c r="A25" s="312">
        <v>44232</v>
      </c>
      <c r="Q25" s="866">
        <f t="shared" ref="Q25:Q37" si="1">R24+0.01</f>
        <v>32000.01</v>
      </c>
      <c r="R25" s="867">
        <v>43000</v>
      </c>
      <c r="S25" s="905">
        <v>1230</v>
      </c>
      <c r="T25" s="905">
        <v>1631</v>
      </c>
      <c r="U25" s="905">
        <v>2022</v>
      </c>
      <c r="V25" s="905">
        <v>2405</v>
      </c>
      <c r="W25" s="906">
        <v>383</v>
      </c>
      <c r="X25" s="907">
        <v>2210</v>
      </c>
      <c r="Y25" s="905">
        <v>2509</v>
      </c>
      <c r="Z25" s="905">
        <v>2766</v>
      </c>
      <c r="AA25" s="905">
        <v>3014</v>
      </c>
      <c r="AB25" s="905">
        <v>248</v>
      </c>
      <c r="AC25" s="906">
        <v>980</v>
      </c>
    </row>
    <row r="26" spans="1:29" x14ac:dyDescent="0.15">
      <c r="F26" s="183" t="s">
        <v>365</v>
      </c>
      <c r="G26" s="181">
        <v>0</v>
      </c>
      <c r="Q26" s="866">
        <f t="shared" si="1"/>
        <v>43000.01</v>
      </c>
      <c r="R26" s="867">
        <v>54000</v>
      </c>
      <c r="S26" s="905">
        <v>1320</v>
      </c>
      <c r="T26" s="905">
        <v>1721</v>
      </c>
      <c r="U26" s="905">
        <v>2112</v>
      </c>
      <c r="V26" s="905">
        <v>2494</v>
      </c>
      <c r="W26" s="906">
        <v>382</v>
      </c>
      <c r="X26" s="907">
        <v>2300</v>
      </c>
      <c r="Y26" s="905">
        <v>2598</v>
      </c>
      <c r="Z26" s="905">
        <v>2855</v>
      </c>
      <c r="AA26" s="905">
        <v>3103</v>
      </c>
      <c r="AB26" s="905">
        <v>248</v>
      </c>
      <c r="AC26" s="906">
        <v>980</v>
      </c>
    </row>
    <row r="27" spans="1:29" x14ac:dyDescent="0.15">
      <c r="A27" s="387" t="s">
        <v>331</v>
      </c>
      <c r="I27" s="398" t="s">
        <v>272</v>
      </c>
      <c r="J27" s="398"/>
      <c r="Q27" s="866">
        <f>R26+0.01</f>
        <v>54000.01</v>
      </c>
      <c r="R27" s="867">
        <v>65000</v>
      </c>
      <c r="S27" s="905">
        <v>1481</v>
      </c>
      <c r="T27" s="905">
        <v>1882</v>
      </c>
      <c r="U27" s="905">
        <v>2273</v>
      </c>
      <c r="V27" s="905">
        <v>2655</v>
      </c>
      <c r="W27" s="906">
        <v>382</v>
      </c>
      <c r="X27" s="907">
        <v>2461</v>
      </c>
      <c r="Y27" s="905">
        <v>2759</v>
      </c>
      <c r="Z27" s="905">
        <v>3016</v>
      </c>
      <c r="AA27" s="905">
        <v>3263</v>
      </c>
      <c r="AB27" s="905">
        <v>247</v>
      </c>
      <c r="AC27" s="906">
        <v>979</v>
      </c>
    </row>
    <row r="28" spans="1:29" x14ac:dyDescent="0.15">
      <c r="A28" s="387" t="s">
        <v>332</v>
      </c>
      <c r="F28" s="813" t="s">
        <v>469</v>
      </c>
      <c r="G28" s="814">
        <v>0.9</v>
      </c>
      <c r="I28" s="396" t="s">
        <v>268</v>
      </c>
      <c r="J28" s="176">
        <v>5</v>
      </c>
      <c r="Q28" s="866">
        <f t="shared" si="1"/>
        <v>65000.01</v>
      </c>
      <c r="R28" s="867">
        <v>86000</v>
      </c>
      <c r="S28" s="905">
        <v>1690</v>
      </c>
      <c r="T28" s="905">
        <v>2091</v>
      </c>
      <c r="U28" s="905">
        <v>2481</v>
      </c>
      <c r="V28" s="905">
        <v>2862</v>
      </c>
      <c r="W28" s="906">
        <v>381</v>
      </c>
      <c r="X28" s="907">
        <v>2668</v>
      </c>
      <c r="Y28" s="905">
        <v>2966</v>
      </c>
      <c r="Z28" s="905">
        <v>3223</v>
      </c>
      <c r="AA28" s="905">
        <v>3470</v>
      </c>
      <c r="AB28" s="905">
        <v>246</v>
      </c>
      <c r="AC28" s="906">
        <v>979</v>
      </c>
    </row>
    <row r="29" spans="1:29" x14ac:dyDescent="0.15">
      <c r="I29" s="396" t="s">
        <v>269</v>
      </c>
      <c r="J29" s="176">
        <v>5</v>
      </c>
      <c r="K29" s="859"/>
      <c r="M29" s="387" t="s">
        <v>456</v>
      </c>
      <c r="N29" s="387" t="s">
        <v>457</v>
      </c>
      <c r="Q29" s="866">
        <f t="shared" si="1"/>
        <v>86000.01</v>
      </c>
      <c r="R29" s="867">
        <v>108000</v>
      </c>
      <c r="S29" s="905">
        <v>2010</v>
      </c>
      <c r="T29" s="905">
        <v>2410</v>
      </c>
      <c r="U29" s="905">
        <v>2801</v>
      </c>
      <c r="V29" s="905">
        <v>3180</v>
      </c>
      <c r="W29" s="906">
        <v>380</v>
      </c>
      <c r="X29" s="907">
        <v>2987</v>
      </c>
      <c r="Y29" s="905">
        <v>3284</v>
      </c>
      <c r="Z29" s="905">
        <v>3542</v>
      </c>
      <c r="AA29" s="905">
        <v>3787</v>
      </c>
      <c r="AB29" s="905">
        <v>245</v>
      </c>
      <c r="AC29" s="906">
        <v>977</v>
      </c>
    </row>
    <row r="30" spans="1:29" x14ac:dyDescent="0.15">
      <c r="F30" s="813" t="s">
        <v>37</v>
      </c>
      <c r="G30" s="814">
        <v>0.9</v>
      </c>
      <c r="I30" s="176" t="s">
        <v>92</v>
      </c>
      <c r="J30" s="176">
        <v>0</v>
      </c>
      <c r="K30" s="859"/>
      <c r="M30" s="387" t="s">
        <v>458</v>
      </c>
      <c r="N30">
        <v>52</v>
      </c>
      <c r="Q30" s="866">
        <f t="shared" si="1"/>
        <v>108000.01</v>
      </c>
      <c r="R30" s="867">
        <v>129000</v>
      </c>
      <c r="S30" s="905">
        <v>2227</v>
      </c>
      <c r="T30" s="905">
        <v>2626</v>
      </c>
      <c r="U30" s="905">
        <v>3017</v>
      </c>
      <c r="V30" s="905">
        <v>3396</v>
      </c>
      <c r="W30" s="906">
        <v>379</v>
      </c>
      <c r="X30" s="907">
        <v>3203</v>
      </c>
      <c r="Y30" s="905">
        <v>3499</v>
      </c>
      <c r="Z30" s="905">
        <v>3758</v>
      </c>
      <c r="AA30" s="905">
        <v>4001</v>
      </c>
      <c r="AB30" s="905">
        <v>243</v>
      </c>
      <c r="AC30" s="906">
        <v>977</v>
      </c>
    </row>
    <row r="31" spans="1:29" x14ac:dyDescent="0.15">
      <c r="I31" s="9"/>
      <c r="J31" s="861"/>
      <c r="K31" s="861"/>
      <c r="M31" s="387" t="s">
        <v>459</v>
      </c>
      <c r="N31">
        <v>26</v>
      </c>
      <c r="Q31" s="866">
        <f t="shared" si="1"/>
        <v>129000.01</v>
      </c>
      <c r="R31" s="867">
        <v>151000</v>
      </c>
      <c r="S31" s="905">
        <v>2639</v>
      </c>
      <c r="T31" s="905">
        <v>3038</v>
      </c>
      <c r="U31" s="905">
        <v>3428</v>
      </c>
      <c r="V31" s="905">
        <v>3805</v>
      </c>
      <c r="W31" s="906">
        <v>377</v>
      </c>
      <c r="X31" s="907">
        <v>3614</v>
      </c>
      <c r="Y31" s="905">
        <v>3908</v>
      </c>
      <c r="Z31" s="905">
        <v>4168</v>
      </c>
      <c r="AA31" s="905">
        <v>4409</v>
      </c>
      <c r="AB31" s="905">
        <v>241</v>
      </c>
      <c r="AC31" s="906">
        <v>975</v>
      </c>
    </row>
    <row r="32" spans="1:29" x14ac:dyDescent="0.15">
      <c r="F32" s="565" t="s">
        <v>67</v>
      </c>
      <c r="G32" s="833">
        <v>5.0999999999999997E-2</v>
      </c>
      <c r="I32" s="9"/>
      <c r="J32" s="861"/>
      <c r="K32" s="861"/>
      <c r="M32" s="387" t="s">
        <v>460</v>
      </c>
      <c r="N32">
        <v>12</v>
      </c>
      <c r="Q32" s="866">
        <f t="shared" si="1"/>
        <v>151000.01</v>
      </c>
      <c r="R32" s="867">
        <v>172000</v>
      </c>
      <c r="S32" s="905">
        <v>2807</v>
      </c>
      <c r="T32" s="905">
        <v>3206</v>
      </c>
      <c r="U32" s="905">
        <v>3596</v>
      </c>
      <c r="V32" s="905">
        <v>3973</v>
      </c>
      <c r="W32" s="906">
        <v>377</v>
      </c>
      <c r="X32" s="907">
        <v>3782</v>
      </c>
      <c r="Y32" s="905">
        <v>4076</v>
      </c>
      <c r="Z32" s="905">
        <v>4336</v>
      </c>
      <c r="AA32" s="905">
        <v>4576</v>
      </c>
      <c r="AB32" s="905">
        <v>240</v>
      </c>
      <c r="AC32" s="906">
        <v>974</v>
      </c>
    </row>
    <row r="33" spans="1:29" x14ac:dyDescent="0.15">
      <c r="F33" s="834" t="s">
        <v>231</v>
      </c>
      <c r="G33" s="835">
        <v>2.5000000000000001E-2</v>
      </c>
      <c r="I33" s="9"/>
      <c r="J33" s="861"/>
      <c r="K33" s="861"/>
      <c r="M33" s="387" t="s">
        <v>461</v>
      </c>
      <c r="N33">
        <v>4</v>
      </c>
      <c r="Q33" s="866">
        <f t="shared" si="1"/>
        <v>172000.01</v>
      </c>
      <c r="R33" s="867">
        <v>215000</v>
      </c>
      <c r="S33" s="905">
        <v>2974</v>
      </c>
      <c r="T33" s="905">
        <v>3372</v>
      </c>
      <c r="U33" s="905">
        <v>3762</v>
      </c>
      <c r="V33" s="905">
        <v>4138</v>
      </c>
      <c r="W33" s="906">
        <v>376</v>
      </c>
      <c r="X33" s="907">
        <v>3947</v>
      </c>
      <c r="Y33" s="905">
        <v>4241</v>
      </c>
      <c r="Z33" s="905">
        <v>4501</v>
      </c>
      <c r="AA33" s="905">
        <v>4741</v>
      </c>
      <c r="AB33" s="905">
        <v>239</v>
      </c>
      <c r="AC33" s="906">
        <v>974</v>
      </c>
    </row>
    <row r="34" spans="1:29" x14ac:dyDescent="0.15">
      <c r="F34" s="836"/>
      <c r="G34" s="837"/>
      <c r="I34" s="9"/>
      <c r="J34" s="861"/>
      <c r="K34" s="861"/>
      <c r="M34" s="387" t="s">
        <v>462</v>
      </c>
      <c r="N34">
        <v>2</v>
      </c>
      <c r="Q34" s="866">
        <f t="shared" si="1"/>
        <v>215000.01</v>
      </c>
      <c r="R34" s="867">
        <v>269000</v>
      </c>
      <c r="S34" s="905">
        <v>3454</v>
      </c>
      <c r="T34" s="905">
        <v>3852</v>
      </c>
      <c r="U34" s="905">
        <v>4241</v>
      </c>
      <c r="V34" s="905">
        <v>4615</v>
      </c>
      <c r="W34" s="906">
        <v>374</v>
      </c>
      <c r="X34" s="907">
        <v>4426</v>
      </c>
      <c r="Y34" s="905">
        <v>4717</v>
      </c>
      <c r="Z34" s="905">
        <v>4979</v>
      </c>
      <c r="AA34" s="905">
        <v>5216</v>
      </c>
      <c r="AB34" s="905">
        <v>237</v>
      </c>
      <c r="AC34" s="906">
        <v>972</v>
      </c>
    </row>
    <row r="35" spans="1:29" x14ac:dyDescent="0.15">
      <c r="I35" s="9"/>
      <c r="J35" s="861"/>
      <c r="K35" s="861"/>
      <c r="M35" s="387" t="s">
        <v>463</v>
      </c>
      <c r="N35">
        <v>1</v>
      </c>
      <c r="Q35" s="866">
        <f t="shared" si="1"/>
        <v>269000.01</v>
      </c>
      <c r="R35" s="867">
        <v>323000</v>
      </c>
      <c r="S35" s="905">
        <v>3920</v>
      </c>
      <c r="T35" s="905">
        <v>4318</v>
      </c>
      <c r="U35" s="905">
        <v>4707</v>
      </c>
      <c r="V35" s="905">
        <v>5079</v>
      </c>
      <c r="W35" s="906">
        <v>373</v>
      </c>
      <c r="X35" s="907">
        <v>4891</v>
      </c>
      <c r="Y35" s="905">
        <v>5181</v>
      </c>
      <c r="Z35" s="905">
        <v>5444</v>
      </c>
      <c r="AA35" s="905">
        <v>5678</v>
      </c>
      <c r="AB35" s="905">
        <v>234</v>
      </c>
      <c r="AC35" s="906">
        <v>970</v>
      </c>
    </row>
    <row r="36" spans="1:29" x14ac:dyDescent="0.15">
      <c r="A36" s="1034" t="s">
        <v>555</v>
      </c>
      <c r="B36" s="1035"/>
      <c r="C36" s="1036"/>
      <c r="Q36" s="866">
        <f t="shared" si="1"/>
        <v>323000.01</v>
      </c>
      <c r="R36" s="867">
        <v>538000</v>
      </c>
      <c r="S36" s="905">
        <v>4161</v>
      </c>
      <c r="T36" s="905">
        <v>4558</v>
      </c>
      <c r="U36" s="905">
        <v>4947</v>
      </c>
      <c r="V36" s="905">
        <v>5319</v>
      </c>
      <c r="W36" s="906">
        <v>372</v>
      </c>
      <c r="X36" s="907">
        <v>5131</v>
      </c>
      <c r="Y36" s="905">
        <v>5420</v>
      </c>
      <c r="Z36" s="905">
        <v>5684</v>
      </c>
      <c r="AA36" s="905">
        <v>5917</v>
      </c>
      <c r="AB36" s="905">
        <v>233</v>
      </c>
      <c r="AC36" s="906">
        <v>969</v>
      </c>
    </row>
    <row r="37" spans="1:29" ht="14" thickBot="1" x14ac:dyDescent="0.2">
      <c r="A37" s="863" t="s">
        <v>556</v>
      </c>
      <c r="B37" s="863" t="s">
        <v>557</v>
      </c>
      <c r="C37" s="863" t="s">
        <v>558</v>
      </c>
      <c r="Q37" s="866">
        <f t="shared" si="1"/>
        <v>538000.01</v>
      </c>
      <c r="R37" s="867" t="s">
        <v>375</v>
      </c>
      <c r="S37" s="908">
        <v>4396</v>
      </c>
      <c r="T37" s="908">
        <v>4793</v>
      </c>
      <c r="U37" s="908">
        <v>5182</v>
      </c>
      <c r="V37" s="908">
        <v>5554</v>
      </c>
      <c r="W37" s="909">
        <v>372</v>
      </c>
      <c r="X37" s="910">
        <v>5365</v>
      </c>
      <c r="Y37" s="908">
        <v>5654</v>
      </c>
      <c r="Z37" s="908">
        <v>5918</v>
      </c>
      <c r="AA37" s="908">
        <v>6151</v>
      </c>
      <c r="AB37" s="908">
        <v>233</v>
      </c>
      <c r="AC37" s="909">
        <v>968</v>
      </c>
    </row>
    <row r="38" spans="1:29" x14ac:dyDescent="0.15">
      <c r="A38" s="862">
        <v>37500</v>
      </c>
      <c r="B38" s="862">
        <v>700</v>
      </c>
      <c r="C38" s="862">
        <v>0</v>
      </c>
      <c r="I38" s="788" t="s">
        <v>327</v>
      </c>
      <c r="J38" s="788" t="s">
        <v>329</v>
      </c>
      <c r="K38" s="788" t="s">
        <v>464</v>
      </c>
      <c r="L38" s="788" t="s">
        <v>465</v>
      </c>
      <c r="M38" s="788" t="s">
        <v>466</v>
      </c>
      <c r="Q38" s="817"/>
      <c r="R38" s="643"/>
      <c r="S38" s="644"/>
      <c r="T38" s="763"/>
      <c r="U38" s="763"/>
      <c r="V38" s="763"/>
      <c r="W38" s="764"/>
      <c r="X38" s="769"/>
      <c r="Y38" s="763"/>
      <c r="Z38" s="763"/>
      <c r="AA38" s="763"/>
      <c r="AB38" s="763"/>
      <c r="AC38" s="764"/>
    </row>
    <row r="39" spans="1:29" x14ac:dyDescent="0.15">
      <c r="A39" s="862">
        <v>45000</v>
      </c>
      <c r="B39" s="862">
        <v>700</v>
      </c>
      <c r="C39" s="862">
        <v>0.05</v>
      </c>
      <c r="I39" s="789">
        <v>0</v>
      </c>
      <c r="J39" s="789">
        <v>0</v>
      </c>
      <c r="K39" s="790">
        <v>0</v>
      </c>
      <c r="L39" s="791">
        <v>0</v>
      </c>
      <c r="M39" s="790">
        <v>0</v>
      </c>
      <c r="Q39" s="817"/>
      <c r="R39" s="762"/>
      <c r="S39" s="763"/>
      <c r="T39" s="763"/>
      <c r="U39" s="763"/>
      <c r="V39" s="763"/>
      <c r="W39" s="764"/>
      <c r="X39" s="769"/>
      <c r="Y39" s="763"/>
      <c r="Z39" s="763"/>
      <c r="AA39" s="763"/>
      <c r="AB39" s="763"/>
      <c r="AC39" s="764"/>
    </row>
    <row r="40" spans="1:29" x14ac:dyDescent="0.15">
      <c r="A40" s="903">
        <v>66667</v>
      </c>
      <c r="B40" s="903">
        <v>325</v>
      </c>
      <c r="C40" s="862">
        <v>1.4999999999999999E-2</v>
      </c>
      <c r="I40" s="789">
        <f>A4</f>
        <v>18200</v>
      </c>
      <c r="J40" s="789">
        <f>I40-(IF(I40&lt;=0,0,(I40-VLOOKUP(I40,Data!$A$3:$C$7,1))*VLOOKUP(I40,Data!$A$3:$C$7,2)+VLOOKUP(I40,Data!$A$3:$C$7,3))+IF(I40&lt;=Data!$B$12,0,IF(I40&lt;=Data!$B$13,(I40-Data!$B$12)*Data!$C$12,I40*Data!$C$13)))</f>
        <v>18200</v>
      </c>
      <c r="K40" s="790">
        <f>B4</f>
        <v>0.19</v>
      </c>
      <c r="L40" s="791">
        <v>0</v>
      </c>
      <c r="M40" s="790">
        <v>0</v>
      </c>
      <c r="Q40" s="817"/>
      <c r="R40" s="762"/>
      <c r="S40" s="763"/>
      <c r="T40" s="765"/>
      <c r="U40" s="765"/>
      <c r="V40" s="765"/>
      <c r="W40" s="766"/>
      <c r="X40" s="770"/>
      <c r="Y40" s="765"/>
      <c r="Z40" s="765"/>
      <c r="AA40" s="765"/>
      <c r="AB40" s="765"/>
      <c r="AC40" s="766"/>
    </row>
    <row r="41" spans="1:29" x14ac:dyDescent="0.15">
      <c r="I41" s="789">
        <f>B12</f>
        <v>22801</v>
      </c>
      <c r="J41" s="789">
        <f>I41-(IF(I41&lt;=0,0,(I41-VLOOKUP(I41,Data!$A$3:$C$7,1))*VLOOKUP(I41,Data!$A$3:$C$7,2)+VLOOKUP(I41,Data!$A$3:$C$7,3))+IF(I41&lt;=Data!$B$12,0,IF(I41&lt;=Data!$B$13,(I41-Data!$B$12)*Data!$C$12,I41*Data!$C$13)))</f>
        <v>21926.81</v>
      </c>
      <c r="K41" s="790">
        <f>B4</f>
        <v>0.19</v>
      </c>
      <c r="L41" s="791">
        <v>0</v>
      </c>
      <c r="M41" s="790">
        <f>C12</f>
        <v>0.1</v>
      </c>
      <c r="Q41" s="817"/>
      <c r="R41" s="762"/>
      <c r="S41" s="763"/>
      <c r="T41" s="763"/>
      <c r="U41" s="763"/>
      <c r="V41" s="763"/>
      <c r="W41" s="764"/>
      <c r="X41" s="769"/>
      <c r="Y41" s="763"/>
      <c r="Z41" s="763"/>
      <c r="AA41" s="763"/>
      <c r="AB41" s="763"/>
      <c r="AC41" s="764"/>
    </row>
    <row r="42" spans="1:29" x14ac:dyDescent="0.15">
      <c r="A42" s="1034" t="s">
        <v>559</v>
      </c>
      <c r="B42" s="1035"/>
      <c r="C42" s="1036"/>
      <c r="I42" s="789">
        <f>B13</f>
        <v>28501</v>
      </c>
      <c r="J42" s="789">
        <f>I42-(IF(I42&lt;=0,0,(I42-VLOOKUP(I42,Data!$A$3:$C$7,1))*VLOOKUP(I42,Data!$A$3:$C$7,2)+VLOOKUP(I42,Data!$A$3:$C$7,3))+IF(I42&lt;=Data!$B$12,0,IF(I42&lt;=Data!$B$13,(I42-Data!$B$12)*Data!$C$12,I42*Data!$C$13)))</f>
        <v>25973.81</v>
      </c>
      <c r="K42" s="790">
        <f>B4</f>
        <v>0.19</v>
      </c>
      <c r="L42" s="791">
        <v>0</v>
      </c>
      <c r="M42" s="790">
        <f>C13</f>
        <v>0.02</v>
      </c>
      <c r="Q42" s="817"/>
      <c r="R42" s="762"/>
      <c r="S42" s="763"/>
      <c r="T42" s="763"/>
      <c r="U42" s="763"/>
      <c r="V42" s="763"/>
      <c r="W42" s="764"/>
      <c r="X42" s="769"/>
      <c r="Y42" s="763"/>
      <c r="Z42" s="763"/>
      <c r="AA42" s="763"/>
      <c r="AB42" s="763"/>
      <c r="AC42" s="764"/>
    </row>
    <row r="43" spans="1:29" ht="14" thickBot="1" x14ac:dyDescent="0.2">
      <c r="A43" s="862" t="s">
        <v>556</v>
      </c>
      <c r="B43" s="862" t="s">
        <v>557</v>
      </c>
      <c r="C43" s="862" t="s">
        <v>558</v>
      </c>
      <c r="I43" s="789">
        <f>A5</f>
        <v>45000</v>
      </c>
      <c r="J43" s="789">
        <f>I43-(IF(I43&lt;=0,0,(I43-VLOOKUP(I43,Data!$A$3:$C$7,1))*VLOOKUP(I43,Data!$A$3:$C$7,2)+VLOOKUP(I43,Data!$A$3:$C$7,3))+IF(I43&lt;=Data!$B$12,0,IF(I43&lt;=Data!$B$13,(I43-Data!$B$12)*Data!$C$12,I43*Data!$C$13)))</f>
        <v>39008</v>
      </c>
      <c r="K43" s="790">
        <f>B5</f>
        <v>0.32500000000000001</v>
      </c>
      <c r="L43" s="791">
        <f>C5</f>
        <v>5092</v>
      </c>
      <c r="M43" s="790">
        <f>C13</f>
        <v>0.02</v>
      </c>
      <c r="Q43" s="817"/>
      <c r="R43" s="646"/>
      <c r="S43" s="644"/>
      <c r="T43" s="767"/>
      <c r="U43" s="767"/>
      <c r="V43" s="767"/>
      <c r="W43" s="768"/>
      <c r="X43" s="771"/>
      <c r="Y43" s="767"/>
      <c r="Z43" s="767"/>
      <c r="AA43" s="767"/>
      <c r="AB43" s="767"/>
      <c r="AC43" s="768"/>
    </row>
    <row r="44" spans="1:29" x14ac:dyDescent="0.15">
      <c r="A44" s="862">
        <v>37000</v>
      </c>
      <c r="B44" s="862">
        <v>255</v>
      </c>
      <c r="C44" s="862">
        <v>0</v>
      </c>
      <c r="I44" s="789">
        <f>A6</f>
        <v>120000</v>
      </c>
      <c r="J44" s="789">
        <f>I44-(IF(I44&lt;=0,0,(I44-VLOOKUP(I44,Data!$A$3:$C$7,1))*VLOOKUP(I44,Data!$A$3:$C$7,2)+VLOOKUP(I44,Data!$A$3:$C$7,3))+IF(I44&lt;=Data!$B$12,0,IF(I44&lt;=Data!$B$13,(I44-Data!$B$12)*Data!$C$12,I44*Data!$C$13)))</f>
        <v>88133</v>
      </c>
      <c r="K44" s="790">
        <f t="shared" ref="K44:L45" si="2">B6</f>
        <v>0.37</v>
      </c>
      <c r="L44" s="791">
        <f t="shared" si="2"/>
        <v>29467</v>
      </c>
      <c r="M44" s="790">
        <f>C13</f>
        <v>0.02</v>
      </c>
    </row>
    <row r="45" spans="1:29" x14ac:dyDescent="0.15">
      <c r="A45" s="862">
        <v>48000</v>
      </c>
      <c r="B45" s="862">
        <v>255</v>
      </c>
      <c r="C45" s="862">
        <v>7.4999999999999997E-2</v>
      </c>
      <c r="I45" s="789">
        <f>A7</f>
        <v>180000</v>
      </c>
      <c r="J45" s="789">
        <f>I45-(IF(I45&lt;=0,0,(I45-VLOOKUP(I45,Data!$A$3:$C$7,1))*VLOOKUP(I45,Data!$A$3:$C$7,2)+VLOOKUP(I45,Data!$A$3:$C$7,3))+IF(I45&lt;=Data!$B$12,0,IF(I45&lt;=Data!$B$13,(I45-Data!$B$12)*Data!$C$12,I45*Data!$C$13)))</f>
        <v>124733</v>
      </c>
      <c r="K45" s="790">
        <f t="shared" si="2"/>
        <v>0.45</v>
      </c>
      <c r="L45" s="791">
        <f t="shared" si="2"/>
        <v>51667</v>
      </c>
      <c r="M45" s="790">
        <f>C13</f>
        <v>0.02</v>
      </c>
    </row>
    <row r="46" spans="1:29" x14ac:dyDescent="0.15">
      <c r="A46" s="862">
        <v>90000</v>
      </c>
      <c r="B46" s="862">
        <v>1080</v>
      </c>
      <c r="C46" s="862">
        <v>0</v>
      </c>
    </row>
    <row r="47" spans="1:29" x14ac:dyDescent="0.15">
      <c r="A47" s="862">
        <v>126000</v>
      </c>
      <c r="B47" s="862">
        <v>1080</v>
      </c>
      <c r="C47" s="862">
        <v>0.03</v>
      </c>
    </row>
  </sheetData>
  <sheetProtection algorithmName="SHA-512" hashValue="vCVJ1TdjNAbj08vootuY5h7TX6hoNTmDqKxVGHQv1W08/+WVoWVIAQ8uHLR9tDbm5XM1TaZ4phIrB63vVEsazw==" saltValue="0JRdnqY9jHgulS50SEUTHw==" spinCount="100000" sheet="1" objects="1" scenarios="1"/>
  <customSheetViews>
    <customSheetView guid="{878686E5-D823-11D7-9EB6-0000F6FFAA54}" hiddenRows="1" state="hidden" showRuler="0" topLeftCell="A65536">
      <selection sqref="A1:IV65536"/>
      <pageMargins left="0.75" right="0.75" top="1" bottom="1" header="0.5" footer="0.5"/>
      <headerFooter alignWithMargins="0"/>
    </customSheetView>
    <customSheetView guid="{47743E36-E3F1-4AC8-AB28-1C3AD83F86F4}" state="hidden" showRuler="0">
      <selection sqref="A1:C1"/>
      <pageMargins left="0.75" right="0.75" top="1" bottom="1" header="0.5" footer="0.5"/>
      <headerFooter alignWithMargins="0"/>
    </customSheetView>
  </customSheetViews>
  <mergeCells count="16">
    <mergeCell ref="A36:C36"/>
    <mergeCell ref="A42:C42"/>
    <mergeCell ref="Q21:AC21"/>
    <mergeCell ref="Q1:X1"/>
    <mergeCell ref="A1:C1"/>
    <mergeCell ref="F1:G1"/>
    <mergeCell ref="A22:B22"/>
    <mergeCell ref="M1:O1"/>
    <mergeCell ref="M2:N2"/>
    <mergeCell ref="I1:K1"/>
    <mergeCell ref="I2:J2"/>
    <mergeCell ref="A10:D10"/>
    <mergeCell ref="A21:B21"/>
    <mergeCell ref="A18:B18"/>
    <mergeCell ref="A20:B20"/>
    <mergeCell ref="A19:B19"/>
  </mergeCells>
  <phoneticPr fontId="27" type="noConversion"/>
  <pageMargins left="0.75" right="0.75" top="1" bottom="1" header="0.5" footer="0.5"/>
  <pageSetup paperSize="9" orientation="portrait" r:id="rId1"/>
  <headerFooter alignWithMargins="0">
    <oddFooter>&amp;L&amp;1#&amp;"Arial"&amp;9&amp;K000000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cmdSetupVersion">
                <anchor moveWithCells="1" sizeWithCells="1">
                  <from>
                    <xdr:col>2</xdr:col>
                    <xdr:colOff>0</xdr:colOff>
                    <xdr:row>24</xdr:row>
                    <xdr:rowOff>12700</xdr:rowOff>
                  </from>
                  <to>
                    <xdr:col>3</xdr:col>
                    <xdr:colOff>165100</xdr:colOff>
                    <xdr:row>26</xdr:row>
                    <xdr:rowOff>76200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AO64"/>
  <sheetViews>
    <sheetView topLeftCell="A14" workbookViewId="0">
      <selection activeCell="AK25" sqref="AK25"/>
    </sheetView>
  </sheetViews>
  <sheetFormatPr baseColWidth="10" defaultColWidth="8.83203125" defaultRowHeight="13" x14ac:dyDescent="0.15"/>
  <cols>
    <col min="1" max="1" width="29.6640625" customWidth="1"/>
    <col min="2" max="8" width="14.1640625" customWidth="1"/>
    <col min="9" max="9" width="4.6640625" customWidth="1"/>
    <col min="10" max="12" width="14.1640625" customWidth="1"/>
    <col min="13" max="13" width="4.6640625" customWidth="1"/>
    <col min="14" max="16" width="14.1640625" customWidth="1"/>
    <col min="17" max="17" width="4.6640625" customWidth="1"/>
    <col min="18" max="18" width="26.6640625" customWidth="1"/>
    <col min="19" max="20" width="13.6640625" customWidth="1"/>
    <col min="21" max="21" width="12.33203125" customWidth="1"/>
    <col min="28" max="31" width="12.1640625" customWidth="1"/>
    <col min="32" max="32" width="14.1640625" customWidth="1"/>
    <col min="33" max="39" width="13.1640625" customWidth="1"/>
    <col min="40" max="40" width="11.33203125" bestFit="1" customWidth="1"/>
    <col min="41" max="41" width="12.6640625" bestFit="1" customWidth="1"/>
  </cols>
  <sheetData>
    <row r="1" spans="1:41" x14ac:dyDescent="0.15">
      <c r="A1" s="190" t="s">
        <v>153</v>
      </c>
      <c r="B1" s="190"/>
      <c r="C1" s="190"/>
      <c r="D1" s="190"/>
      <c r="E1" s="190"/>
      <c r="F1" s="190"/>
      <c r="G1" s="190"/>
      <c r="H1" s="190"/>
      <c r="I1" s="190"/>
      <c r="J1" s="190"/>
      <c r="K1" s="190"/>
      <c r="L1" s="190"/>
      <c r="M1" s="190"/>
      <c r="N1" s="190"/>
      <c r="O1" s="190"/>
      <c r="P1" s="190"/>
      <c r="Q1" s="190"/>
      <c r="R1" s="227" t="s">
        <v>221</v>
      </c>
      <c r="S1" s="311">
        <f>SUM(Model!G17:J17,Model!G23:J25,Model!G30:J31)+SUM(Model!G18:J18)*Data!C20+SUM(Model!G19:J19)*Data!C20+SUM(Model!G22:J22)*Data!C22</f>
        <v>70000</v>
      </c>
      <c r="T1" s="97"/>
      <c r="U1" s="191"/>
      <c r="Z1" s="314">
        <f>IF('Neg Gearing'!C20="",Z2-Data!G33,'Neg Gearing'!C20)</f>
        <v>2.5999999999999995E-2</v>
      </c>
      <c r="AA1" t="s">
        <v>229</v>
      </c>
      <c r="AB1" s="207" t="s">
        <v>232</v>
      </c>
      <c r="AC1" s="207" t="s">
        <v>233</v>
      </c>
      <c r="AD1" s="207" t="s">
        <v>234</v>
      </c>
      <c r="AE1" s="207" t="s">
        <v>235</v>
      </c>
      <c r="AF1" s="207" t="s">
        <v>236</v>
      </c>
      <c r="AG1" s="207" t="s">
        <v>237</v>
      </c>
      <c r="AH1" s="207" t="s">
        <v>238</v>
      </c>
      <c r="AI1" s="207" t="s">
        <v>239</v>
      </c>
      <c r="AJ1" s="207" t="s">
        <v>240</v>
      </c>
      <c r="AK1" s="207" t="s">
        <v>241</v>
      </c>
      <c r="AL1" s="207" t="s">
        <v>242</v>
      </c>
      <c r="AM1" s="207" t="s">
        <v>243</v>
      </c>
      <c r="AN1" s="207" t="s">
        <v>244</v>
      </c>
      <c r="AO1" s="315" t="s">
        <v>245</v>
      </c>
    </row>
    <row r="2" spans="1:41" x14ac:dyDescent="0.15">
      <c r="A2" s="192"/>
      <c r="B2" s="193" t="s">
        <v>85</v>
      </c>
      <c r="C2" s="193" t="s">
        <v>141</v>
      </c>
      <c r="D2" s="194"/>
      <c r="E2" s="96"/>
      <c r="F2" s="193" t="s">
        <v>86</v>
      </c>
      <c r="G2" s="193" t="s">
        <v>141</v>
      </c>
      <c r="H2" s="194"/>
      <c r="I2" s="194"/>
      <c r="J2" s="193" t="s">
        <v>87</v>
      </c>
      <c r="K2" s="193" t="s">
        <v>141</v>
      </c>
      <c r="L2" s="194"/>
      <c r="M2" s="194"/>
      <c r="N2" s="193" t="s">
        <v>88</v>
      </c>
      <c r="O2" s="193" t="s">
        <v>141</v>
      </c>
      <c r="P2" s="194"/>
      <c r="Q2" s="97"/>
      <c r="R2" s="195" t="s">
        <v>222</v>
      </c>
      <c r="S2" s="196">
        <f t="array" ref="S2">SUM(IF('Rental Yield'!$C$30:$C$49&lt;&gt;"",('Rental Yield'!$C$30:$C$49)*('Rental Yield'!F30:F49)))+SUM(IF('Rental Yield'!$C$30:$C$49&lt;&gt;"",('Rental Yield'!$C$30:$C$49)*('Rental Yield'!G30:G49)))+SUM(IF('Rental Yield'!$C$30:$C$49&lt;&gt;"",('Rental Yield'!$C$30:$C$49)*('Rental Yield'!H30:H49)))+SUM(IF('Rental Yield'!$C$30:$C$49&lt;&gt;"",('Rental Yield'!$C$30:$C$49)*('Rental Yield'!I30:I49)))</f>
        <v>0</v>
      </c>
      <c r="T2" s="305"/>
      <c r="U2" s="197" t="s">
        <v>154</v>
      </c>
      <c r="V2" s="198" t="b">
        <f>OR(SUM(Model!G17:G24,Model!G30)&gt;0,Model!G25&lt;&gt;0,Model!G31&lt;&gt;0)</f>
        <v>1</v>
      </c>
      <c r="Z2" s="314">
        <f>MAX(Model!H52,Data!G32)</f>
        <v>5.0999999999999997E-2</v>
      </c>
      <c r="AA2" t="s">
        <v>230</v>
      </c>
      <c r="AB2" s="317">
        <f>'Neg Gearing'!E28</f>
        <v>0</v>
      </c>
      <c r="AC2" s="317">
        <f>'Neg Gearing'!E29</f>
        <v>0</v>
      </c>
      <c r="AD2" s="317">
        <f>'Neg Gearing'!E30</f>
        <v>0</v>
      </c>
      <c r="AE2" s="317">
        <f>'Neg Gearing'!E31</f>
        <v>0</v>
      </c>
      <c r="AF2" s="316">
        <f>MAX(C12,0)</f>
        <v>70000</v>
      </c>
      <c r="AG2" s="317">
        <f>MAX(G12,0)</f>
        <v>0</v>
      </c>
      <c r="AH2" s="317">
        <f>MAX(K12,0)</f>
        <v>0</v>
      </c>
      <c r="AI2" s="317">
        <f>MAX(O12,0)</f>
        <v>0</v>
      </c>
      <c r="AJ2" s="316">
        <f>income_tax(AF2)+medicare_levy(AF2)-IF((LITO(AF2,income_tax(AF2))+LMITO(AF2,income_tax(AF2)))&gt;income_tax(AF2),income_tax(AF2),LITO(AF2,income_tax(AF2)))-IF((LITO(AF2,income_tax(AF2))+LMITO(AF2,income_tax(AF2)))&gt;income_tax(AF2),0,LMITO(AF2,income_tax(AF2)))</f>
        <v>13537</v>
      </c>
      <c r="AK2" s="316">
        <f>income_tax(AG2)+medicare_levy(AG2)-IF((LITO(AG2,income_tax(AG2))+LMITO(AG2,income_tax(AG2)))&gt;income_tax(AG2),income_tax(AG2),LITO(AG2,income_tax(AG2)))-IF((LITO(AG2,income_tax(AG2))+LMITO(AG2,income_tax(AG2)))&gt;income_tax(AG2),0,LMITO(AG2,income_tax(AG2)))</f>
        <v>0</v>
      </c>
      <c r="AL2" s="316">
        <f>income_tax(AH2)+medicare_levy(AH2)-IF((LITO(AH2,income_tax(AH2))+LMITO(AH2,income_tax(AH2)))&gt;income_tax(AH2),income_tax(AH2),LITO(AH2,income_tax(AH2)))-IF((LITO(AH2,income_tax(AH2))+LMITO(AH2,income_tax(AH2)))&gt;income_tax(AH2),0,LMITO(AH2,income_tax(AH2)))</f>
        <v>0</v>
      </c>
      <c r="AM2" s="316">
        <f>income_tax(AI2)+medicare_levy(AI2)-IF((LITO(AI2,income_tax(AI2))+LMITO(AI2,income_tax(AI2)))&gt;income_tax(AI2),income_tax(AI2),LITO(AI2,income_tax(AI2)))-IF((LITO(AI2,income_tax(AI2))+LMITO(AI2,income_tax(AI2)))&gt;income_tax(AI2),0,LMITO(AI2,income_tax(AI2)))</f>
        <v>0</v>
      </c>
      <c r="AN2" s="360">
        <f>ROUNDDOWN((($C$12+$G$12+$K$12+$O$12+SUM(Model!$L$30:$L$31)-SUM(AJ2:AM2)-Model!$L$34)/12-$F$40)*(1-$S$42)-$S$15,0)</f>
        <v>1705</v>
      </c>
      <c r="AO2" s="378">
        <f>ROUNDDOWN(PV($Z$2/12,$Z$3*12,-(AN2-$Z$4)),0)</f>
        <v>314025</v>
      </c>
    </row>
    <row r="3" spans="1:41" x14ac:dyDescent="0.15">
      <c r="A3" s="379" t="s">
        <v>370</v>
      </c>
      <c r="B3" s="199">
        <f>Model!G17</f>
        <v>70000</v>
      </c>
      <c r="C3" s="199">
        <f>B3</f>
        <v>70000</v>
      </c>
      <c r="D3" s="200"/>
      <c r="E3" s="96"/>
      <c r="F3" s="199">
        <f>Model!H17</f>
        <v>0</v>
      </c>
      <c r="G3" s="199">
        <f>F3</f>
        <v>0</v>
      </c>
      <c r="H3" s="200"/>
      <c r="I3" s="200"/>
      <c r="J3" s="199">
        <f>Model!I17</f>
        <v>0</v>
      </c>
      <c r="K3" s="199">
        <f>J3</f>
        <v>0</v>
      </c>
      <c r="L3" s="200"/>
      <c r="M3" s="200"/>
      <c r="N3" s="199">
        <f>Model!J17</f>
        <v>0</v>
      </c>
      <c r="O3" s="199">
        <f>N3</f>
        <v>0</v>
      </c>
      <c r="P3" s="200"/>
      <c r="Q3" s="97"/>
      <c r="R3" s="195" t="s">
        <v>223</v>
      </c>
      <c r="S3" s="196">
        <f t="array" ref="S3">SUM(IF('Rental Yield'!$E$30:$E$49&lt;&gt;"",('Rental Yield'!$E$30:$E$49)*('Rental Yield'!F30:F49)))+SUM(IF('Rental Yield'!$E$30:$E$49&lt;&gt;"",('Rental Yield'!$E$30:$E$49)*('Rental Yield'!G30:G49)))+SUM(IF('Rental Yield'!$E$30:$E$49&lt;&gt;"",('Rental Yield'!$E$30:$E$49)*('Rental Yield'!H30:H49)))+SUM(IF('Rental Yield'!$E$30:$E$49&lt;&gt;"",('Rental Yield'!$E$30:$E$49)*('Rental Yield'!I30:I49)))</f>
        <v>0</v>
      </c>
      <c r="T3" s="306"/>
      <c r="U3" s="3" t="s">
        <v>155</v>
      </c>
      <c r="V3" s="198" t="b">
        <f>IF(Model!H7&gt;0,AND(COUNT(Model!H10:K10)&gt;=Model!H7,COUNT(Model!H12:K12)&gt;=Model!H7,Model!G16&lt;&gt;"",Model!K7="",Model!H11&lt;&gt;"",IF(Model!H7&gt;1,Model!I11&lt;&gt;"",TRUE),IF(Model!H7&gt;2,Model!J11&lt;&gt;"",TRUE),IF(Model!H7&gt;3,Model!K11&lt;&gt;"",TRUE)),FALSE)</f>
        <v>1</v>
      </c>
      <c r="Z3" s="207">
        <f>Model!I52-Model!J52</f>
        <v>30</v>
      </c>
      <c r="AA3" t="s">
        <v>227</v>
      </c>
      <c r="AB3" s="317">
        <f>IF($Z$5,$AO2*$Z$1*'Neg Gearing'!E$20+AB$2,0)</f>
        <v>0</v>
      </c>
      <c r="AC3" s="317">
        <f>IF($Z$5,$AO2*$Z$1*'Neg Gearing'!F$20+AC$2,0)</f>
        <v>0</v>
      </c>
      <c r="AD3" s="317">
        <f>IF($Z$5,$AO2*$Z$1*'Neg Gearing'!G$20+AD$2,0)</f>
        <v>0</v>
      </c>
      <c r="AE3" s="317">
        <f>IF($Z$5,$AO2*$Z$1*'Neg Gearing'!H$20+AE$2,0)</f>
        <v>0</v>
      </c>
      <c r="AF3" s="316">
        <f>MAX(AF$2-AB3,0)</f>
        <v>70000</v>
      </c>
      <c r="AG3" s="316">
        <f>MAX(AG$2-AC3,0)</f>
        <v>0</v>
      </c>
      <c r="AH3" s="316">
        <f>MAX(AH$2-AD3,0)</f>
        <v>0</v>
      </c>
      <c r="AI3" s="316">
        <f>MAX(AI$2-AE3,0)</f>
        <v>0</v>
      </c>
      <c r="AJ3" s="316">
        <f>income_tax(AF3)+medicare_levy(AF3)-IF((LITO(AF3,income_tax(AF3))+LMITO(AF3,income_tax(AF3)))&gt;income_tax(AF3),income_tax(AF3),LITO(AF3,income_tax(AF3)))-IF((LITO(AF3,income_tax(AF3))+LMITO(AF3,income_tax(AF3)))&gt;income_tax(AF3),0,LMITO(AF3,income_tax(AF3)))</f>
        <v>13537</v>
      </c>
      <c r="AK3" s="316">
        <f>income_tax(AG3)+medicare_levy(AG3)-IF((LITO(AG3,income_tax(AG3))+LMITO(AG3,income_tax(AG3)))&gt;income_tax(AG3),income_tax(AG3),LITO(AG3,income_tax(AG3)))-IF((LITO(AG3,income_tax(AG3))+LMITO(AG3,income_tax(AG3)))&gt;income_tax(AG3),0,LMITO(AG3,income_tax(AG3)))</f>
        <v>0</v>
      </c>
      <c r="AL3" s="316">
        <f>income_tax(AH3)+medicare_levy(AH3)-IF((LITO(AH3,income_tax(AH3))+LMITO(AH3,income_tax(AH3)))&gt;income_tax(AH3),income_tax(AH3),LITO(AH3,income_tax(AH3)))-IF((LITO(AH3,income_tax(AH3))+LMITO(AH3,income_tax(AH3)))&gt;income_tax(AH3),0,LMITO(AH3,income_tax(AH3)))</f>
        <v>0</v>
      </c>
      <c r="AM3" s="316">
        <f>income_tax(AI3)+medicare_levy(AI3)-IF((LITO(AI3,income_tax(AI3))+LMITO(AI3,income_tax(AI3)))&gt;income_tax(AI3),income_tax(AI3),LITO(AI3,income_tax(AI3)))-IF((LITO(AI3,income_tax(AI3))+LMITO(AI3,income_tax(AI3)))&gt;income_tax(AI3),0,LMITO(AI3,income_tax(AI3)))</f>
        <v>0</v>
      </c>
      <c r="AN3" s="360">
        <f>ROUNDDOWN((($C$12+$G$12+$K$12+$O$12+SUM(Model!$L$30:$L$31)-SUM(AJ3:AM3)-Model!$L$34)/12-$F$40)*(1-$S$42)-$S$15,0)</f>
        <v>1705</v>
      </c>
      <c r="AO3" s="378">
        <f t="shared" ref="AO3:AO12" si="0">ROUNDDOWN(PV($Z$2/12,$Z$3*12,-(AN3-$Z$4)),0)</f>
        <v>314025</v>
      </c>
    </row>
    <row r="4" spans="1:41" x14ac:dyDescent="0.15">
      <c r="A4" s="379" t="s">
        <v>369</v>
      </c>
      <c r="B4" s="199">
        <f>Model!G18</f>
        <v>0</v>
      </c>
      <c r="C4" s="199">
        <f>B4*Data!$C$20</f>
        <v>0</v>
      </c>
      <c r="D4" s="200"/>
      <c r="E4" s="96"/>
      <c r="F4" s="199">
        <f>Model!H18</f>
        <v>0</v>
      </c>
      <c r="G4" s="199">
        <f>F4*Data!$C$20</f>
        <v>0</v>
      </c>
      <c r="H4" s="200"/>
      <c r="I4" s="200"/>
      <c r="J4" s="199">
        <f>Model!I18</f>
        <v>0</v>
      </c>
      <c r="K4" s="199">
        <f>J4*Data!$C$20</f>
        <v>0</v>
      </c>
      <c r="L4" s="200"/>
      <c r="M4" s="200"/>
      <c r="N4" s="199">
        <f>Model!J18</f>
        <v>0</v>
      </c>
      <c r="O4" s="199">
        <f>N4*Data!$C$20</f>
        <v>0</v>
      </c>
      <c r="P4" s="200"/>
      <c r="Q4" s="97"/>
      <c r="R4" s="195" t="s">
        <v>224</v>
      </c>
      <c r="S4" s="196">
        <f>SUM(S1:S2)</f>
        <v>70000</v>
      </c>
      <c r="T4" s="305"/>
      <c r="U4" s="191" t="s">
        <v>156</v>
      </c>
      <c r="V4" s="198" t="b">
        <f>AND(U15,W15,NOT(T23),U23,W23)</f>
        <v>1</v>
      </c>
      <c r="Z4" s="372">
        <f>Model!K52</f>
        <v>0</v>
      </c>
      <c r="AA4" t="s">
        <v>228</v>
      </c>
      <c r="AB4" s="317">
        <f>IF($Z$5,$AO3*$Z$1*'Neg Gearing'!E$20+AB$2,0)</f>
        <v>0</v>
      </c>
      <c r="AC4" s="317">
        <f>IF($Z$5,$AO3*$Z$1*'Neg Gearing'!F$20+AC$2,0)</f>
        <v>0</v>
      </c>
      <c r="AD4" s="317">
        <f>IF($Z$5,$AO3*$Z$1*'Neg Gearing'!G$20+AD$2,0)</f>
        <v>0</v>
      </c>
      <c r="AE4" s="317">
        <f>IF($Z$5,$AO3*$Z$1*'Neg Gearing'!H$20+AE$2,0)</f>
        <v>0</v>
      </c>
      <c r="AF4" s="316">
        <f t="shared" ref="AF4:AG12" si="1">MAX(AF$2-AB4,0)</f>
        <v>70000</v>
      </c>
      <c r="AG4" s="316">
        <f t="shared" si="1"/>
        <v>0</v>
      </c>
      <c r="AH4" s="316">
        <f t="shared" ref="AH4:AH12" si="2">MAX(AH$2-AD4,0)</f>
        <v>0</v>
      </c>
      <c r="AI4" s="316">
        <f t="shared" ref="AI4:AI12" si="3">MAX(AI$2-AE4,0)</f>
        <v>0</v>
      </c>
      <c r="AJ4" s="316">
        <f>income_tax(AF4)+medicare_levy(AF4)-IF((LITO(AF4,income_tax(AF4))+LMITO(AF4,income_tax(AF4)))&gt;income_tax(AF4),income_tax(AF4),LITO(AF4,income_tax(AF4)))-IF((LITO(AF4,income_tax(AF4))+LMITO(AF4,income_tax(AF4)))&gt;income_tax(AF4),0,LMITO(AF4,income_tax(AF4)))</f>
        <v>13537</v>
      </c>
      <c r="AK4" s="316">
        <f>income_tax(AG4)+medicare_levy(AG4)-IF((LITO(AG4,income_tax(AG4))+LMITO(AG4,income_tax(AG4)))&gt;income_tax(AG4),income_tax(AG4),LITO(AG4,income_tax(AG4)))-IF((LITO(AG4,income_tax(AG4))+LMITO(AG4,income_tax(AG4)))&gt;income_tax(AG4),0,LMITO(AG4,income_tax(AG4)))</f>
        <v>0</v>
      </c>
      <c r="AL4" s="316">
        <f>income_tax(AH4)+medicare_levy(AH4)-IF((LITO(AH4,income_tax(AH4))+LMITO(AH4,income_tax(AH4)))&gt;income_tax(AH4),income_tax(AH4),LITO(AH4,income_tax(AH4)))-IF((LITO(AH4,income_tax(AH4))+LMITO(AH4,income_tax(AH4)))&gt;income_tax(AH4),0,LMITO(AH4,income_tax(AH4)))</f>
        <v>0</v>
      </c>
      <c r="AM4" s="316">
        <f>income_tax(AI4)+medicare_levy(AI4)-IF((LITO(AI4,income_tax(AI4))+LMITO(AI4,income_tax(AI4)))&gt;income_tax(AI4),income_tax(AI4),LITO(AI4,income_tax(AI4)))-IF((LITO(AI4,income_tax(AI4))+LMITO(AI4,income_tax(AI4)))&gt;income_tax(AI4),0,LMITO(AI4,income_tax(AI4)))</f>
        <v>0</v>
      </c>
      <c r="AN4" s="360">
        <f>ROUNDDOWN((($C$12+$G$12+$K$12+$O$12+SUM(Model!$L$30:$L$31)-SUM(AJ4:AM4)-Model!$L$34)/12-$F$40)*(1-$S$42)-$S$15,0)</f>
        <v>1705</v>
      </c>
      <c r="AO4" s="378">
        <f t="shared" si="0"/>
        <v>314025</v>
      </c>
    </row>
    <row r="5" spans="1:41" ht="12.75" customHeight="1" x14ac:dyDescent="0.15">
      <c r="A5" s="379" t="s">
        <v>270</v>
      </c>
      <c r="B5" s="199">
        <f>Model!G19</f>
        <v>0</v>
      </c>
      <c r="C5" s="199">
        <f>B5*Data!$C$21</f>
        <v>0</v>
      </c>
      <c r="D5" s="200"/>
      <c r="E5" s="96"/>
      <c r="F5" s="199">
        <f>Model!H19</f>
        <v>0</v>
      </c>
      <c r="G5" s="199">
        <f>F5*Data!$C$21</f>
        <v>0</v>
      </c>
      <c r="H5" s="200"/>
      <c r="I5" s="200"/>
      <c r="J5" s="199">
        <f>Model!I19</f>
        <v>0</v>
      </c>
      <c r="K5" s="199">
        <f>J5*Data!$C$21</f>
        <v>0</v>
      </c>
      <c r="L5" s="200"/>
      <c r="M5" s="200"/>
      <c r="N5" s="199">
        <f>Model!J19</f>
        <v>0</v>
      </c>
      <c r="O5" s="199">
        <f>N5*Data!$C$21</f>
        <v>0</v>
      </c>
      <c r="P5" s="200"/>
      <c r="Q5" s="97"/>
      <c r="R5" s="309"/>
      <c r="S5" s="310"/>
      <c r="T5" s="97"/>
      <c r="U5" s="201" t="s">
        <v>157</v>
      </c>
      <c r="V5" s="202" t="b">
        <f>AND(V2:V4)</f>
        <v>1</v>
      </c>
      <c r="Z5" s="207" t="b">
        <f>AND(Model!E66="Investment",Model!F66="Yes")</f>
        <v>0</v>
      </c>
      <c r="AA5" t="s">
        <v>160</v>
      </c>
      <c r="AB5" s="317">
        <f>IF($Z$5,$AO4*$Z$1*'Neg Gearing'!E$20+AB$2,0)</f>
        <v>0</v>
      </c>
      <c r="AC5" s="317">
        <f>IF($Z$5,$AO4*$Z$1*'Neg Gearing'!F$20+AC$2,0)</f>
        <v>0</v>
      </c>
      <c r="AD5" s="317">
        <f>IF($Z$5,$AO4*$Z$1*'Neg Gearing'!G$20+AD$2,0)</f>
        <v>0</v>
      </c>
      <c r="AE5" s="317">
        <f>IF($Z$5,$AO4*$Z$1*'Neg Gearing'!H$20+AE$2,0)</f>
        <v>0</v>
      </c>
      <c r="AF5" s="316">
        <f t="shared" si="1"/>
        <v>70000</v>
      </c>
      <c r="AG5" s="316">
        <f t="shared" si="1"/>
        <v>0</v>
      </c>
      <c r="AH5" s="316">
        <f t="shared" si="2"/>
        <v>0</v>
      </c>
      <c r="AI5" s="316">
        <f t="shared" si="3"/>
        <v>0</v>
      </c>
      <c r="AJ5" s="316">
        <f>income_tax(AF5)+medicare_levy(AF5)-IF((LITO(AF5,income_tax(AF5))+LMITO(AF5,income_tax(AF5)))&gt;income_tax(AF5),income_tax(AF5),LITO(AF5,income_tax(AF5)))-IF((LITO(AF5,income_tax(AF5))+LMITO(AF5,income_tax(AF5)))&gt;income_tax(AF5),0,LMITO(AF5,income_tax(AF5)))</f>
        <v>13537</v>
      </c>
      <c r="AK5" s="316">
        <f>income_tax(AG5)+medicare_levy(AG5)-IF((LITO(AG5,income_tax(AG5))+LMITO(AG5,income_tax(AG5)))&gt;income_tax(AG5),income_tax(AG5),LITO(AG5,income_tax(AG5)))-IF((LITO(AG5,income_tax(AG5))+LMITO(AG5,income_tax(AG5)))&gt;income_tax(AG5),0,LMITO(AG5,income_tax(AG5)))</f>
        <v>0</v>
      </c>
      <c r="AL5" s="316">
        <f>income_tax(AH5)+medicare_levy(AH5)-IF((LITO(AH5,income_tax(AH5))+LMITO(AH5,income_tax(AH5)))&gt;income_tax(AH5),income_tax(AH5),LITO(AH5,income_tax(AH5)))-IF((LITO(AH5,income_tax(AH5))+LMITO(AH5,income_tax(AH5)))&gt;income_tax(AH5),0,LMITO(AH5,income_tax(AH5)))</f>
        <v>0</v>
      </c>
      <c r="AM5" s="316">
        <f>income_tax(AI5)+medicare_levy(AI5)-IF((LITO(AI5,income_tax(AI5))+LMITO(AI5,income_tax(AI5)))&gt;income_tax(AI5),income_tax(AI5),LITO(AI5,income_tax(AI5)))-IF((LITO(AI5,income_tax(AI5))+LMITO(AI5,income_tax(AI5)))&gt;income_tax(AI5),0,LMITO(AI5,income_tax(AI5)))</f>
        <v>0</v>
      </c>
      <c r="AN5" s="360">
        <f>ROUNDDOWN((($C$12+$G$12+$K$12+$O$12+SUM(Model!$L$30:$L$31)-SUM(AJ5:AM5)-Model!$L$34)/12-$F$40)*(1-$S$42)-$S$15,0)</f>
        <v>1705</v>
      </c>
      <c r="AO5" s="378">
        <f t="shared" si="0"/>
        <v>314025</v>
      </c>
    </row>
    <row r="6" spans="1:41" ht="14" x14ac:dyDescent="0.15">
      <c r="A6" s="41" t="s">
        <v>34</v>
      </c>
      <c r="B6" s="199">
        <f>Model!G20</f>
        <v>0</v>
      </c>
      <c r="C6" s="199">
        <f>B6</f>
        <v>0</v>
      </c>
      <c r="D6" s="200"/>
      <c r="E6" s="96"/>
      <c r="F6" s="199">
        <f>Model!H20</f>
        <v>0</v>
      </c>
      <c r="G6" s="199">
        <f>F6</f>
        <v>0</v>
      </c>
      <c r="H6" s="200"/>
      <c r="I6" s="200"/>
      <c r="J6" s="199">
        <f>Model!I20</f>
        <v>0</v>
      </c>
      <c r="K6" s="199">
        <f>J6</f>
        <v>0</v>
      </c>
      <c r="L6" s="200"/>
      <c r="M6" s="200"/>
      <c r="N6" s="199">
        <f>Model!J20</f>
        <v>0</v>
      </c>
      <c r="O6" s="199">
        <f>N6</f>
        <v>0</v>
      </c>
      <c r="P6" s="200"/>
      <c r="Q6" s="97"/>
      <c r="R6" s="647" t="s">
        <v>376</v>
      </c>
      <c r="S6" s="648">
        <f>C12+G12+K12+O12+Model!L30+Model!L31</f>
        <v>70000</v>
      </c>
      <c r="T6" s="97"/>
      <c r="AB6" s="317">
        <f>IF($Z$5,$AO5*$Z$1*'Neg Gearing'!E$20+AB$2,0)</f>
        <v>0</v>
      </c>
      <c r="AC6" s="317">
        <f>IF($Z$5,$AO5*$Z$1*'Neg Gearing'!F$20+AC$2,0)</f>
        <v>0</v>
      </c>
      <c r="AD6" s="317">
        <f>IF($Z$5,$AO5*$Z$1*'Neg Gearing'!G$20+AD$2,0)</f>
        <v>0</v>
      </c>
      <c r="AE6" s="317">
        <f>IF($Z$5,$AO5*$Z$1*'Neg Gearing'!H$20+AE$2,0)</f>
        <v>0</v>
      </c>
      <c r="AF6" s="316">
        <f t="shared" si="1"/>
        <v>70000</v>
      </c>
      <c r="AG6" s="316">
        <f t="shared" si="1"/>
        <v>0</v>
      </c>
      <c r="AH6" s="316">
        <f t="shared" si="2"/>
        <v>0</v>
      </c>
      <c r="AI6" s="316">
        <f t="shared" si="3"/>
        <v>0</v>
      </c>
      <c r="AJ6" s="316">
        <f>income_tax(AF6)+medicare_levy(AF6)-IF((LITO(AF6,income_tax(AF6))+LMITO(AF6,income_tax(AF6)))&gt;income_tax(AF6),income_tax(AF6),LITO(AF6,income_tax(AF6)))-IF((LITO(AF6,income_tax(AF6))+LMITO(AF6,income_tax(AF6)))&gt;income_tax(AF6),0,LMITO(AF6,income_tax(AF6)))</f>
        <v>13537</v>
      </c>
      <c r="AK6" s="316">
        <f>income_tax(AG6)+medicare_levy(AG6)-IF((LITO(AG6,income_tax(AG6))+LMITO(AG6,income_tax(AG6)))&gt;income_tax(AG6),income_tax(AG6),LITO(AG6,income_tax(AG6)))-IF((LITO(AG6,income_tax(AG6))+LMITO(AG6,income_tax(AG6)))&gt;income_tax(AG6),0,LMITO(AG6,income_tax(AG6)))</f>
        <v>0</v>
      </c>
      <c r="AL6" s="316">
        <f>income_tax(AH6)+medicare_levy(AH6)-IF((LITO(AH6,income_tax(AH6))+LMITO(AH6,income_tax(AH6)))&gt;income_tax(AH6),income_tax(AH6),LITO(AH6,income_tax(AH6)))-IF((LITO(AH6,income_tax(AH6))+LMITO(AH6,income_tax(AH6)))&gt;income_tax(AH6),0,LMITO(AH6,income_tax(AH6)))</f>
        <v>0</v>
      </c>
      <c r="AM6" s="316">
        <f>income_tax(AI6)+medicare_levy(AI6)-IF((LITO(AI6,income_tax(AI6))+LMITO(AI6,income_tax(AI6)))&gt;income_tax(AI6),income_tax(AI6),LITO(AI6,income_tax(AI6)))-IF((LITO(AI6,income_tax(AI6))+LMITO(AI6,income_tax(AI6)))&gt;income_tax(AI6),0,LMITO(AI6,income_tax(AI6)))</f>
        <v>0</v>
      </c>
      <c r="AN6" s="360">
        <f>ROUNDDOWN((($C$12+$G$12+$K$12+$O$12+SUM(Model!$L$30:$L$31)-SUM(AJ6:AM6)-Model!$L$34)/12-$F$40)*(1-$S$42)-$S$15,0)</f>
        <v>1705</v>
      </c>
      <c r="AO6" s="378">
        <f t="shared" si="0"/>
        <v>314025</v>
      </c>
    </row>
    <row r="7" spans="1:41" x14ac:dyDescent="0.15">
      <c r="A7" s="41" t="s">
        <v>35</v>
      </c>
      <c r="B7" s="199">
        <f>Model!G21</f>
        <v>0</v>
      </c>
      <c r="C7" s="199">
        <f>B7</f>
        <v>0</v>
      </c>
      <c r="D7" s="200"/>
      <c r="E7" s="96"/>
      <c r="F7" s="199">
        <f>Model!H21</f>
        <v>0</v>
      </c>
      <c r="G7" s="199">
        <f>F7</f>
        <v>0</v>
      </c>
      <c r="H7" s="200"/>
      <c r="I7" s="200"/>
      <c r="J7" s="199">
        <f>Model!I21</f>
        <v>0</v>
      </c>
      <c r="K7" s="199">
        <f>J7</f>
        <v>0</v>
      </c>
      <c r="L7" s="200"/>
      <c r="M7" s="200"/>
      <c r="N7" s="199">
        <f>Model!J21</f>
        <v>0</v>
      </c>
      <c r="O7" s="199">
        <f>N7</f>
        <v>0</v>
      </c>
      <c r="P7" s="200"/>
      <c r="Q7" s="97"/>
      <c r="R7" s="97"/>
      <c r="S7" s="97"/>
      <c r="T7" s="203" t="s">
        <v>158</v>
      </c>
      <c r="U7" s="204" t="s">
        <v>159</v>
      </c>
      <c r="V7" s="204" t="s">
        <v>160</v>
      </c>
      <c r="W7" s="205" t="s">
        <v>159</v>
      </c>
      <c r="X7" s="205" t="s">
        <v>501</v>
      </c>
      <c r="AB7" s="317">
        <f>IF($Z$5,$AO6*$Z$1*'Neg Gearing'!E$20+AB$2,0)</f>
        <v>0</v>
      </c>
      <c r="AC7" s="317">
        <f>IF($Z$5,$AO6*$Z$1*'Neg Gearing'!F$20+AC$2,0)</f>
        <v>0</v>
      </c>
      <c r="AD7" s="317">
        <f>IF($Z$5,$AO6*$Z$1*'Neg Gearing'!G$20+AD$2,0)</f>
        <v>0</v>
      </c>
      <c r="AE7" s="317">
        <f>IF($Z$5,$AO6*$Z$1*'Neg Gearing'!H$20+AE$2,0)</f>
        <v>0</v>
      </c>
      <c r="AF7" s="316">
        <f t="shared" si="1"/>
        <v>70000</v>
      </c>
      <c r="AG7" s="316">
        <f t="shared" si="1"/>
        <v>0</v>
      </c>
      <c r="AH7" s="316">
        <f t="shared" si="2"/>
        <v>0</v>
      </c>
      <c r="AI7" s="316">
        <f t="shared" si="3"/>
        <v>0</v>
      </c>
      <c r="AJ7" s="316">
        <f>income_tax(AF7)+medicare_levy(AF7)-IF((LITO(AF7,income_tax(AF7))+LMITO(AF7,income_tax(AF7)))&gt;income_tax(AF7),income_tax(AF7),LITO(AF7,income_tax(AF7)))-IF((LITO(AF7,income_tax(AF7))+LMITO(AF7,income_tax(AF7)))&gt;income_tax(AF7),0,LMITO(AF7,income_tax(AF7)))</f>
        <v>13537</v>
      </c>
      <c r="AK7" s="316">
        <f>income_tax(AG7)+medicare_levy(AG7)-IF((LITO(AG7,income_tax(AG7))+LMITO(AG7,income_tax(AG7)))&gt;income_tax(AG7),income_tax(AG7),LITO(AG7,income_tax(AG7)))-IF((LITO(AG7,income_tax(AG7))+LMITO(AG7,income_tax(AG7)))&gt;income_tax(AG7),0,LMITO(AG7,income_tax(AG7)))</f>
        <v>0</v>
      </c>
      <c r="AL7" s="316">
        <f>income_tax(AH7)+medicare_levy(AH7)-IF((LITO(AH7,income_tax(AH7))+LMITO(AH7,income_tax(AH7)))&gt;income_tax(AH7),income_tax(AH7),LITO(AH7,income_tax(AH7)))-IF((LITO(AH7,income_tax(AH7))+LMITO(AH7,income_tax(AH7)))&gt;income_tax(AH7),0,LMITO(AH7,income_tax(AH7)))</f>
        <v>0</v>
      </c>
      <c r="AM7" s="316">
        <f>income_tax(AI7)+medicare_levy(AI7)-IF((LITO(AI7,income_tax(AI7))+LMITO(AI7,income_tax(AI7)))&gt;income_tax(AI7),income_tax(AI7),LITO(AI7,income_tax(AI7)))-IF((LITO(AI7,income_tax(AI7))+LMITO(AI7,income_tax(AI7)))&gt;income_tax(AI7),0,LMITO(AI7,income_tax(AI7)))</f>
        <v>0</v>
      </c>
      <c r="AN7" s="360">
        <f>ROUNDDOWN((($C$12+$G$12+$K$12+$O$12+SUM(Model!$L$30:$L$31)-SUM(AJ7:AM7)-Model!$L$34)/12-$F$40)*(1-$S$42)-$S$15,0)</f>
        <v>1705</v>
      </c>
      <c r="AO7" s="378">
        <f t="shared" si="0"/>
        <v>314025</v>
      </c>
    </row>
    <row r="8" spans="1:41" x14ac:dyDescent="0.15">
      <c r="A8" s="41" t="s">
        <v>36</v>
      </c>
      <c r="B8" s="199">
        <f>Model!G22</f>
        <v>0</v>
      </c>
      <c r="C8" s="199">
        <f>B8*Data!$C$22</f>
        <v>0</v>
      </c>
      <c r="D8" s="200"/>
      <c r="E8" s="96"/>
      <c r="F8" s="199">
        <f>Model!H22</f>
        <v>0</v>
      </c>
      <c r="G8" s="199">
        <f>F8*Data!$C$22</f>
        <v>0</v>
      </c>
      <c r="H8" s="200"/>
      <c r="I8" s="200"/>
      <c r="J8" s="199">
        <f>Model!I22</f>
        <v>0</v>
      </c>
      <c r="K8" s="199">
        <f>J8*Data!$C$22</f>
        <v>0</v>
      </c>
      <c r="L8" s="200"/>
      <c r="M8" s="200"/>
      <c r="N8" s="199">
        <f>Model!J22</f>
        <v>0</v>
      </c>
      <c r="O8" s="199">
        <f>N8*Data!$C$22</f>
        <v>0</v>
      </c>
      <c r="P8" s="200"/>
      <c r="Q8" s="97"/>
      <c r="R8" s="206" t="s">
        <v>161</v>
      </c>
      <c r="S8" s="355">
        <f>IF(AND(NOT(T8),U8),ROUNDUP(IF(OR(Model!E39="Yes",Model!B39="Margin Loan"),0,IF(Model!B39="Credit Card",MAX(Data!$G$22,MAX(Model!F39:G39)*Data!$G$16),IF(Model!B39="Overdraft",MAX(Model!F39:G39)*Data!$G$18,IF(Model!B39="Commercial Bill",MAX(Model!F39:G39)*Data!$G$20,IF(OR(Model!B39="OFI home loan (Other financial institution)",Model!B39="OFI Line of Credit (Other financial institution)"),Model!J39*(1+Data!$G$26)+Model!K39,Model!J39+Model!K39))))),),0)</f>
        <v>0</v>
      </c>
      <c r="T8" s="206" t="b">
        <f>AND(ISBLANK(Model!B39),ISBLANK(Model!C39),ISBLANK(Model!D39),ISBLANK(Model!E39),ISBLANK(Model!F39),ISBLANK(Model!H39),ISBLANK(Model!I39),ISBLANK(Model!J39),ISBLANK(Model!K39))</f>
        <v>1</v>
      </c>
      <c r="U8" s="198" t="b">
        <f>IF(T8,TRUE,IF(OR(Model!B39="Credit Card",Model!B39="Overdraft",Model!B39="Commercial Bill"),AND(Model!F39&lt;&gt;"",Model!G39&lt;&gt;""),IF(Model!B39="Margin Loan",Model!G39&lt;&gt;"",IF(Model!B39="HECS",Model!J39&lt;&gt;"",
IF(AND(Model!E39&lt;&gt;"Yes",OR(Model!B39="Personal Loan",Model!B39="Lease",Model!B39="Hire Purchase",Model!B39="Other")),AND(Model!J39&lt;&gt;"",Model!K39&lt;&gt;""),IF(Model!E39="Yes",Model!F39&lt;&gt;"",
IF(OR(Model!B39="CBA Variable Rate Home Loan",Model!B39="CBA Fixed Rate Home Loan",Model!B39="OFI home loan (Other financial institution)"),AND(Model!C39&lt;&gt;"",Model!F39&lt;&gt;"",Model!H39&lt;&gt;"",Model!I39&lt;&gt;"",Model!K39&lt;&gt;""),IF(OR(Model!B39="CBA Line of Credit",Model!B39="OFI Line of Credit (Other financial institution)"),AND(Model!F39&lt;&gt;"",Model!I39&lt;&gt;"",Model!K39&lt;&gt;""),FALSE))))))))</f>
        <v>1</v>
      </c>
      <c r="V8" s="207" t="b">
        <f>IF(AND(Model!C39="Investment",Model!D39="Yes",NOT(Model!E39="Yes")),TRUE,FALSE)</f>
        <v>0</v>
      </c>
      <c r="W8" s="207" t="b">
        <f>IF(NOT(V8),TRUE,AND('Neg Gearing'!C8&lt;&gt;"",COUNTBLANK('Neg Gearing'!E8:H8)&lt;4))</f>
        <v>1</v>
      </c>
      <c r="X8" s="854">
        <f>IF(U8,MAX(Model!F39:G39),0)</f>
        <v>0</v>
      </c>
      <c r="AB8" s="317">
        <f>IF($Z$5,$AO7*$Z$1*'Neg Gearing'!E$20+AB$2,0)</f>
        <v>0</v>
      </c>
      <c r="AC8" s="317">
        <f>IF($Z$5,$AO7*$Z$1*'Neg Gearing'!F$20+AC$2,0)</f>
        <v>0</v>
      </c>
      <c r="AD8" s="317">
        <f>IF($Z$5,$AO7*$Z$1*'Neg Gearing'!G$20+AD$2,0)</f>
        <v>0</v>
      </c>
      <c r="AE8" s="317">
        <f>IF($Z$5,$AO7*$Z$1*'Neg Gearing'!H$20+AE$2,0)</f>
        <v>0</v>
      </c>
      <c r="AF8" s="316">
        <f t="shared" si="1"/>
        <v>70000</v>
      </c>
      <c r="AG8" s="316">
        <f t="shared" si="1"/>
        <v>0</v>
      </c>
      <c r="AH8" s="316">
        <f t="shared" si="2"/>
        <v>0</v>
      </c>
      <c r="AI8" s="316">
        <f t="shared" si="3"/>
        <v>0</v>
      </c>
      <c r="AJ8" s="316">
        <f>income_tax(AF8)+medicare_levy(AF8)-IF((LITO(AF8,income_tax(AF8))+LMITO(AF8,income_tax(AF8)))&gt;income_tax(AF8),income_tax(AF8),LITO(AF8,income_tax(AF8)))-IF((LITO(AF8,income_tax(AF8))+LMITO(AF8,income_tax(AF8)))&gt;income_tax(AF8),0,LMITO(AF8,income_tax(AF8)))</f>
        <v>13537</v>
      </c>
      <c r="AK8" s="316">
        <f>income_tax(AG8)+medicare_levy(AG8)-IF((LITO(AG8,income_tax(AG8))+LMITO(AG8,income_tax(AG8)))&gt;income_tax(AG8),income_tax(AG8),LITO(AG8,income_tax(AG8)))-IF((LITO(AG8,income_tax(AG8))+LMITO(AG8,income_tax(AG8)))&gt;income_tax(AG8),0,LMITO(AG8,income_tax(AG8)))</f>
        <v>0</v>
      </c>
      <c r="AL8" s="316">
        <f>income_tax(AH8)+medicare_levy(AH8)-IF((LITO(AH8,income_tax(AH8))+LMITO(AH8,income_tax(AH8)))&gt;income_tax(AH8),income_tax(AH8),LITO(AH8,income_tax(AH8)))-IF((LITO(AH8,income_tax(AH8))+LMITO(AH8,income_tax(AH8)))&gt;income_tax(AH8),0,LMITO(AH8,income_tax(AH8)))</f>
        <v>0</v>
      </c>
      <c r="AM8" s="316">
        <f>income_tax(AI8)+medicare_levy(AI8)-IF((LITO(AI8,income_tax(AI8))+LMITO(AI8,income_tax(AI8)))&gt;income_tax(AI8),income_tax(AI8),LITO(AI8,income_tax(AI8)))-IF((LITO(AI8,income_tax(AI8))+LMITO(AI8,income_tax(AI8)))&gt;income_tax(AI8),0,LMITO(AI8,income_tax(AI8)))</f>
        <v>0</v>
      </c>
      <c r="AN8" s="360">
        <f>ROUNDDOWN((($C$12+$G$12+$K$12+$O$12+SUM(Model!$L$30:$L$31)-SUM(AJ8:AM8)-Model!$L$34)/12-$F$40)*(1-$S$42)-$S$15,0)</f>
        <v>1705</v>
      </c>
      <c r="AO8" s="378">
        <f t="shared" si="0"/>
        <v>314025</v>
      </c>
    </row>
    <row r="9" spans="1:41" x14ac:dyDescent="0.15">
      <c r="A9" s="41" t="s">
        <v>37</v>
      </c>
      <c r="B9" s="199">
        <f>Model!G23</f>
        <v>0</v>
      </c>
      <c r="C9" s="199">
        <f>B9*Data!G30</f>
        <v>0</v>
      </c>
      <c r="D9" s="200"/>
      <c r="E9" s="96"/>
      <c r="F9" s="199">
        <f>Model!H23</f>
        <v>0</v>
      </c>
      <c r="G9" s="199">
        <f>F9*Data!G30</f>
        <v>0</v>
      </c>
      <c r="H9" s="200"/>
      <c r="I9" s="200"/>
      <c r="J9" s="199">
        <f>Model!I23</f>
        <v>0</v>
      </c>
      <c r="K9" s="199">
        <f>J9*Data!G30</f>
        <v>0</v>
      </c>
      <c r="L9" s="200"/>
      <c r="M9" s="200"/>
      <c r="N9" s="199">
        <f>Model!J23</f>
        <v>0</v>
      </c>
      <c r="O9" s="199">
        <f>N9*Data!G30</f>
        <v>0</v>
      </c>
      <c r="P9" s="200"/>
      <c r="Q9" s="97"/>
      <c r="R9" s="206" t="s">
        <v>162</v>
      </c>
      <c r="S9" s="355">
        <f>IF(AND(NOT(T9),U9),ROUNDUP(IF(OR(Model!E40="Yes",Model!B40="Margin Loan"),0,IF(Model!B40="Credit Card",MAX(Data!$G$22,MAX(Model!F40:G40)*Data!$G$16),IF(Model!B40="Overdraft",MAX(Model!F40:G40)*Data!$G$18,IF(Model!B40="Commercial Bill",MAX(Model!F40:G40)*Data!$G$20,IF(OR(Model!B40="OFI home loan (Other financial institution)",Model!B40="OFI Line of Credit (Other financial institution)"),Model!J40*(1+Data!$G$26)+Model!K40,Model!J40+Model!K40))))),),0)</f>
        <v>0</v>
      </c>
      <c r="T9" s="206" t="b">
        <f>AND(ISBLANK(Model!B40),ISBLANK(Model!C40),ISBLANK(Model!D40),ISBLANK(Model!E40),ISBLANK(Model!F40),ISBLANK(Model!H40),ISBLANK(Model!I40),ISBLANK(Model!J40),ISBLANK(Model!K40))</f>
        <v>1</v>
      </c>
      <c r="U9" s="198" t="b">
        <f>IF(T9,TRUE,IF(OR(Model!B40="Credit Card",Model!B40="Overdraft",Model!B40="Commercial Bill"),AND(Model!F40&lt;&gt;"",Model!G40&lt;&gt;""),IF(Model!B40="Margin Loan",Model!G40&lt;&gt;"",IF(Model!B40="HECS",Model!J40&lt;&gt;"",
IF(AND(Model!E40&lt;&gt;"Yes",OR(Model!B40="Personal Loan",Model!B40="Lease",Model!B40="Hire Purchase",Model!B40="Other")),AND(Model!J40&lt;&gt;"",Model!K40&lt;&gt;""),IF(Model!E40="Yes",Model!F40&lt;&gt;"",
IF(OR(Model!B40="CBA Variable Rate Home Loan",Model!B40="CBA Fixed Rate Home Loan",Model!B40="OFI home loan (Other financial institution)"),AND(Model!C40&lt;&gt;"",Model!F40&lt;&gt;"",Model!H40&lt;&gt;"",Model!I40&lt;&gt;"",Model!K40&lt;&gt;""),IF(OR(Model!B40="CBA Line of Credit",Model!B40="OFI Line of Credit (Other financial institution)"),AND(Model!F40&lt;&gt;"",Model!I40&lt;&gt;"",Model!K40&lt;&gt;""),FALSE))))))))</f>
        <v>1</v>
      </c>
      <c r="V9" s="207" t="b">
        <f>IF(AND(Model!C40="Investment",Model!D40="Yes",NOT(Model!E40="Yes")),TRUE,FALSE)</f>
        <v>0</v>
      </c>
      <c r="W9" s="207" t="b">
        <f>IF(NOT(V9),TRUE,AND('Neg Gearing'!C9&lt;&gt;"",COUNTBLANK('Neg Gearing'!E9:H9)&lt;4))</f>
        <v>1</v>
      </c>
      <c r="X9" s="854">
        <f>IF(U9,MAX(Model!F40:G40),0)</f>
        <v>0</v>
      </c>
      <c r="Z9" s="315">
        <f>(SUM(Model!G26,Model!G30:G31)&gt;0)+(SUM(Model!H26,Model!H30:H31)&gt;0)+(SUM(Model!I26,Model!I30:I31)&gt;0)+(SUM(Model!J26,Model!J30:J31)&gt;0)</f>
        <v>1</v>
      </c>
      <c r="AA9" t="s">
        <v>247</v>
      </c>
      <c r="AB9" s="317">
        <f>IF($Z$5,$AO8*$Z$1*'Neg Gearing'!E$20+AB$2,0)</f>
        <v>0</v>
      </c>
      <c r="AC9" s="317">
        <f>IF($Z$5,$AO8*$Z$1*'Neg Gearing'!F$20+AC$2,0)</f>
        <v>0</v>
      </c>
      <c r="AD9" s="317">
        <f>IF($Z$5,$AO8*$Z$1*'Neg Gearing'!G$20+AD$2,0)</f>
        <v>0</v>
      </c>
      <c r="AE9" s="317">
        <f>IF($Z$5,$AO8*$Z$1*'Neg Gearing'!H$20+AE$2,0)</f>
        <v>0</v>
      </c>
      <c r="AF9" s="316">
        <f t="shared" si="1"/>
        <v>70000</v>
      </c>
      <c r="AG9" s="316">
        <f t="shared" si="1"/>
        <v>0</v>
      </c>
      <c r="AH9" s="316">
        <f t="shared" si="2"/>
        <v>0</v>
      </c>
      <c r="AI9" s="316">
        <f t="shared" si="3"/>
        <v>0</v>
      </c>
      <c r="AJ9" s="316">
        <f>income_tax(AF9)+medicare_levy(AF9)-IF((LITO(AF9,income_tax(AF9))+LMITO(AF9,income_tax(AF9)))&gt;income_tax(AF9),income_tax(AF9),LITO(AF9,income_tax(AF9)))-IF((LITO(AF9,income_tax(AF9))+LMITO(AF9,income_tax(AF9)))&gt;income_tax(AF9),0,LMITO(AF9,income_tax(AF9)))</f>
        <v>13537</v>
      </c>
      <c r="AK9" s="316">
        <f>income_tax(AG9)+medicare_levy(AG9)-IF((LITO(AG9,income_tax(AG9))+LMITO(AG9,income_tax(AG9)))&gt;income_tax(AG9),income_tax(AG9),LITO(AG9,income_tax(AG9)))-IF((LITO(AG9,income_tax(AG9))+LMITO(AG9,income_tax(AG9)))&gt;income_tax(AG9),0,LMITO(AG9,income_tax(AG9)))</f>
        <v>0</v>
      </c>
      <c r="AL9" s="316">
        <f>income_tax(AH9)+medicare_levy(AH9)-IF((LITO(AH9,income_tax(AH9))+LMITO(AH9,income_tax(AH9)))&gt;income_tax(AH9),income_tax(AH9),LITO(AH9,income_tax(AH9)))-IF((LITO(AH9,income_tax(AH9))+LMITO(AH9,income_tax(AH9)))&gt;income_tax(AH9),0,LMITO(AH9,income_tax(AH9)))</f>
        <v>0</v>
      </c>
      <c r="AM9" s="316">
        <f>income_tax(AI9)+medicare_levy(AI9)-IF((LITO(AI9,income_tax(AI9))+LMITO(AI9,income_tax(AI9)))&gt;income_tax(AI9),income_tax(AI9),LITO(AI9,income_tax(AI9)))-IF((LITO(AI9,income_tax(AI9))+LMITO(AI9,income_tax(AI9)))&gt;income_tax(AI9),0,LMITO(AI9,income_tax(AI9)))</f>
        <v>0</v>
      </c>
      <c r="AN9" s="360">
        <f>ROUNDDOWN((($C$12+$G$12+$K$12+$O$12+SUM(Model!$L$30:$L$31)-SUM(AJ9:AM9)-Model!$L$34)/12-$F$40)*(1-$S$42)-$S$15,0)</f>
        <v>1705</v>
      </c>
      <c r="AO9" s="378">
        <f t="shared" si="0"/>
        <v>314025</v>
      </c>
    </row>
    <row r="10" spans="1:41" x14ac:dyDescent="0.15">
      <c r="A10" s="41" t="s">
        <v>39</v>
      </c>
      <c r="B10" s="199">
        <f>Model!G24</f>
        <v>0</v>
      </c>
      <c r="C10" s="199">
        <f>B10</f>
        <v>0</v>
      </c>
      <c r="D10" s="200"/>
      <c r="E10" s="96"/>
      <c r="F10" s="199">
        <f>Model!H24</f>
        <v>0</v>
      </c>
      <c r="G10" s="199">
        <f>F10</f>
        <v>0</v>
      </c>
      <c r="H10" s="200"/>
      <c r="I10" s="200"/>
      <c r="J10" s="199">
        <f>Model!I24</f>
        <v>0</v>
      </c>
      <c r="K10" s="199">
        <f>J10</f>
        <v>0</v>
      </c>
      <c r="L10" s="200"/>
      <c r="M10" s="200"/>
      <c r="N10" s="199">
        <f>Model!J24</f>
        <v>0</v>
      </c>
      <c r="O10" s="199">
        <f>N10</f>
        <v>0</v>
      </c>
      <c r="P10" s="200"/>
      <c r="Q10" s="97"/>
      <c r="R10" s="206" t="s">
        <v>163</v>
      </c>
      <c r="S10" s="355">
        <f>IF(AND(NOT(T10),U10),ROUNDUP(IF(OR(Model!E41="Yes",Model!B41="Margin Loan"),0,IF(Model!B41="Credit Card",MAX(Data!$G$22,MAX(Model!F41:G41)*Data!$G$16),IF(Model!B41="Overdraft",MAX(Model!F41:G41)*Data!$G$18,IF(Model!B41="Commercial Bill",MAX(Model!F41:G41)*Data!$G$20,IF(OR(Model!B41="OFI home loan (Other financial institution)",Model!B41="OFI Line of Credit (Other financial institution)"),Model!J41*(1+Data!$G$26)+Model!K41,Model!J41+Model!K41))))),),0)</f>
        <v>0</v>
      </c>
      <c r="T10" s="206" t="b">
        <f>AND(ISBLANK(Model!B41),ISBLANK(Model!C41),ISBLANK(Model!D41),ISBLANK(Model!E41),ISBLANK(Model!F41),ISBLANK(Model!H41),ISBLANK(Model!I41),ISBLANK(Model!J41),ISBLANK(Model!K41))</f>
        <v>1</v>
      </c>
      <c r="U10" s="198" t="b">
        <f>IF(T10,TRUE,IF(OR(Model!B41="Credit Card",Model!B41="Overdraft",Model!B41="Commercial Bill"),AND(Model!F41&lt;&gt;"",Model!G41&lt;&gt;""),IF(Model!B41="Margin Loan",Model!G41&lt;&gt;"",IF(Model!B41="HECS",Model!J41&lt;&gt;"",
IF(AND(Model!E41&lt;&gt;"Yes",OR(Model!B41="Personal Loan",Model!B41="Lease",Model!B41="Hire Purchase",Model!B41="Other")),AND(Model!J41&lt;&gt;"",Model!K41&lt;&gt;""),IF(Model!E41="Yes",Model!F41&lt;&gt;"",
IF(OR(Model!B41="CBA Variable Rate Home Loan",Model!B41="CBA Fixed Rate Home Loan",Model!B41="OFI home loan (Other financial institution)"),AND(Model!C41&lt;&gt;"",Model!F41&lt;&gt;"",Model!H41&lt;&gt;"",Model!I41&lt;&gt;"",Model!K41&lt;&gt;""),IF(OR(Model!B41="CBA Line of Credit",Model!B41="OFI Line of Credit (Other financial institution)"),AND(Model!F41&lt;&gt;"",Model!I41&lt;&gt;"",Model!K41&lt;&gt;""),FALSE))))))))</f>
        <v>1</v>
      </c>
      <c r="V10" s="207" t="b">
        <f>IF(AND(Model!C41="Investment",Model!D41="Yes",NOT(Model!E41="Yes")),TRUE,FALSE)</f>
        <v>0</v>
      </c>
      <c r="W10" s="207" t="b">
        <f>IF(NOT(V10),TRUE,AND('Neg Gearing'!C10&lt;&gt;"",COUNTBLANK('Neg Gearing'!E10:H10)&lt;4))</f>
        <v>1</v>
      </c>
      <c r="X10" s="854">
        <f>IF(U10,MAX(Model!F41:G41),0)</f>
        <v>0</v>
      </c>
      <c r="AB10" s="317">
        <f>IF($Z$5,$AO9*$Z$1*'Neg Gearing'!E$20+AB$2,0)</f>
        <v>0</v>
      </c>
      <c r="AC10" s="317">
        <f>IF($Z$5,$AO9*$Z$1*'Neg Gearing'!F$20+AC$2,0)</f>
        <v>0</v>
      </c>
      <c r="AD10" s="317">
        <f>IF($Z$5,$AO9*$Z$1*'Neg Gearing'!G$20+AD$2,0)</f>
        <v>0</v>
      </c>
      <c r="AE10" s="317">
        <f>IF($Z$5,$AO9*$Z$1*'Neg Gearing'!H$20+AE$2,0)</f>
        <v>0</v>
      </c>
      <c r="AF10" s="316">
        <f t="shared" si="1"/>
        <v>70000</v>
      </c>
      <c r="AG10" s="316">
        <f t="shared" si="1"/>
        <v>0</v>
      </c>
      <c r="AH10" s="316">
        <f t="shared" si="2"/>
        <v>0</v>
      </c>
      <c r="AI10" s="316">
        <f t="shared" si="3"/>
        <v>0</v>
      </c>
      <c r="AJ10" s="316">
        <f>income_tax(AF10)+medicare_levy(AF10)-IF((LITO(AF10,income_tax(AF10))+LMITO(AF10,income_tax(AF10)))&gt;income_tax(AF10),income_tax(AF10),LITO(AF10,income_tax(AF10)))-IF((LITO(AF10,income_tax(AF10))+LMITO(AF10,income_tax(AF10)))&gt;income_tax(AF10),0,LMITO(AF10,income_tax(AF10)))</f>
        <v>13537</v>
      </c>
      <c r="AK10" s="316">
        <f>income_tax(AG10)+medicare_levy(AG10)-IF((LITO(AG10,income_tax(AG10))+LMITO(AG10,income_tax(AG10)))&gt;income_tax(AG10),income_tax(AG10),LITO(AG10,income_tax(AG10)))-IF((LITO(AG10,income_tax(AG10))+LMITO(AG10,income_tax(AG10)))&gt;income_tax(AG10),0,LMITO(AG10,income_tax(AG10)))</f>
        <v>0</v>
      </c>
      <c r="AL10" s="316">
        <f>income_tax(AH10)+medicare_levy(AH10)-IF((LITO(AH10,income_tax(AH10))+LMITO(AH10,income_tax(AH10)))&gt;income_tax(AH10),income_tax(AH10),LITO(AH10,income_tax(AH10)))-IF((LITO(AH10,income_tax(AH10))+LMITO(AH10,income_tax(AH10)))&gt;income_tax(AH10),0,LMITO(AH10,income_tax(AH10)))</f>
        <v>0</v>
      </c>
      <c r="AM10" s="316">
        <f>income_tax(AI10)+medicare_levy(AI10)-IF((LITO(AI10,income_tax(AI10))+LMITO(AI10,income_tax(AI10)))&gt;income_tax(AI10),income_tax(AI10),LITO(AI10,income_tax(AI10)))-IF((LITO(AI10,income_tax(AI10))+LMITO(AI10,income_tax(AI10)))&gt;income_tax(AI10),0,LMITO(AI10,income_tax(AI10)))</f>
        <v>0</v>
      </c>
      <c r="AN10" s="360">
        <f>ROUNDDOWN((($C$12+$G$12+$K$12+$O$12+SUM(Model!$L$30:$L$31)-SUM(AJ10:AM10)-Model!$L$34)/12-$F$40)*(1-$S$42)-$S$15,0)</f>
        <v>1705</v>
      </c>
      <c r="AO10" s="378">
        <f t="shared" si="0"/>
        <v>314025</v>
      </c>
    </row>
    <row r="11" spans="1:41" x14ac:dyDescent="0.15">
      <c r="A11" s="41" t="s">
        <v>41</v>
      </c>
      <c r="B11" s="199">
        <f>Model!G25</f>
        <v>0</v>
      </c>
      <c r="C11" s="199">
        <f>B11</f>
        <v>0</v>
      </c>
      <c r="D11" s="200"/>
      <c r="E11" s="85"/>
      <c r="F11" s="209">
        <f>Model!H25</f>
        <v>0</v>
      </c>
      <c r="G11" s="209">
        <f>F11</f>
        <v>0</v>
      </c>
      <c r="H11" s="325"/>
      <c r="I11" s="325"/>
      <c r="J11" s="209">
        <f>Model!I25</f>
        <v>0</v>
      </c>
      <c r="K11" s="209">
        <f>J11</f>
        <v>0</v>
      </c>
      <c r="L11" s="325"/>
      <c r="M11" s="325"/>
      <c r="N11" s="209">
        <f>Model!J25</f>
        <v>0</v>
      </c>
      <c r="O11" s="209">
        <f>N11</f>
        <v>0</v>
      </c>
      <c r="P11" s="325"/>
      <c r="Q11" s="97"/>
      <c r="R11" s="206" t="s">
        <v>164</v>
      </c>
      <c r="S11" s="355">
        <f>IF(AND(NOT(T11),U11),ROUNDUP(IF(OR(Model!E42="Yes",Model!B42="Margin Loan"),0,IF(Model!B42="Credit Card",MAX(Data!$G$22,MAX(Model!F42:G42)*Data!$G$16),IF(Model!B42="Overdraft",MAX(Model!F42:G42)*Data!$G$18,IF(Model!B42="Commercial Bill",MAX(Model!F42:G42)*Data!$G$20,IF(OR(Model!B42="OFI home loan (Other financial institution)",Model!B42="OFI Line of Credit (Other financial institution)"),Model!J42*(1+Data!$G$26)+Model!K42,Model!J42+Model!K42))))),),0)</f>
        <v>0</v>
      </c>
      <c r="T11" s="206" t="b">
        <f>AND(ISBLANK(Model!B42),ISBLANK(Model!C42),ISBLANK(Model!D42),ISBLANK(Model!E42),ISBLANK(Model!F42),ISBLANK(Model!H42),ISBLANK(Model!I42),ISBLANK(Model!J42),ISBLANK(Model!K42))</f>
        <v>1</v>
      </c>
      <c r="U11" s="198" t="b">
        <f>IF(T11,TRUE,IF(OR(Model!B42="Credit Card",Model!B42="Overdraft",Model!B42="Commercial Bill"),AND(Model!F42&lt;&gt;"",Model!G42&lt;&gt;""),IF(Model!B42="Margin Loan",Model!G42&lt;&gt;"",IF(Model!B42="HECS",Model!J42&lt;&gt;"",
IF(AND(Model!E42&lt;&gt;"Yes",OR(Model!B42="Personal Loan",Model!B42="Lease",Model!B42="Hire Purchase",Model!B42="Other")),AND(Model!J42&lt;&gt;"",Model!K42&lt;&gt;""),IF(Model!E42="Yes",Model!F42&lt;&gt;"",
IF(OR(Model!B42="CBA Variable Rate Home Loan",Model!B42="CBA Fixed Rate Home Loan",Model!B42="OFI home loan (Other financial institution)"),AND(Model!C42&lt;&gt;"",Model!F42&lt;&gt;"",Model!H42&lt;&gt;"",Model!I42&lt;&gt;"",Model!K42&lt;&gt;""),IF(OR(Model!B42="CBA Line of Credit",Model!B42="OFI Line of Credit (Other financial institution)"),AND(Model!F42&lt;&gt;"",Model!I42&lt;&gt;"",Model!K42&lt;&gt;""),FALSE))))))))</f>
        <v>1</v>
      </c>
      <c r="V11" s="207" t="b">
        <f>IF(AND(Model!C42="Investment",Model!D42="Yes",NOT(Model!E42="Yes")),TRUE,FALSE)</f>
        <v>0</v>
      </c>
      <c r="W11" s="207" t="b">
        <f>IF(NOT(V11),TRUE,AND('Neg Gearing'!C11&lt;&gt;"",COUNTBLANK('Neg Gearing'!E11:H11)&lt;4))</f>
        <v>1</v>
      </c>
      <c r="X11" s="854">
        <f>IF(U11,MAX(Model!F42:G42),0)</f>
        <v>0</v>
      </c>
      <c r="AB11" s="317">
        <f>IF($Z$5,$AO10*$Z$1*'Neg Gearing'!E$20+AB$2,0)</f>
        <v>0</v>
      </c>
      <c r="AC11" s="317">
        <f>IF($Z$5,$AO10*$Z$1*'Neg Gearing'!F$20+AC$2,0)</f>
        <v>0</v>
      </c>
      <c r="AD11" s="317">
        <f>IF($Z$5,$AO10*$Z$1*'Neg Gearing'!G$20+AD$2,0)</f>
        <v>0</v>
      </c>
      <c r="AE11" s="317">
        <f>IF($Z$5,$AO10*$Z$1*'Neg Gearing'!H$20+AE$2,0)</f>
        <v>0</v>
      </c>
      <c r="AF11" s="316">
        <f t="shared" si="1"/>
        <v>70000</v>
      </c>
      <c r="AG11" s="316">
        <f t="shared" si="1"/>
        <v>0</v>
      </c>
      <c r="AH11" s="316">
        <f t="shared" si="2"/>
        <v>0</v>
      </c>
      <c r="AI11" s="316">
        <f t="shared" si="3"/>
        <v>0</v>
      </c>
      <c r="AJ11" s="316">
        <f>income_tax(AF11)+medicare_levy(AF11)-IF((LITO(AF11,income_tax(AF11))+LMITO(AF11,income_tax(AF11)))&gt;income_tax(AF11),income_tax(AF11),LITO(AF11,income_tax(AF11)))-IF((LITO(AF11,income_tax(AF11))+LMITO(AF11,income_tax(AF11)))&gt;income_tax(AF11),0,LMITO(AF11,income_tax(AF11)))</f>
        <v>13537</v>
      </c>
      <c r="AK11" s="316">
        <f>income_tax(AG11)+medicare_levy(AG11)-IF((LITO(AG11,income_tax(AG11))+LMITO(AG11,income_tax(AG11)))&gt;income_tax(AG11),income_tax(AG11),LITO(AG11,income_tax(AG11)))-IF((LITO(AG11,income_tax(AG11))+LMITO(AG11,income_tax(AG11)))&gt;income_tax(AG11),0,LMITO(AG11,income_tax(AG11)))</f>
        <v>0</v>
      </c>
      <c r="AL11" s="316">
        <f>income_tax(AH11)+medicare_levy(AH11)-IF((LITO(AH11,income_tax(AH11))+LMITO(AH11,income_tax(AH11)))&gt;income_tax(AH11),income_tax(AH11),LITO(AH11,income_tax(AH11)))-IF((LITO(AH11,income_tax(AH11))+LMITO(AH11,income_tax(AH11)))&gt;income_tax(AH11),0,LMITO(AH11,income_tax(AH11)))</f>
        <v>0</v>
      </c>
      <c r="AM11" s="316">
        <f>income_tax(AI11)+medicare_levy(AI11)-IF((LITO(AI11,income_tax(AI11))+LMITO(AI11,income_tax(AI11)))&gt;income_tax(AI11),income_tax(AI11),LITO(AI11,income_tax(AI11)))-IF((LITO(AI11,income_tax(AI11))+LMITO(AI11,income_tax(AI11)))&gt;income_tax(AI11),0,LMITO(AI11,income_tax(AI11)))</f>
        <v>0</v>
      </c>
      <c r="AN11" s="360">
        <f>ROUNDDOWN((($C$12+$G$12+$K$12+$O$12+SUM(Model!$L$30:$L$31)-SUM(AJ11:AM11)-Model!$L$34)/12-$F$40)*(1-$S$42)-$S$15,0)</f>
        <v>1705</v>
      </c>
      <c r="AO11" s="378">
        <f t="shared" si="0"/>
        <v>314025</v>
      </c>
    </row>
    <row r="12" spans="1:41" x14ac:dyDescent="0.15">
      <c r="A12" s="48" t="s">
        <v>44</v>
      </c>
      <c r="B12" s="327">
        <f>SUM(B3:B11)</f>
        <v>70000</v>
      </c>
      <c r="C12" s="327">
        <f>SUM(C3:C11)</f>
        <v>70000</v>
      </c>
      <c r="D12" s="327">
        <f>C12</f>
        <v>70000</v>
      </c>
      <c r="E12" s="85"/>
      <c r="F12" s="327">
        <f>SUM(F3:F11)</f>
        <v>0</v>
      </c>
      <c r="G12" s="327">
        <f>SUM(G3:G11)</f>
        <v>0</v>
      </c>
      <c r="H12" s="327">
        <f>G12</f>
        <v>0</v>
      </c>
      <c r="I12" s="208"/>
      <c r="J12" s="327">
        <f>SUM(J3:J11)</f>
        <v>0</v>
      </c>
      <c r="K12" s="327">
        <f>SUM(K3:K11)</f>
        <v>0</v>
      </c>
      <c r="L12" s="327">
        <f>K12</f>
        <v>0</v>
      </c>
      <c r="M12" s="208"/>
      <c r="N12" s="327">
        <f>SUM(N3:N11)</f>
        <v>0</v>
      </c>
      <c r="O12" s="327">
        <f>SUM(O3:O11)</f>
        <v>0</v>
      </c>
      <c r="P12" s="327">
        <f>O12</f>
        <v>0</v>
      </c>
      <c r="Q12" s="97"/>
      <c r="R12" s="206" t="s">
        <v>165</v>
      </c>
      <c r="S12" s="355">
        <f>IF(AND(NOT(T12),U12),ROUNDUP(IF(OR(Model!E43="Yes",Model!B43="Margin Loan"),0,IF(Model!B43="Credit Card",MAX(Data!$G$22,MAX(Model!F43:G43)*Data!$G$16),IF(Model!B43="Overdraft",MAX(Model!F43:G43)*Data!$G$18,IF(Model!B43="Commercial Bill",MAX(Model!F43:G43)*Data!$G$20,IF(OR(Model!B43="OFI home loan (Other financial institution)",Model!B43="OFI Line of Credit (Other financial institution)"),Model!J43*(1+Data!$G$26)+Model!K43,Model!J43+Model!K43))))),),0)</f>
        <v>0</v>
      </c>
      <c r="T12" s="206" t="b">
        <f>AND(ISBLANK(Model!B43),ISBLANK(Model!C43),ISBLANK(Model!D43),ISBLANK(Model!E43),ISBLANK(Model!F43),ISBLANK(Model!H43),ISBLANK(Model!I43),ISBLANK(Model!J43),ISBLANK(Model!K43))</f>
        <v>1</v>
      </c>
      <c r="U12" s="198" t="b">
        <f>IF(T12,TRUE,IF(OR(Model!B43="Credit Card",Model!B43="Overdraft",Model!B43="Commercial Bill"),AND(Model!F43&lt;&gt;"",Model!G43&lt;&gt;""),IF(Model!B43="Margin Loan",Model!G43&lt;&gt;"",IF(Model!B43="HECS",Model!J43&lt;&gt;"",
IF(AND(Model!E43&lt;&gt;"Yes",OR(Model!B43="Personal Loan",Model!B43="Lease",Model!B43="Hire Purchase",Model!B43="Other")),AND(Model!J43&lt;&gt;"",Model!K43&lt;&gt;""),IF(Model!E43="Yes",Model!F43&lt;&gt;"",
IF(OR(Model!B43="CBA Variable Rate Home Loan",Model!B43="CBA Fixed Rate Home Loan",Model!B43="OFI home loan (Other financial institution)"),AND(Model!C43&lt;&gt;"",Model!F43&lt;&gt;"",Model!H43&lt;&gt;"",Model!I43&lt;&gt;"",Model!K43&lt;&gt;""),IF(OR(Model!B43="CBA Line of Credit",Model!B43="OFI Line of Credit (Other financial institution)"),AND(Model!F43&lt;&gt;"",Model!I43&lt;&gt;"",Model!K43&lt;&gt;""),FALSE))))))))</f>
        <v>1</v>
      </c>
      <c r="V12" s="207" t="b">
        <f>IF(AND(Model!C43="Investment",Model!D43="Yes",NOT(Model!E43="Yes")),TRUE,FALSE)</f>
        <v>0</v>
      </c>
      <c r="W12" s="207" t="b">
        <f>IF(NOT(V12),TRUE,AND('Neg Gearing'!C12&lt;&gt;"",COUNTBLANK('Neg Gearing'!E12:H12)&lt;4))</f>
        <v>1</v>
      </c>
      <c r="X12" s="854">
        <f>IF(U12,MAX(Model!F43:G43),0)</f>
        <v>0</v>
      </c>
      <c r="AB12" s="317">
        <f>IF($Z$5,$AO11*$Z$1*'Neg Gearing'!E$20+AB$2,0)</f>
        <v>0</v>
      </c>
      <c r="AC12" s="317">
        <f>IF($Z$5,$AO11*$Z$1*'Neg Gearing'!F$20+AC$2,0)</f>
        <v>0</v>
      </c>
      <c r="AD12" s="317">
        <f>IF($Z$5,$AO11*$Z$1*'Neg Gearing'!G$20+AD$2,0)</f>
        <v>0</v>
      </c>
      <c r="AE12" s="317">
        <f>IF($Z$5,$AO11*$Z$1*'Neg Gearing'!H$20+AE$2,0)</f>
        <v>0</v>
      </c>
      <c r="AF12" s="316">
        <f t="shared" si="1"/>
        <v>70000</v>
      </c>
      <c r="AG12" s="316">
        <f t="shared" si="1"/>
        <v>0</v>
      </c>
      <c r="AH12" s="316">
        <f t="shared" si="2"/>
        <v>0</v>
      </c>
      <c r="AI12" s="316">
        <f t="shared" si="3"/>
        <v>0</v>
      </c>
      <c r="AJ12" s="316">
        <f>income_tax(AF12)+medicare_levy(AF12)-IF((LITO(AF12,income_tax(AF12))+LMITO(AF12,income_tax(AF12)))&gt;income_tax(AF12),income_tax(AF12),LITO(AF12,income_tax(AF12)))-IF((LITO(AF12,income_tax(AF12))+LMITO(AF12,income_tax(AF12)))&gt;income_tax(AF12),0,LMITO(AF12,income_tax(AF12)))</f>
        <v>13537</v>
      </c>
      <c r="AK12" s="316">
        <f>income_tax(AG12)+medicare_levy(AG12)-IF((LITO(AG12,income_tax(AG12))+LMITO(AG12,income_tax(AG12)))&gt;income_tax(AG12),income_tax(AG12),LITO(AG12,income_tax(AG12)))-IF((LITO(AG12,income_tax(AG12))+LMITO(AG12,income_tax(AG12)))&gt;income_tax(AG12),0,LMITO(AG12,income_tax(AG12)))</f>
        <v>0</v>
      </c>
      <c r="AL12" s="316">
        <f>income_tax(AH12)+medicare_levy(AH12)-IF((LITO(AH12,income_tax(AH12))+LMITO(AH12,income_tax(AH12)))&gt;income_tax(AH12),income_tax(AH12),LITO(AH12,income_tax(AH12)))-IF((LITO(AH12,income_tax(AH12))+LMITO(AH12,income_tax(AH12)))&gt;income_tax(AH12),0,LMITO(AH12,income_tax(AH12)))</f>
        <v>0</v>
      </c>
      <c r="AM12" s="316">
        <f>income_tax(AI12)+medicare_levy(AI12)-IF((LITO(AI12,income_tax(AI12))+LMITO(AI12,income_tax(AI12)))&gt;income_tax(AI12),income_tax(AI12),LITO(AI12,income_tax(AI12)))-IF((LITO(AI12,income_tax(AI12))+LMITO(AI12,income_tax(AI12)))&gt;income_tax(AI12),0,LMITO(AI12,income_tax(AI12)))</f>
        <v>0</v>
      </c>
      <c r="AN12" s="360">
        <f>ROUNDDOWN((($C$12+$G$12+$K$12+$O$12+SUM(Model!$L$30:$L$31)-SUM(AJ12:AM12)-Model!$L$34)/12-$F$40)*(1-$S$42)-$S$15,0)</f>
        <v>1705</v>
      </c>
      <c r="AO12" s="378">
        <f t="shared" si="0"/>
        <v>314025</v>
      </c>
    </row>
    <row r="13" spans="1:41" x14ac:dyDescent="0.15">
      <c r="A13" s="321" t="s">
        <v>46</v>
      </c>
      <c r="B13" s="209">
        <f>income_tax(B12)</f>
        <v>13217</v>
      </c>
      <c r="C13" s="209">
        <f>income_tax(C12)</f>
        <v>13217</v>
      </c>
      <c r="D13" s="209">
        <f>income_tax(D12)</f>
        <v>13217</v>
      </c>
      <c r="E13" s="200"/>
      <c r="F13" s="209">
        <f t="shared" ref="F13:H13" si="4">income_tax(F12)</f>
        <v>0</v>
      </c>
      <c r="G13" s="209">
        <f t="shared" si="4"/>
        <v>0</v>
      </c>
      <c r="H13" s="209">
        <f t="shared" si="4"/>
        <v>0</v>
      </c>
      <c r="I13" s="325"/>
      <c r="J13" s="209">
        <f t="shared" ref="J13:L13" si="5">income_tax(J12)</f>
        <v>0</v>
      </c>
      <c r="K13" s="209">
        <f t="shared" si="5"/>
        <v>0</v>
      </c>
      <c r="L13" s="209">
        <f t="shared" si="5"/>
        <v>0</v>
      </c>
      <c r="M13" s="325"/>
      <c r="N13" s="209">
        <f t="shared" ref="N13:P13" si="6">income_tax(N12)</f>
        <v>0</v>
      </c>
      <c r="O13" s="209">
        <f t="shared" si="6"/>
        <v>0</v>
      </c>
      <c r="P13" s="209">
        <f t="shared" si="6"/>
        <v>0</v>
      </c>
      <c r="Q13" s="97"/>
      <c r="R13" s="206" t="s">
        <v>166</v>
      </c>
      <c r="S13" s="355">
        <f>IF(AND(NOT(T13),U13),ROUNDUP(IF(OR(Model!E44="Yes",Model!B44="Margin Loan"),0,IF(Model!B44="Credit Card",MAX(Data!$G$22,MAX(Model!F44:G44)*Data!$G$16),IF(Model!B44="Overdraft",MAX(Model!F44:G44)*Data!$G$18,IF(Model!B44="Commercial Bill",MAX(Model!F44:G44)*Data!$G$20,IF(OR(Model!B44="OFI home loan (Other financial institution)",Model!B44="OFI Line of Credit (Other financial institution)"),Model!J44*(1+Data!$G$26)+Model!K44,Model!J44+Model!K44))))),),0)</f>
        <v>0</v>
      </c>
      <c r="T13" s="206" t="b">
        <f>AND(ISBLANK(Model!B44),ISBLANK(Model!C44),ISBLANK(Model!D44),ISBLANK(Model!E44),ISBLANK(Model!F44),ISBLANK(Model!H44),ISBLANK(Model!I44),ISBLANK(Model!J44),ISBLANK(Model!K44))</f>
        <v>1</v>
      </c>
      <c r="U13" s="198" t="b">
        <f>IF(T13,TRUE,IF(OR(Model!B44="Credit Card",Model!B44="Overdraft",Model!B44="Commercial Bill"),AND(Model!F44&lt;&gt;"",Model!G44&lt;&gt;""),IF(Model!B44="Margin Loan",Model!G44&lt;&gt;"",IF(Model!B44="HECS",Model!J44&lt;&gt;"",
IF(AND(Model!E44&lt;&gt;"Yes",OR(Model!B44="Personal Loan",Model!B44="Lease",Model!B44="Hire Purchase",Model!B44="Other")),AND(Model!J44&lt;&gt;"",Model!K44&lt;&gt;""),IF(Model!E44="Yes",Model!F44&lt;&gt;"",
IF(OR(Model!B44="CBA Variable Rate Home Loan",Model!B44="CBA Fixed Rate Home Loan",Model!B44="OFI home loan (Other financial institution)"),AND(Model!C44&lt;&gt;"",Model!F44&lt;&gt;"",Model!H44&lt;&gt;"",Model!I44&lt;&gt;"",Model!K44&lt;&gt;""),IF(OR(Model!B44="CBA Line of Credit",Model!B44="OFI Line of Credit (Other financial institution)"),AND(Model!F44&lt;&gt;"",Model!I44&lt;&gt;"",Model!K44&lt;&gt;""),FALSE))))))))</f>
        <v>1</v>
      </c>
      <c r="V13" s="207" t="b">
        <f>IF(AND(Model!C44="Investment",Model!D44="Yes",NOT(Model!E44="Yes")),TRUE,FALSE)</f>
        <v>0</v>
      </c>
      <c r="W13" s="207" t="b">
        <f>IF(NOT(V13),TRUE,AND('Neg Gearing'!C13&lt;&gt;"",COUNTBLANK('Neg Gearing'!E13:H13)&lt;4))</f>
        <v>1</v>
      </c>
      <c r="X13" s="854">
        <f>IF(U13,MAX(Model!F44:G44),0)</f>
        <v>0</v>
      </c>
    </row>
    <row r="14" spans="1:41" x14ac:dyDescent="0.15">
      <c r="A14" s="321" t="s">
        <v>48</v>
      </c>
      <c r="B14" s="209">
        <f>medicare_levy(B12)</f>
        <v>1400</v>
      </c>
      <c r="C14" s="209">
        <f t="shared" ref="C14:D14" si="7">medicare_levy(C12)</f>
        <v>1400</v>
      </c>
      <c r="D14" s="209">
        <f t="shared" si="7"/>
        <v>1400</v>
      </c>
      <c r="E14" s="200"/>
      <c r="F14" s="209">
        <f t="shared" ref="F14:H14" si="8">medicare_levy(F12)</f>
        <v>0</v>
      </c>
      <c r="G14" s="209">
        <f t="shared" si="8"/>
        <v>0</v>
      </c>
      <c r="H14" s="209">
        <f t="shared" si="8"/>
        <v>0</v>
      </c>
      <c r="I14" s="200"/>
      <c r="J14" s="209">
        <f t="shared" ref="J14:L14" si="9">medicare_levy(J12)</f>
        <v>0</v>
      </c>
      <c r="K14" s="209">
        <f t="shared" si="9"/>
        <v>0</v>
      </c>
      <c r="L14" s="209">
        <f t="shared" si="9"/>
        <v>0</v>
      </c>
      <c r="M14" s="200"/>
      <c r="N14" s="209">
        <f t="shared" ref="N14:P14" si="10">medicare_levy(N12)</f>
        <v>0</v>
      </c>
      <c r="O14" s="209">
        <f t="shared" si="10"/>
        <v>0</v>
      </c>
      <c r="P14" s="209">
        <f t="shared" si="10"/>
        <v>0</v>
      </c>
      <c r="Q14" s="97"/>
      <c r="R14" s="206" t="s">
        <v>168</v>
      </c>
      <c r="S14" s="355">
        <f>IF(AND(NOT(T14),U14),ROUNDUP(IF(OR(Model!E45="Yes",Model!B45="Margin Loan"),0,IF(Model!B45="Credit Card",MAX(Data!$G$22,MAX(Model!F45:G45)*Data!$G$16),IF(Model!B45="Overdraft",MAX(Model!F45:G45)*Data!$G$18,IF(Model!B45="Commercial Bill",MAX(Model!F45:G45)*Data!$G$20,IF(OR(Model!B45="OFI home loan (Other financial institution)",Model!B45="OFI Line of Credit (Other financial institution)"),Model!J45*(1+Data!$G$26)+Model!K45,Model!J45+Model!K45))))),),0)</f>
        <v>0</v>
      </c>
      <c r="T14" s="206" t="b">
        <f>AND(ISBLANK(Model!B45),ISBLANK(Model!C45),ISBLANK(Model!D45),ISBLANK(Model!E45),ISBLANK(Model!F45),ISBLANK(Model!H45),ISBLANK(Model!I45),ISBLANK(Model!J45),ISBLANK(Model!K45))</f>
        <v>1</v>
      </c>
      <c r="U14" s="198" t="b">
        <f>IF(T14,TRUE,IF(OR(Model!B45="Credit Card",Model!B45="Overdraft",Model!B45="Commercial Bill"),AND(Model!F45&lt;&gt;"",Model!G45&lt;&gt;""),IF(Model!B45="Margin Loan",Model!G45&lt;&gt;"",IF(Model!B45="HECS",Model!J45&lt;&gt;"",
IF(AND(Model!E45&lt;&gt;"Yes",OR(Model!B45="Personal Loan",Model!B45="Lease",Model!B45="Hire Purchase",Model!B45="Other")),AND(Model!J45&lt;&gt;"",Model!K45&lt;&gt;""),IF(Model!E45="Yes",Model!F45&lt;&gt;"",
IF(OR(Model!B45="CBA Variable Rate Home Loan",Model!B45="CBA Fixed Rate Home Loan",Model!B45="OFI home loan (Other financial institution)"),AND(Model!C45&lt;&gt;"",Model!F45&lt;&gt;"",Model!H45&lt;&gt;"",Model!I45&lt;&gt;"",Model!K45&lt;&gt;""),IF(OR(Model!B45="CBA Line of Credit",Model!B45="OFI Line of Credit (Other financial institution)"),AND(Model!F45&lt;&gt;"",Model!I45&lt;&gt;"",Model!K45&lt;&gt;""),FALSE))))))))</f>
        <v>1</v>
      </c>
      <c r="V14" s="207" t="b">
        <f>IF(AND(Model!C45="Investment",Model!D45="Yes",NOT(Model!E45="Yes")),TRUE,FALSE)</f>
        <v>0</v>
      </c>
      <c r="W14" s="207" t="b">
        <f>IF(NOT(V14),TRUE,AND('Neg Gearing'!C14&lt;&gt;"",COUNTBLANK('Neg Gearing'!E14:H14)&lt;4))</f>
        <v>1</v>
      </c>
      <c r="X14" s="854">
        <f>IF(U14,MAX(Model!F45:G45),0)</f>
        <v>0</v>
      </c>
      <c r="Z14" s="314">
        <f>Z15-Data!G33</f>
        <v>2.5999999999999995E-2</v>
      </c>
      <c r="AA14" t="s">
        <v>229</v>
      </c>
      <c r="AB14" s="207" t="s">
        <v>232</v>
      </c>
      <c r="AC14" s="207" t="s">
        <v>233</v>
      </c>
      <c r="AD14" s="207" t="s">
        <v>234</v>
      </c>
      <c r="AE14" s="207" t="s">
        <v>235</v>
      </c>
      <c r="AF14" s="207" t="s">
        <v>236</v>
      </c>
      <c r="AG14" s="207" t="s">
        <v>237</v>
      </c>
      <c r="AH14" s="207" t="s">
        <v>238</v>
      </c>
      <c r="AI14" s="207" t="s">
        <v>239</v>
      </c>
      <c r="AJ14" s="207" t="s">
        <v>240</v>
      </c>
      <c r="AK14" s="207" t="s">
        <v>241</v>
      </c>
      <c r="AL14" s="207" t="s">
        <v>242</v>
      </c>
      <c r="AM14" s="207" t="s">
        <v>243</v>
      </c>
      <c r="AN14" s="207" t="s">
        <v>244</v>
      </c>
      <c r="AO14" s="315" t="s">
        <v>245</v>
      </c>
    </row>
    <row r="15" spans="1:41" x14ac:dyDescent="0.15">
      <c r="A15" s="904" t="s">
        <v>555</v>
      </c>
      <c r="B15" s="209">
        <f>IF((LITO(B12,B13)+LMITO(B12,B13))&gt;B13,B13,LITO(B12,B13))</f>
        <v>0</v>
      </c>
      <c r="C15" s="209">
        <f>IF((LITO(C12,C13)+LMITO(C12,C13))&gt;C13,C13,LITO(C12,C13))</f>
        <v>0</v>
      </c>
      <c r="D15" s="209">
        <f>IF((LITO(D12,D13)+LMITO(D12,D13))&gt;D13,D13,LITO(D12,D13))</f>
        <v>0</v>
      </c>
      <c r="E15" s="200"/>
      <c r="F15" s="209">
        <f>IF((LITO(F12,F13)+LMITO(F12,F13))&gt;F13,F13,LITO(F12,F13))</f>
        <v>0</v>
      </c>
      <c r="G15" s="209">
        <f>IF((LITO(G12,G13)+LMITO(G12,G13))&gt;G13,G13,LITO(G12,G13))</f>
        <v>0</v>
      </c>
      <c r="H15" s="209">
        <f>IF((LITO(H12,H13)+LMITO(H12,H13))&gt;H13,H13,LITO(H12,H13))</f>
        <v>0</v>
      </c>
      <c r="I15" s="200"/>
      <c r="J15" s="209">
        <f>IF((LITO(J12,J13)+LMITO(J12,J13))&gt;J13,J13,LITO(J12,J13))</f>
        <v>0</v>
      </c>
      <c r="K15" s="209">
        <f>IF((LITO(K12,K13)+LMITO(K12,K13))&gt;K13,K13,LITO(K12,K13))</f>
        <v>0</v>
      </c>
      <c r="L15" s="209">
        <f>IF((LITO(L12,L13)+LMITO(L12,L13))&gt;L13,L13,LITO(L12,L13))</f>
        <v>0</v>
      </c>
      <c r="M15" s="200"/>
      <c r="N15" s="209">
        <f>IF((LITO(N12,N13)+LMITO(N12,N13))&gt;N13,N13,LITO(N12,N13))</f>
        <v>0</v>
      </c>
      <c r="O15" s="209">
        <f>IF((LITO(O12,O13)+LMITO(O12,O13))&gt;O13,O13,LITO(O12,O13))</f>
        <v>0</v>
      </c>
      <c r="P15" s="209">
        <f>IF((LITO(P12,P13)+LMITO(P12,P13))&gt;P13,P13,LITO(P12,P13))</f>
        <v>0</v>
      </c>
      <c r="Q15" s="97"/>
      <c r="R15" s="212" t="s">
        <v>169</v>
      </c>
      <c r="S15" s="356">
        <f>SUM(S8:S14)</f>
        <v>0</v>
      </c>
      <c r="T15" s="219" t="b">
        <f>AND(T8:T14)</f>
        <v>1</v>
      </c>
      <c r="U15" s="213" t="b">
        <f>AND(U8:U14)</f>
        <v>1</v>
      </c>
      <c r="V15" s="214" t="b">
        <f>OR(V8:V14)</f>
        <v>0</v>
      </c>
      <c r="W15" s="214" t="b">
        <f>AND(W8:W14)</f>
        <v>1</v>
      </c>
      <c r="X15" s="563"/>
      <c r="Z15" s="314">
        <f>MAX(Model!H67,Data!G32)</f>
        <v>5.0999999999999997E-2</v>
      </c>
      <c r="AA15" t="s">
        <v>230</v>
      </c>
      <c r="AB15" s="317">
        <f>'Neg Gearing'!E28</f>
        <v>0</v>
      </c>
      <c r="AC15" s="317">
        <f>'Neg Gearing'!E29</f>
        <v>0</v>
      </c>
      <c r="AD15" s="317">
        <f>'Neg Gearing'!E30</f>
        <v>0</v>
      </c>
      <c r="AE15" s="317">
        <f>'Neg Gearing'!E31</f>
        <v>0</v>
      </c>
      <c r="AF15" s="316">
        <f>MAX(C12,0)</f>
        <v>70000</v>
      </c>
      <c r="AG15" s="316">
        <f>MAX(G12,0)</f>
        <v>0</v>
      </c>
      <c r="AH15" s="316">
        <f>MAX(K12,0)</f>
        <v>0</v>
      </c>
      <c r="AI15" s="316">
        <f>MAX(O12,0)</f>
        <v>0</v>
      </c>
      <c r="AJ15" s="316">
        <f>income_tax(AF15)+medicare_levy(AF15)-IF((LITO(AF15,income_tax(AF15))+LMITO(AF15,income_tax(AF15)))&gt;income_tax(AF15),income_tax(AF15),LITO(AF15,income_tax(AF15)))-IF((LITO(AF15,income_tax(AF15))+LMITO(AF15,income_tax(AF15)))&gt;income_tax(AF15),0,LMITO(AF15,income_tax(AF15)))</f>
        <v>13537</v>
      </c>
      <c r="AK15" s="316">
        <f>income_tax(AG15)+medicare_levy(AG15)-IF((LITO(AG15,income_tax(AG15))+LMITO(AG15,income_tax(AG15)))&gt;income_tax(AG15),income_tax(AG15),LITO(AG15,income_tax(AG15)))-IF((LITO(AG15,income_tax(AG15))+LMITO(AG15,income_tax(AG15)))&gt;income_tax(AG15),0,LMITO(AG15,income_tax(AG15)))</f>
        <v>0</v>
      </c>
      <c r="AL15" s="316">
        <f>income_tax(AH15)+medicare_levy(AH15)-IF((LITO(AH15,income_tax(AH15))+LMITO(AH15,income_tax(AH15)))&gt;income_tax(AH15),income_tax(AH15),LITO(AH15,income_tax(AH15)))-IF((LITO(AH15,income_tax(AH15))+LMITO(AH15,income_tax(AH15)))&gt;income_tax(AH15),0,LMITO(AH15,income_tax(AH15)))</f>
        <v>0</v>
      </c>
      <c r="AM15" s="316">
        <f>income_tax(AI15)+medicare_levy(AI15)-IF((LITO(AI15,income_tax(AI15))+LMITO(AI15,income_tax(AI15)))&gt;income_tax(AI15),income_tax(AI15),LITO(AI15,income_tax(AI15)))-IF((LITO(AI15,income_tax(AI15))+LMITO(AI15,income_tax(AI15)))&gt;income_tax(AI15),0,LMITO(AI15,income_tax(AI15)))</f>
        <v>0</v>
      </c>
      <c r="AN15" s="360">
        <f>ROUNDDOWN((($C$12+$G$12+$K$12+$O$12+SUM(Model!$L$30:$L$31)-SUM(AJ15:AM15)-Model!$L$34)/12-$F$40)*(1-$S$42)-$S$15,0)</f>
        <v>1705</v>
      </c>
      <c r="AO15" s="378">
        <f t="shared" ref="AO15:AO25" si="11">ROUNDDOWN(PV($Z$15/12,$Z$16*12,-(AN15-$Z$17)),0)</f>
        <v>0</v>
      </c>
    </row>
    <row r="16" spans="1:41" x14ac:dyDescent="0.15">
      <c r="A16" s="904" t="s">
        <v>559</v>
      </c>
      <c r="B16" s="209">
        <f>IF((LITO(B12,B13)+LMITO(B12,B13))&gt;B13,0,LMITO(B12,B13))</f>
        <v>1080</v>
      </c>
      <c r="C16" s="209">
        <f>IF((LITO(C12,C13)+LMITO(C12,C13))&gt;C13,0,LMITO(C12,C13))</f>
        <v>1080</v>
      </c>
      <c r="D16" s="209">
        <f>IF((LITO(D12,D13)+LMITO(D12,D13))&gt;D13,0,LMITO(D12,D13))</f>
        <v>1080</v>
      </c>
      <c r="E16" s="200"/>
      <c r="F16" s="209">
        <f>IF((LITO(F12,F13)+LMITO(F12,F13))&gt;F13,0,LMITO(F12,F13))</f>
        <v>0</v>
      </c>
      <c r="G16" s="209">
        <f>IF((LITO(G12,G13)+LMITO(G12,G13))&gt;G13,0,LMITO(G12,G13))</f>
        <v>0</v>
      </c>
      <c r="H16" s="209">
        <f>IF((LITO(H12,H13)+LMITO(H12,H13))&gt;H13,0,LMITO(H12,H13))</f>
        <v>0</v>
      </c>
      <c r="I16" s="200"/>
      <c r="J16" s="209">
        <f>IF((LITO(J12,J13)+LMITO(J12,J13))&gt;J13,0,LMITO(J12,J13))</f>
        <v>0</v>
      </c>
      <c r="K16" s="209">
        <f>IF((LITO(K12,K13)+LMITO(K12,K13))&gt;K13,0,LMITO(K12,K13))</f>
        <v>0</v>
      </c>
      <c r="L16" s="209">
        <f>IF((LITO(L12,L13)+LMITO(L12,L13))&gt;L13,0,LMITO(L12,L13))</f>
        <v>0</v>
      </c>
      <c r="M16" s="200"/>
      <c r="N16" s="209">
        <f>IF((LITO(N12,N13)+LMITO(N12,N13))&gt;N13,0,LMITO(N12,N13))</f>
        <v>0</v>
      </c>
      <c r="O16" s="209">
        <f>IF((LITO(O12,O13)+LMITO(O12,O13))&gt;O13,0,LMITO(O12,O13))</f>
        <v>0</v>
      </c>
      <c r="P16" s="209">
        <f>IF((LITO(P12,P13)+LMITO(P12,P13))&gt;P13,0,LMITO(P12,P13))</f>
        <v>0</v>
      </c>
      <c r="Q16" s="97"/>
      <c r="R16" s="216"/>
      <c r="S16" s="217"/>
      <c r="T16" s="203" t="s">
        <v>158</v>
      </c>
      <c r="U16" s="204" t="s">
        <v>159</v>
      </c>
      <c r="V16" s="205" t="s">
        <v>160</v>
      </c>
      <c r="W16" s="205" t="s">
        <v>159</v>
      </c>
      <c r="X16" s="205"/>
      <c r="Z16" s="207">
        <f>Model!I67-Model!J67</f>
        <v>0</v>
      </c>
      <c r="AA16" t="s">
        <v>227</v>
      </c>
      <c r="AB16" s="317">
        <f>IF($Z$18,$AO15*$Z$14*IF(SUM('Neg Gearing'!$E$20:$H$20)&gt;0,'Neg Gearing'!E$20,(100%/$Z$9)*(AF$15&gt;0))+AB$15,0)</f>
        <v>0</v>
      </c>
      <c r="AC16" s="317">
        <f>IF($Z$18,$AO15*$Z$14*IF(SUM('Neg Gearing'!$E$20:$H$20)&gt;0,'Neg Gearing'!F$20,(100%/$Z$9)*(AG$15&gt;0))+AC$15,0)</f>
        <v>0</v>
      </c>
      <c r="AD16" s="317">
        <f>IF($Z$18,$AO15*$Z$14*IF(SUM('Neg Gearing'!$E$20:$H$20)&gt;0,'Neg Gearing'!G$20,(100%/$Z$9)*(AH$15&gt;0))+AD$15,0)</f>
        <v>0</v>
      </c>
      <c r="AE16" s="317">
        <f>IF($Z$18,$AO15*$Z$14*IF(SUM('Neg Gearing'!$E$20:$H$20)&gt;0,'Neg Gearing'!H$20,(100%/$Z$9)*(AI$15&gt;0))+AE$15,0)</f>
        <v>0</v>
      </c>
      <c r="AF16" s="316">
        <f t="shared" ref="AF16:AF25" si="12">MAX(AF$2-AB16,0)</f>
        <v>70000</v>
      </c>
      <c r="AG16" s="316">
        <f t="shared" ref="AG16:AG25" si="13">MAX(AG$2-AC16,0)</f>
        <v>0</v>
      </c>
      <c r="AH16" s="316">
        <f t="shared" ref="AH16:AH25" si="14">MAX(AH$2-AD16,0)</f>
        <v>0</v>
      </c>
      <c r="AI16" s="316">
        <f t="shared" ref="AI16:AI25" si="15">MAX(AI$2-AE16,0)</f>
        <v>0</v>
      </c>
      <c r="AJ16" s="316">
        <f>income_tax(AF16)+medicare_levy(AF16)-IF((LITO(AF16,income_tax(AF16))+LMITO(AF16,income_tax(AF16)))&gt;income_tax(AF16),income_tax(AF16),LITO(AF16,income_tax(AF16)))-IF((LITO(AF16,income_tax(AF16))+LMITO(AF16,income_tax(AF16)))&gt;income_tax(AF16),0,LMITO(AF16,income_tax(AF16)))</f>
        <v>13537</v>
      </c>
      <c r="AK16" s="316">
        <f>income_tax(AG16)+medicare_levy(AG16)-IF((LITO(AG16,income_tax(AG16))+LMITO(AG16,income_tax(AG16)))&gt;income_tax(AG16),income_tax(AG16),LITO(AG16,income_tax(AG16)))-IF((LITO(AG16,income_tax(AG16))+LMITO(AG16,income_tax(AG16)))&gt;income_tax(AG16),0,LMITO(AG16,income_tax(AG16)))</f>
        <v>0</v>
      </c>
      <c r="AL16" s="316">
        <f>income_tax(AH16)+medicare_levy(AH16)-IF((LITO(AH16,income_tax(AH16))+LMITO(AH16,income_tax(AH16)))&gt;income_tax(AH16),income_tax(AH16),LITO(AH16,income_tax(AH16)))-IF((LITO(AH16,income_tax(AH16))+LMITO(AH16,income_tax(AH16)))&gt;income_tax(AH16),0,LMITO(AH16,income_tax(AH16)))</f>
        <v>0</v>
      </c>
      <c r="AM16" s="316">
        <f>income_tax(AI16)+medicare_levy(AI16)-IF((LITO(AI16,income_tax(AI16))+LMITO(AI16,income_tax(AI16)))&gt;income_tax(AI16),income_tax(AI16),LITO(AI16,income_tax(AI16)))-IF((LITO(AI16,income_tax(AI16))+LMITO(AI16,income_tax(AI16)))&gt;income_tax(AI16),0,LMITO(AI16,income_tax(AI16)))</f>
        <v>0</v>
      </c>
      <c r="AN16" s="360">
        <f>ROUNDDOWN((($C$12+$G$12+$K$12+$O$12+SUM(Model!$L$30:$L$31)-SUM(AJ16:AM16)-Model!$L$34)/12-$F$40)*(1-$S$42)-$S$15,0)</f>
        <v>1705</v>
      </c>
      <c r="AO16" s="378">
        <f t="shared" si="11"/>
        <v>0</v>
      </c>
    </row>
    <row r="17" spans="1:41" x14ac:dyDescent="0.15">
      <c r="A17" s="322" t="s">
        <v>167</v>
      </c>
      <c r="B17" s="327">
        <f>B13+B14-B15-B16</f>
        <v>13537</v>
      </c>
      <c r="C17" s="327">
        <f t="shared" ref="C17:P17" si="16">C13+C14-C15-C16</f>
        <v>13537</v>
      </c>
      <c r="D17" s="327">
        <f t="shared" si="16"/>
        <v>13537</v>
      </c>
      <c r="E17" s="96"/>
      <c r="F17" s="327">
        <f t="shared" si="16"/>
        <v>0</v>
      </c>
      <c r="G17" s="327">
        <f t="shared" si="16"/>
        <v>0</v>
      </c>
      <c r="H17" s="327">
        <f t="shared" si="16"/>
        <v>0</v>
      </c>
      <c r="I17" s="200"/>
      <c r="J17" s="327">
        <f t="shared" si="16"/>
        <v>0</v>
      </c>
      <c r="K17" s="327">
        <f t="shared" si="16"/>
        <v>0</v>
      </c>
      <c r="L17" s="327">
        <f t="shared" si="16"/>
        <v>0</v>
      </c>
      <c r="M17" s="96"/>
      <c r="N17" s="327">
        <f t="shared" si="16"/>
        <v>0</v>
      </c>
      <c r="O17" s="327">
        <f t="shared" si="16"/>
        <v>0</v>
      </c>
      <c r="P17" s="327">
        <f t="shared" si="16"/>
        <v>0</v>
      </c>
      <c r="Q17" s="97"/>
      <c r="R17" s="206" t="s">
        <v>172</v>
      </c>
      <c r="S17" s="355">
        <f>IF(AND(NOT(T17),U17),ROUNDUP(IF(Model!B52="Credit Card",Model!G52*Data!$G$16,-PMT(MAX(Model!H52,Data!$G$32)/12,D43*12,Model!G52,0)+Model!K52),0),0)</f>
        <v>1629</v>
      </c>
      <c r="T17" s="206" t="b">
        <f>AND(Model!B52="",Model!F52="",Model!G52="",Model!H52="",Model!I52="",Model!J52="",Model!K52="")</f>
        <v>0</v>
      </c>
      <c r="U17" s="198" t="b">
        <f>IF(T17,TRUE,IF(Model!B52="Credit Card",Model!G52&lt;&gt;"",AND(Model!B52&lt;&gt;"",Model!E52&lt;&gt;"",Model!G52&lt;&gt;"",Model!H52&lt;&gt;"",Model!I52&lt;&gt;"",Model!K52&lt;&gt;"")))</f>
        <v>1</v>
      </c>
      <c r="V17" s="207" t="b">
        <f>IF(AND(Model!E52="Investment",Model!F52="Yes"),TRUE,FALSE)</f>
        <v>0</v>
      </c>
      <c r="W17" s="207" t="b">
        <f>IF(NOT(V17),TRUE,AND('Neg Gearing'!C20&lt;&gt;"",COUNTBLANK('Neg Gearing'!E20:H20)&lt;4))</f>
        <v>1</v>
      </c>
      <c r="X17" s="1"/>
      <c r="Z17" s="372">
        <f>Model!K67</f>
        <v>0</v>
      </c>
      <c r="AA17" t="s">
        <v>228</v>
      </c>
      <c r="AB17" s="317">
        <f>IF($Z$18,$AO16*$Z$14*IF(SUM('Neg Gearing'!$E$20:$H$20)&gt;0,'Neg Gearing'!E$20,(100%/$Z$9)*(AF$15&gt;0))+AB$15,0)</f>
        <v>0</v>
      </c>
      <c r="AC17" s="317">
        <f>IF($Z$18,$AO16*$Z$14*IF(SUM('Neg Gearing'!$E$20:$H$20)&gt;0,'Neg Gearing'!F$20,(100%/$Z$9)*(AG$15&gt;0))+AC$15,0)</f>
        <v>0</v>
      </c>
      <c r="AD17" s="317">
        <f>IF($Z$18,$AO16*$Z$14*IF(SUM('Neg Gearing'!$E$20:$H$20)&gt;0,'Neg Gearing'!G$20,(100%/$Z$9)*(AH$15&gt;0))+AD$15,0)</f>
        <v>0</v>
      </c>
      <c r="AE17" s="317">
        <f>IF($Z$18,$AO16*$Z$14*IF(SUM('Neg Gearing'!$E$20:$H$20)&gt;0,'Neg Gearing'!H$20,(100%/$Z$9)*(AI$15&gt;0))+AE$15,0)</f>
        <v>0</v>
      </c>
      <c r="AF17" s="316">
        <f t="shared" si="12"/>
        <v>70000</v>
      </c>
      <c r="AG17" s="316">
        <f t="shared" si="13"/>
        <v>0</v>
      </c>
      <c r="AH17" s="316">
        <f t="shared" si="14"/>
        <v>0</v>
      </c>
      <c r="AI17" s="316">
        <f t="shared" si="15"/>
        <v>0</v>
      </c>
      <c r="AJ17" s="316">
        <f>income_tax(AF17)+medicare_levy(AF17)-IF((LITO(AF17,income_tax(AF17))+LMITO(AF17,income_tax(AF17)))&gt;income_tax(AF17),income_tax(AF17),LITO(AF17,income_tax(AF17)))-IF((LITO(AF17,income_tax(AF17))+LMITO(AF17,income_tax(AF17)))&gt;income_tax(AF17),0,LMITO(AF17,income_tax(AF17)))</f>
        <v>13537</v>
      </c>
      <c r="AK17" s="316">
        <f>income_tax(AG17)+medicare_levy(AG17)-IF((LITO(AG17,income_tax(AG17))+LMITO(AG17,income_tax(AG17)))&gt;income_tax(AG17),income_tax(AG17),LITO(AG17,income_tax(AG17)))-IF((LITO(AG17,income_tax(AG17))+LMITO(AG17,income_tax(AG17)))&gt;income_tax(AG17),0,LMITO(AG17,income_tax(AG17)))</f>
        <v>0</v>
      </c>
      <c r="AL17" s="316">
        <f>income_tax(AH17)+medicare_levy(AH17)-IF((LITO(AH17,income_tax(AH17))+LMITO(AH17,income_tax(AH17)))&gt;income_tax(AH17),income_tax(AH17),LITO(AH17,income_tax(AH17)))-IF((LITO(AH17,income_tax(AH17))+LMITO(AH17,income_tax(AH17)))&gt;income_tax(AH17),0,LMITO(AH17,income_tax(AH17)))</f>
        <v>0</v>
      </c>
      <c r="AM17" s="316">
        <f>income_tax(AI17)+medicare_levy(AI17)-IF((LITO(AI17,income_tax(AI17))+LMITO(AI17,income_tax(AI17)))&gt;income_tax(AI17),income_tax(AI17),LITO(AI17,income_tax(AI17)))-IF((LITO(AI17,income_tax(AI17))+LMITO(AI17,income_tax(AI17)))&gt;income_tax(AI17),0,LMITO(AI17,income_tax(AI17)))</f>
        <v>0</v>
      </c>
      <c r="AN17" s="360">
        <f>ROUNDDOWN((($C$12+$G$12+$K$12+$O$12+SUM(Model!$L$30:$L$31)-SUM(AJ17:AM17)-Model!$L$34)/12-$F$40)*(1-$S$42)-$S$15,0)</f>
        <v>1705</v>
      </c>
      <c r="AO17" s="378">
        <f t="shared" si="11"/>
        <v>0</v>
      </c>
    </row>
    <row r="18" spans="1:41" x14ac:dyDescent="0.15">
      <c r="A18" s="323"/>
      <c r="B18" s="210"/>
      <c r="C18" s="210"/>
      <c r="D18" s="211"/>
      <c r="E18" s="96"/>
      <c r="F18" s="211"/>
      <c r="G18" s="211"/>
      <c r="H18" s="211"/>
      <c r="I18" s="96"/>
      <c r="J18" s="211"/>
      <c r="K18" s="211"/>
      <c r="L18" s="211"/>
      <c r="M18" s="96"/>
      <c r="N18" s="211"/>
      <c r="O18" s="211"/>
      <c r="P18" s="211"/>
      <c r="Q18" s="97"/>
      <c r="R18" s="206" t="s">
        <v>173</v>
      </c>
      <c r="S18" s="355">
        <f>IF(AND(NOT(T18),U18),ROUNDUP(IF(Model!B53="Credit Card",Model!G53*Data!$G$16,-PMT(MAX(Model!H53,Data!$G$32)/12,D44*12,Model!G53,0)+Model!K53),0),0)</f>
        <v>0</v>
      </c>
      <c r="T18" s="206" t="b">
        <f>AND(Model!B53="",Model!F53="",Model!G53="",Model!H53="",Model!I53="",Model!J53="",Model!K53="")</f>
        <v>1</v>
      </c>
      <c r="U18" s="198" t="b">
        <f>IF(T18,TRUE,IF(Model!B53="Credit Card",Model!G53&lt;&gt;"",AND(Model!B53&lt;&gt;"",Model!E53&lt;&gt;"",Model!G53&lt;&gt;"",Model!H53&lt;&gt;"",Model!I53&lt;&gt;"",Model!K53&lt;&gt;"")))</f>
        <v>1</v>
      </c>
      <c r="V18" s="207" t="b">
        <f>IF(AND(Model!E53="Investment",Model!F53="Yes"),TRUE,FALSE)</f>
        <v>0</v>
      </c>
      <c r="W18" s="207" t="b">
        <f>IF(NOT(V18),TRUE,AND('Neg Gearing'!C21&lt;&gt;"",COUNTBLANK('Neg Gearing'!E21:H21)&lt;4))</f>
        <v>1</v>
      </c>
      <c r="X18" s="1"/>
      <c r="Z18" s="207" t="b">
        <f>AND(Model!E67="investment",Model!F67="Yes")</f>
        <v>0</v>
      </c>
      <c r="AA18" t="s">
        <v>160</v>
      </c>
      <c r="AB18" s="317">
        <f>IF($Z$18,$AO17*$Z$14*IF(SUM('Neg Gearing'!$E$20:$H$20)&gt;0,'Neg Gearing'!E$20,(100%/$Z$9)*(AF$15&gt;0))+AB$15,0)</f>
        <v>0</v>
      </c>
      <c r="AC18" s="317">
        <f>IF($Z$18,$AO17*$Z$14*IF(SUM('Neg Gearing'!$E$20:$H$20)&gt;0,'Neg Gearing'!F$20,(100%/$Z$9)*(AG$15&gt;0))+AC$15,0)</f>
        <v>0</v>
      </c>
      <c r="AD18" s="317">
        <f>IF($Z$18,$AO17*$Z$14*IF(SUM('Neg Gearing'!$E$20:$H$20)&gt;0,'Neg Gearing'!G$20,(100%/$Z$9)*(AH$15&gt;0))+AD$15,0)</f>
        <v>0</v>
      </c>
      <c r="AE18" s="317">
        <f>IF($Z$18,$AO17*$Z$14*IF(SUM('Neg Gearing'!$E$20:$H$20)&gt;0,'Neg Gearing'!H$20,(100%/$Z$9)*(AI$15&gt;0))+AE$15,0)</f>
        <v>0</v>
      </c>
      <c r="AF18" s="316">
        <f t="shared" si="12"/>
        <v>70000</v>
      </c>
      <c r="AG18" s="316">
        <f t="shared" si="13"/>
        <v>0</v>
      </c>
      <c r="AH18" s="316">
        <f t="shared" si="14"/>
        <v>0</v>
      </c>
      <c r="AI18" s="316">
        <f t="shared" si="15"/>
        <v>0</v>
      </c>
      <c r="AJ18" s="316">
        <f>income_tax(AF18)+medicare_levy(AF18)-IF((LITO(AF18,income_tax(AF18))+LMITO(AF18,income_tax(AF18)))&gt;income_tax(AF18),income_tax(AF18),LITO(AF18,income_tax(AF18)))-IF((LITO(AF18,income_tax(AF18))+LMITO(AF18,income_tax(AF18)))&gt;income_tax(AF18),0,LMITO(AF18,income_tax(AF18)))</f>
        <v>13537</v>
      </c>
      <c r="AK18" s="316">
        <f>income_tax(AG18)+medicare_levy(AG18)-IF((LITO(AG18,income_tax(AG18))+LMITO(AG18,income_tax(AG18)))&gt;income_tax(AG18),income_tax(AG18),LITO(AG18,income_tax(AG18)))-IF((LITO(AG18,income_tax(AG18))+LMITO(AG18,income_tax(AG18)))&gt;income_tax(AG18),0,LMITO(AG18,income_tax(AG18)))</f>
        <v>0</v>
      </c>
      <c r="AL18" s="316">
        <f>income_tax(AH18)+medicare_levy(AH18)-IF((LITO(AH18,income_tax(AH18))+LMITO(AH18,income_tax(AH18)))&gt;income_tax(AH18),income_tax(AH18),LITO(AH18,income_tax(AH18)))-IF((LITO(AH18,income_tax(AH18))+LMITO(AH18,income_tax(AH18)))&gt;income_tax(AH18),0,LMITO(AH18,income_tax(AH18)))</f>
        <v>0</v>
      </c>
      <c r="AM18" s="316">
        <f>income_tax(AI18)+medicare_levy(AI18)-IF((LITO(AI18,income_tax(AI18))+LMITO(AI18,income_tax(AI18)))&gt;income_tax(AI18),income_tax(AI18),LITO(AI18,income_tax(AI18)))-IF((LITO(AI18,income_tax(AI18))+LMITO(AI18,income_tax(AI18)))&gt;income_tax(AI18),0,LMITO(AI18,income_tax(AI18)))</f>
        <v>0</v>
      </c>
      <c r="AN18" s="360">
        <f>ROUNDDOWN((($C$12+$G$12+$K$12+$O$12+SUM(Model!$L$30:$L$31)-SUM(AJ18:AM18)-Model!$L$34)/12-$F$40)*(1-$S$42)-$S$15,0)</f>
        <v>1705</v>
      </c>
      <c r="AO18" s="378">
        <f t="shared" si="11"/>
        <v>0</v>
      </c>
    </row>
    <row r="19" spans="1:41" x14ac:dyDescent="0.15">
      <c r="A19" s="323" t="s">
        <v>170</v>
      </c>
      <c r="C19" s="209">
        <f>'Neg Gearing'!G28</f>
        <v>0</v>
      </c>
      <c r="D19" s="215">
        <f>'Neg Gearing'!E28</f>
        <v>0</v>
      </c>
      <c r="E19" s="96"/>
      <c r="G19" s="209">
        <f>'Neg Gearing'!G29</f>
        <v>0</v>
      </c>
      <c r="H19" s="329">
        <f>'Neg Gearing'!E29</f>
        <v>0</v>
      </c>
      <c r="I19" s="96"/>
      <c r="K19" s="329">
        <f>'Neg Gearing'!G30</f>
        <v>0</v>
      </c>
      <c r="L19" s="329">
        <f>'Neg Gearing'!E30</f>
        <v>0</v>
      </c>
      <c r="M19" s="96"/>
      <c r="O19" s="329">
        <f>'Neg Gearing'!G31</f>
        <v>0</v>
      </c>
      <c r="P19" s="329">
        <f>'Neg Gearing'!E31</f>
        <v>0</v>
      </c>
      <c r="Q19" s="97"/>
      <c r="R19" s="206" t="s">
        <v>174</v>
      </c>
      <c r="S19" s="355">
        <f>IF(AND(NOT(T19),U19),ROUNDUP(IF(Model!B54="Credit Card",Model!G54*Data!$G$16,-PMT(MAX(Model!H54,Data!$G$32)/12,D45*12,Model!G54,0)+Model!K54),0),0)</f>
        <v>0</v>
      </c>
      <c r="T19" s="206" t="b">
        <f>AND(Model!B54="",Model!F54="",Model!G54="",Model!H54="",Model!I54="",Model!J54="",Model!K54="")</f>
        <v>1</v>
      </c>
      <c r="U19" s="198" t="b">
        <f>IF(T19,TRUE,IF(Model!B54="Credit Card",Model!G54&lt;&gt;"",AND(Model!B54&lt;&gt;"",Model!E54&lt;&gt;"",Model!G54&lt;&gt;"",Model!H54&lt;&gt;"",Model!I54&lt;&gt;"",Model!K54&lt;&gt;"")))</f>
        <v>1</v>
      </c>
      <c r="V19" s="207" t="b">
        <f>IF(AND(Model!E54="Investment",Model!F54="Yes"),TRUE,FALSE)</f>
        <v>0</v>
      </c>
      <c r="W19" s="207" t="b">
        <f>IF(NOT(V19),TRUE,AND('Neg Gearing'!C22&lt;&gt;"",COUNTBLANK('Neg Gearing'!E22:H22)&lt;4))</f>
        <v>1</v>
      </c>
      <c r="X19" s="1"/>
      <c r="AB19" s="317">
        <f>IF($Z$18,$AO18*$Z$14*IF(SUM('Neg Gearing'!$E$20:$H$20)&gt;0,'Neg Gearing'!E$20,(100%/$Z$9)*(AF$15&gt;0))+AB$15,0)</f>
        <v>0</v>
      </c>
      <c r="AC19" s="317">
        <f>IF($Z$18,$AO18*$Z$14*IF(SUM('Neg Gearing'!$E$20:$H$20)&gt;0,'Neg Gearing'!F$20,(100%/$Z$9)*(AG$15&gt;0))+AC$15,0)</f>
        <v>0</v>
      </c>
      <c r="AD19" s="317">
        <f>IF($Z$18,$AO18*$Z$14*IF(SUM('Neg Gearing'!$E$20:$H$20)&gt;0,'Neg Gearing'!G$20,(100%/$Z$9)*(AH$15&gt;0))+AD$15,0)</f>
        <v>0</v>
      </c>
      <c r="AE19" s="317">
        <f>IF($Z$18,$AO18*$Z$14*IF(SUM('Neg Gearing'!$E$20:$H$20)&gt;0,'Neg Gearing'!H$20,(100%/$Z$9)*(AI$15&gt;0))+AE$15,0)</f>
        <v>0</v>
      </c>
      <c r="AF19" s="316">
        <f t="shared" si="12"/>
        <v>70000</v>
      </c>
      <c r="AG19" s="316">
        <f t="shared" si="13"/>
        <v>0</v>
      </c>
      <c r="AH19" s="316">
        <f t="shared" si="14"/>
        <v>0</v>
      </c>
      <c r="AI19" s="316">
        <f t="shared" si="15"/>
        <v>0</v>
      </c>
      <c r="AJ19" s="316">
        <f>income_tax(AF19)+medicare_levy(AF19)-IF((LITO(AF19,income_tax(AF19))+LMITO(AF19,income_tax(AF19)))&gt;income_tax(AF19),income_tax(AF19),LITO(AF19,income_tax(AF19)))-IF((LITO(AF19,income_tax(AF19))+LMITO(AF19,income_tax(AF19)))&gt;income_tax(AF19),0,LMITO(AF19,income_tax(AF19)))</f>
        <v>13537</v>
      </c>
      <c r="AK19" s="316">
        <f>income_tax(AG19)+medicare_levy(AG19)-IF((LITO(AG19,income_tax(AG19))+LMITO(AG19,income_tax(AG19)))&gt;income_tax(AG19),income_tax(AG19),LITO(AG19,income_tax(AG19)))-IF((LITO(AG19,income_tax(AG19))+LMITO(AG19,income_tax(AG19)))&gt;income_tax(AG19),0,LMITO(AG19,income_tax(AG19)))</f>
        <v>0</v>
      </c>
      <c r="AL19" s="316">
        <f>income_tax(AH19)+medicare_levy(AH19)-IF((LITO(AH19,income_tax(AH19))+LMITO(AH19,income_tax(AH19)))&gt;income_tax(AH19),income_tax(AH19),LITO(AH19,income_tax(AH19)))-IF((LITO(AH19,income_tax(AH19))+LMITO(AH19,income_tax(AH19)))&gt;income_tax(AH19),0,LMITO(AH19,income_tax(AH19)))</f>
        <v>0</v>
      </c>
      <c r="AM19" s="316">
        <f>income_tax(AI19)+medicare_levy(AI19)-IF((LITO(AI19,income_tax(AI19))+LMITO(AI19,income_tax(AI19)))&gt;income_tax(AI19),income_tax(AI19),LITO(AI19,income_tax(AI19)))-IF((LITO(AI19,income_tax(AI19))+LMITO(AI19,income_tax(AI19)))&gt;income_tax(AI19),0,LMITO(AI19,income_tax(AI19)))</f>
        <v>0</v>
      </c>
      <c r="AN19" s="360">
        <f>ROUNDDOWN((($C$12+$G$12+$K$12+$O$12+SUM(Model!$L$30:$L$31)-SUM(AJ19:AM19)-Model!$L$34)/12-$F$40)*(1-$S$42)-$S$15,0)</f>
        <v>1705</v>
      </c>
      <c r="AO19" s="378">
        <f t="shared" si="11"/>
        <v>0</v>
      </c>
    </row>
    <row r="20" spans="1:41" x14ac:dyDescent="0.15">
      <c r="A20" s="324" t="s">
        <v>171</v>
      </c>
      <c r="C20" s="326">
        <f>MAX(C12-C19,0)</f>
        <v>70000</v>
      </c>
      <c r="D20" s="326">
        <f>MAX(D12-D19,0)</f>
        <v>70000</v>
      </c>
      <c r="E20" s="96"/>
      <c r="G20" s="326">
        <f>MAX(G12-G19,0)</f>
        <v>0</v>
      </c>
      <c r="H20" s="326">
        <f>MAX(H12-H19,0)</f>
        <v>0</v>
      </c>
      <c r="I20" s="96"/>
      <c r="K20" s="326">
        <f>MAX(K12-K19,0)</f>
        <v>0</v>
      </c>
      <c r="L20" s="326">
        <f>MAX(L12-L19,0)</f>
        <v>0</v>
      </c>
      <c r="M20" s="96"/>
      <c r="O20" s="326">
        <f>MAX(O12-O19,0)</f>
        <v>0</v>
      </c>
      <c r="P20" s="326">
        <f>MAX(P12-P19,0)</f>
        <v>0</v>
      </c>
      <c r="Q20" s="97"/>
      <c r="R20" s="206" t="s">
        <v>176</v>
      </c>
      <c r="S20" s="355">
        <f>IF(AND(NOT(T20),U20),ROUNDUP(IF(Model!B55="Credit Card",Model!G55*Data!$G$16,-PMT(MAX(Model!H55,Data!$G$32)/12,D46*12,Model!G55,0)+Model!K55),0),0)</f>
        <v>0</v>
      </c>
      <c r="T20" s="206" t="b">
        <f>AND(Model!B55="",Model!F55="",Model!G55="",Model!H55="",Model!I55="",Model!J55="",Model!K55="")</f>
        <v>1</v>
      </c>
      <c r="U20" s="198" t="b">
        <f>IF(T20,TRUE,IF(Model!B55="Credit Card",Model!G55&lt;&gt;"",AND(Model!B55&lt;&gt;"",Model!E55&lt;&gt;"",Model!G55&lt;&gt;"",Model!H55&lt;&gt;"",Model!I55&lt;&gt;"",Model!K55&lt;&gt;"")))</f>
        <v>1</v>
      </c>
      <c r="V20" s="207" t="b">
        <f>IF(AND(Model!E55="Investment",Model!F55="Yes"),TRUE,FALSE)</f>
        <v>0</v>
      </c>
      <c r="W20" s="207" t="b">
        <f>IF(NOT(V20),TRUE,AND('Neg Gearing'!C23&lt;&gt;"",COUNTBLANK('Neg Gearing'!E23:H23)&lt;4))</f>
        <v>1</v>
      </c>
      <c r="X20" s="1"/>
      <c r="AB20" s="317">
        <f>IF($Z$18,$AO19*$Z$14*IF(SUM('Neg Gearing'!$E$20:$H$20)&gt;0,'Neg Gearing'!E$20,(100%/$Z$9)*(AF$15&gt;0))+AB$15,0)</f>
        <v>0</v>
      </c>
      <c r="AC20" s="317">
        <f>IF($Z$18,$AO19*$Z$14*IF(SUM('Neg Gearing'!$E$20:$H$20)&gt;0,'Neg Gearing'!F$20,(100%/$Z$9)*(AG$15&gt;0))+AC$15,0)</f>
        <v>0</v>
      </c>
      <c r="AD20" s="317">
        <f>IF($Z$18,$AO19*$Z$14*IF(SUM('Neg Gearing'!$E$20:$H$20)&gt;0,'Neg Gearing'!G$20,(100%/$Z$9)*(AH$15&gt;0))+AD$15,0)</f>
        <v>0</v>
      </c>
      <c r="AE20" s="317">
        <f>IF($Z$18,$AO19*$Z$14*IF(SUM('Neg Gearing'!$E$20:$H$20)&gt;0,'Neg Gearing'!H$20,(100%/$Z$9)*(AI$15&gt;0))+AE$15,0)</f>
        <v>0</v>
      </c>
      <c r="AF20" s="316">
        <f t="shared" si="12"/>
        <v>70000</v>
      </c>
      <c r="AG20" s="316">
        <f t="shared" si="13"/>
        <v>0</v>
      </c>
      <c r="AH20" s="316">
        <f t="shared" si="14"/>
        <v>0</v>
      </c>
      <c r="AI20" s="316">
        <f t="shared" si="15"/>
        <v>0</v>
      </c>
      <c r="AJ20" s="316">
        <f>income_tax(AF20)+medicare_levy(AF20)-IF((LITO(AF20,income_tax(AF20))+LMITO(AF20,income_tax(AF20)))&gt;income_tax(AF20),income_tax(AF20),LITO(AF20,income_tax(AF20)))-IF((LITO(AF20,income_tax(AF20))+LMITO(AF20,income_tax(AF20)))&gt;income_tax(AF20),0,LMITO(AF20,income_tax(AF20)))</f>
        <v>13537</v>
      </c>
      <c r="AK20" s="316">
        <f>income_tax(AG20)+medicare_levy(AG20)-IF((LITO(AG20,income_tax(AG20))+LMITO(AG20,income_tax(AG20)))&gt;income_tax(AG20),income_tax(AG20),LITO(AG20,income_tax(AG20)))-IF((LITO(AG20,income_tax(AG20))+LMITO(AG20,income_tax(AG20)))&gt;income_tax(AG20),0,LMITO(AG20,income_tax(AG20)))</f>
        <v>0</v>
      </c>
      <c r="AL20" s="316">
        <f>income_tax(AH20)+medicare_levy(AH20)-IF((LITO(AH20,income_tax(AH20))+LMITO(AH20,income_tax(AH20)))&gt;income_tax(AH20),income_tax(AH20),LITO(AH20,income_tax(AH20)))-IF((LITO(AH20,income_tax(AH20))+LMITO(AH20,income_tax(AH20)))&gt;income_tax(AH20),0,LMITO(AH20,income_tax(AH20)))</f>
        <v>0</v>
      </c>
      <c r="AM20" s="316">
        <f>income_tax(AI20)+medicare_levy(AI20)-IF((LITO(AI20,income_tax(AI20))+LMITO(AI20,income_tax(AI20)))&gt;income_tax(AI20),income_tax(AI20),LITO(AI20,income_tax(AI20)))-IF((LITO(AI20,income_tax(AI20))+LMITO(AI20,income_tax(AI20)))&gt;income_tax(AI20),0,LMITO(AI20,income_tax(AI20)))</f>
        <v>0</v>
      </c>
      <c r="AN20" s="360">
        <f>ROUNDDOWN((($C$12+$G$12+$K$12+$O$12+SUM(Model!$L$30:$L$31)-SUM(AJ20:AM20)-Model!$L$34)/12-$F$40)*(1-$S$42)-$S$15,0)</f>
        <v>1705</v>
      </c>
      <c r="AO20" s="378">
        <f t="shared" si="11"/>
        <v>0</v>
      </c>
    </row>
    <row r="21" spans="1:41" x14ac:dyDescent="0.15">
      <c r="A21" s="323" t="s">
        <v>46</v>
      </c>
      <c r="C21" s="209">
        <f>income_tax(C20)</f>
        <v>13217</v>
      </c>
      <c r="D21" s="209">
        <f>income_tax(D20)</f>
        <v>13217</v>
      </c>
      <c r="E21" s="96"/>
      <c r="G21" s="209">
        <f t="shared" ref="G21:H21" si="17">income_tax(G20)</f>
        <v>0</v>
      </c>
      <c r="H21" s="209">
        <f t="shared" si="17"/>
        <v>0</v>
      </c>
      <c r="I21" s="96"/>
      <c r="J21" s="96"/>
      <c r="K21" s="209">
        <f t="shared" ref="K21:L21" si="18">income_tax(K20)</f>
        <v>0</v>
      </c>
      <c r="L21" s="209">
        <f t="shared" si="18"/>
        <v>0</v>
      </c>
      <c r="M21" s="96"/>
      <c r="O21" s="209">
        <f t="shared" ref="O21:P21" si="19">income_tax(O20)</f>
        <v>0</v>
      </c>
      <c r="P21" s="209">
        <f t="shared" si="19"/>
        <v>0</v>
      </c>
      <c r="Q21" s="97"/>
      <c r="R21" s="206" t="s">
        <v>178</v>
      </c>
      <c r="S21" s="355">
        <f>IF(AND(NOT(T21),U21),ROUNDUP(IF(Model!B56="Credit Card",Model!G56*Data!$G$16,-PMT(MAX(Model!H56,Data!$G$32)/12,D47*12,Model!G56,0)+Model!K56),0),0)</f>
        <v>0</v>
      </c>
      <c r="T21" s="206" t="b">
        <f>AND(Model!B56="",Model!F56="",Model!G56="",Model!H56="",Model!I56="",Model!J56="",Model!K56="")</f>
        <v>1</v>
      </c>
      <c r="U21" s="198" t="b">
        <f>IF(T21,TRUE,IF(Model!B56="Credit Card",Model!G56&lt;&gt;"",AND(Model!B56&lt;&gt;"",Model!E56&lt;&gt;"",Model!G56&lt;&gt;"",Model!H56&lt;&gt;"",Model!I56&lt;&gt;"",Model!K56&lt;&gt;"")))</f>
        <v>1</v>
      </c>
      <c r="V21" s="207" t="b">
        <f>IF(AND(Model!E56="Investment",Model!F56="Yes"),TRUE,FALSE)</f>
        <v>0</v>
      </c>
      <c r="W21" s="207" t="b">
        <f>IF(NOT(V21),TRUE,AND('Neg Gearing'!C24&lt;&gt;"",COUNTBLANK('Neg Gearing'!E24:H24)&lt;4))</f>
        <v>1</v>
      </c>
      <c r="X21" s="1"/>
      <c r="AB21" s="317">
        <f>IF($Z$18,$AO20*$Z$14*IF(SUM('Neg Gearing'!$E$20:$H$20)&gt;0,'Neg Gearing'!E$20,(100%/$Z$9)*(AF$15&gt;0))+AB$15,0)</f>
        <v>0</v>
      </c>
      <c r="AC21" s="317">
        <f>IF($Z$18,$AO20*$Z$14*IF(SUM('Neg Gearing'!$E$20:$H$20)&gt;0,'Neg Gearing'!F$20,(100%/$Z$9)*(AG$15&gt;0))+AC$15,0)</f>
        <v>0</v>
      </c>
      <c r="AD21" s="317">
        <f>IF($Z$18,$AO20*$Z$14*IF(SUM('Neg Gearing'!$E$20:$H$20)&gt;0,'Neg Gearing'!G$20,(100%/$Z$9)*(AH$15&gt;0))+AD$15,0)</f>
        <v>0</v>
      </c>
      <c r="AE21" s="317">
        <f>IF($Z$18,$AO20*$Z$14*IF(SUM('Neg Gearing'!$E$20:$H$20)&gt;0,'Neg Gearing'!H$20,(100%/$Z$9)*(AI$15&gt;0))+AE$15,0)</f>
        <v>0</v>
      </c>
      <c r="AF21" s="316">
        <f t="shared" si="12"/>
        <v>70000</v>
      </c>
      <c r="AG21" s="316">
        <f t="shared" si="13"/>
        <v>0</v>
      </c>
      <c r="AH21" s="316">
        <f t="shared" si="14"/>
        <v>0</v>
      </c>
      <c r="AI21" s="316">
        <f t="shared" si="15"/>
        <v>0</v>
      </c>
      <c r="AJ21" s="316">
        <f>income_tax(AF21)+medicare_levy(AF21)-IF((LITO(AF21,income_tax(AF21))+LMITO(AF21,income_tax(AF21)))&gt;income_tax(AF21),income_tax(AF21),LITO(AF21,income_tax(AF21)))-IF((LITO(AF21,income_tax(AF21))+LMITO(AF21,income_tax(AF21)))&gt;income_tax(AF21),0,LMITO(AF21,income_tax(AF21)))</f>
        <v>13537</v>
      </c>
      <c r="AK21" s="316">
        <f>income_tax(AG21)+medicare_levy(AG21)-IF((LITO(AG21,income_tax(AG21))+LMITO(AG21,income_tax(AG21)))&gt;income_tax(AG21),income_tax(AG21),LITO(AG21,income_tax(AG21)))-IF((LITO(AG21,income_tax(AG21))+LMITO(AG21,income_tax(AG21)))&gt;income_tax(AG21),0,LMITO(AG21,income_tax(AG21)))</f>
        <v>0</v>
      </c>
      <c r="AL21" s="316">
        <f>income_tax(AH21)+medicare_levy(AH21)-IF((LITO(AH21,income_tax(AH21))+LMITO(AH21,income_tax(AH21)))&gt;income_tax(AH21),income_tax(AH21),LITO(AH21,income_tax(AH21)))-IF((LITO(AH21,income_tax(AH21))+LMITO(AH21,income_tax(AH21)))&gt;income_tax(AH21),0,LMITO(AH21,income_tax(AH21)))</f>
        <v>0</v>
      </c>
      <c r="AM21" s="316">
        <f>income_tax(AI21)+medicare_levy(AI21)-IF((LITO(AI21,income_tax(AI21))+LMITO(AI21,income_tax(AI21)))&gt;income_tax(AI21),income_tax(AI21),LITO(AI21,income_tax(AI21)))-IF((LITO(AI21,income_tax(AI21))+LMITO(AI21,income_tax(AI21)))&gt;income_tax(AI21),0,LMITO(AI21,income_tax(AI21)))</f>
        <v>0</v>
      </c>
      <c r="AN21" s="360">
        <f>ROUNDDOWN((($C$12+$G$12+$K$12+$O$12+SUM(Model!$L$30:$L$31)-SUM(AJ21:AM21)-Model!$L$34)/12-$F$40)*(1-$S$42)-$S$15,0)</f>
        <v>1705</v>
      </c>
      <c r="AO21" s="378">
        <f t="shared" si="11"/>
        <v>0</v>
      </c>
    </row>
    <row r="22" spans="1:41" x14ac:dyDescent="0.15">
      <c r="A22" s="323" t="s">
        <v>48</v>
      </c>
      <c r="C22" s="209">
        <f t="shared" ref="C22:D22" si="20">medicare_levy(C20)</f>
        <v>1400</v>
      </c>
      <c r="D22" s="209">
        <f t="shared" si="20"/>
        <v>1400</v>
      </c>
      <c r="E22" s="96"/>
      <c r="F22" s="96"/>
      <c r="G22" s="209">
        <f t="shared" ref="G22:H22" si="21">medicare_levy(G20)</f>
        <v>0</v>
      </c>
      <c r="H22" s="209">
        <f t="shared" si="21"/>
        <v>0</v>
      </c>
      <c r="I22" s="96"/>
      <c r="J22" s="96"/>
      <c r="K22" s="209">
        <f t="shared" ref="K22:L22" si="22">medicare_levy(K20)</f>
        <v>0</v>
      </c>
      <c r="L22" s="209">
        <f t="shared" si="22"/>
        <v>0</v>
      </c>
      <c r="M22" s="96"/>
      <c r="N22" s="96"/>
      <c r="O22" s="209">
        <f t="shared" ref="O22:P22" si="23">medicare_levy(O20)</f>
        <v>0</v>
      </c>
      <c r="P22" s="209">
        <f t="shared" si="23"/>
        <v>0</v>
      </c>
      <c r="Q22" s="97"/>
      <c r="R22" s="206" t="s">
        <v>180</v>
      </c>
      <c r="S22" s="355">
        <f>IF(AND(NOT(T22),U22),ROUNDUP(IF(Model!B57="Credit Card",Model!G57*Data!$G$16,-PMT(MAX(Model!H57,Data!$G$32)/12,D48*12,Model!G57,0)+Model!K57),0),0)</f>
        <v>0</v>
      </c>
      <c r="T22" s="206" t="b">
        <f>AND(Model!B57="",Model!F57="",Model!G57="",Model!H57="",Model!I57="",Model!J57="",Model!K57="")</f>
        <v>1</v>
      </c>
      <c r="U22" s="198" t="b">
        <f>IF(T22,TRUE,IF(Model!B57="Credit Card",Model!G57&lt;&gt;"",AND(Model!B57&lt;&gt;"",Model!E57&lt;&gt;"",Model!G57&lt;&gt;"",Model!H57&lt;&gt;"",Model!I57&lt;&gt;"",Model!K57&lt;&gt;"")))</f>
        <v>1</v>
      </c>
      <c r="V22" s="207" t="b">
        <f>IF(AND(Model!E57="Investment",Model!F57="Yes"),TRUE,FALSE)</f>
        <v>0</v>
      </c>
      <c r="W22" s="207" t="b">
        <f>IF(NOT(V22),TRUE,AND('Neg Gearing'!C25&lt;&gt;"",COUNTBLANK('Neg Gearing'!E25:H25)&lt;4))</f>
        <v>1</v>
      </c>
      <c r="X22" s="1"/>
      <c r="AB22" s="317">
        <f>IF($Z$18,$AO21*$Z$14*IF(SUM('Neg Gearing'!$E$20:$H$20)&gt;0,'Neg Gearing'!E$20,(100%/$Z$9)*(AF$15&gt;0))+AB$15,0)</f>
        <v>0</v>
      </c>
      <c r="AC22" s="317">
        <f>IF($Z$18,$AO21*$Z$14*IF(SUM('Neg Gearing'!$E$20:$H$20)&gt;0,'Neg Gearing'!F$20,(100%/$Z$9)*(AG$15&gt;0))+AC$15,0)</f>
        <v>0</v>
      </c>
      <c r="AD22" s="317">
        <f>IF($Z$18,$AO21*$Z$14*IF(SUM('Neg Gearing'!$E$20:$H$20)&gt;0,'Neg Gearing'!G$20,(100%/$Z$9)*(AH$15&gt;0))+AD$15,0)</f>
        <v>0</v>
      </c>
      <c r="AE22" s="317">
        <f>IF($Z$18,$AO21*$Z$14*IF(SUM('Neg Gearing'!$E$20:$H$20)&gt;0,'Neg Gearing'!H$20,(100%/$Z$9)*(AI$15&gt;0))+AE$15,0)</f>
        <v>0</v>
      </c>
      <c r="AF22" s="316">
        <f t="shared" si="12"/>
        <v>70000</v>
      </c>
      <c r="AG22" s="316">
        <f t="shared" si="13"/>
        <v>0</v>
      </c>
      <c r="AH22" s="316">
        <f t="shared" si="14"/>
        <v>0</v>
      </c>
      <c r="AI22" s="316">
        <f t="shared" si="15"/>
        <v>0</v>
      </c>
      <c r="AJ22" s="316">
        <f>income_tax(AF22)+medicare_levy(AF22)-IF((LITO(AF22,income_tax(AF22))+LMITO(AF22,income_tax(AF22)))&gt;income_tax(AF22),income_tax(AF22),LITO(AF22,income_tax(AF22)))-IF((LITO(AF22,income_tax(AF22))+LMITO(AF22,income_tax(AF22)))&gt;income_tax(AF22),0,LMITO(AF22,income_tax(AF22)))</f>
        <v>13537</v>
      </c>
      <c r="AK22" s="316">
        <f>income_tax(AG22)+medicare_levy(AG22)-IF((LITO(AG22,income_tax(AG22))+LMITO(AG22,income_tax(AG22)))&gt;income_tax(AG22),income_tax(AG22),LITO(AG22,income_tax(AG22)))-IF((LITO(AG22,income_tax(AG22))+LMITO(AG22,income_tax(AG22)))&gt;income_tax(AG22),0,LMITO(AG22,income_tax(AG22)))</f>
        <v>0</v>
      </c>
      <c r="AL22" s="316">
        <f>income_tax(AH22)+medicare_levy(AH22)-IF((LITO(AH22,income_tax(AH22))+LMITO(AH22,income_tax(AH22)))&gt;income_tax(AH22),income_tax(AH22),LITO(AH22,income_tax(AH22)))-IF((LITO(AH22,income_tax(AH22))+LMITO(AH22,income_tax(AH22)))&gt;income_tax(AH22),0,LMITO(AH22,income_tax(AH22)))</f>
        <v>0</v>
      </c>
      <c r="AM22" s="316">
        <f>income_tax(AI22)+medicare_levy(AI22)-IF((LITO(AI22,income_tax(AI22))+LMITO(AI22,income_tax(AI22)))&gt;income_tax(AI22),income_tax(AI22),LITO(AI22,income_tax(AI22)))-IF((LITO(AI22,income_tax(AI22))+LMITO(AI22,income_tax(AI22)))&gt;income_tax(AI22),0,LMITO(AI22,income_tax(AI22)))</f>
        <v>0</v>
      </c>
      <c r="AN22" s="360">
        <f>ROUNDDOWN((($C$12+$G$12+$K$12+$O$12+SUM(Model!$L$30:$L$31)-SUM(AJ22:AM22)-Model!$L$34)/12-$F$40)*(1-$S$42)-$S$15,0)</f>
        <v>1705</v>
      </c>
      <c r="AO22" s="378">
        <f t="shared" si="11"/>
        <v>0</v>
      </c>
    </row>
    <row r="23" spans="1:41" x14ac:dyDescent="0.15">
      <c r="A23" s="697" t="s">
        <v>555</v>
      </c>
      <c r="C23" s="209">
        <f>IF((LITO(C20,C21)+LMITO(C20,C21))&gt;C21,C21,LITO(C20,C21))</f>
        <v>0</v>
      </c>
      <c r="D23" s="209">
        <f>IF((LITO(D20,D21)+LMITO(D20,D21))&gt;D21,D21,LITO(D20,D21))</f>
        <v>0</v>
      </c>
      <c r="E23" s="96"/>
      <c r="F23" s="96"/>
      <c r="G23" s="209">
        <f>IF((LITO(G20,G21)+LMITO(G20,G21))&gt;G21,G21,LITO(G20,G21))</f>
        <v>0</v>
      </c>
      <c r="H23" s="209">
        <f>IF((LITO(H20,H21)+LMITO(H20,H21))&gt;H21,H21,LITO(H20,H21))</f>
        <v>0</v>
      </c>
      <c r="I23" s="96"/>
      <c r="J23" s="96"/>
      <c r="K23" s="209">
        <f>IF((LITO(K20,K21)+LMITO(K20,K21))&gt;K21,K21,LITO(K20,K21))</f>
        <v>0</v>
      </c>
      <c r="L23" s="209">
        <f>IF((LITO(L20,L21)+LMITO(L20,L21))&gt;L21,L21,LITO(L20,L21))</f>
        <v>0</v>
      </c>
      <c r="M23" s="96"/>
      <c r="N23" s="96"/>
      <c r="O23" s="209">
        <f>IF((LITO(O20,O21)+LMITO(O20,O21))&gt;O21,O21,LITO(O20,O21))</f>
        <v>0</v>
      </c>
      <c r="P23" s="209">
        <f>IF((LITO(P20,P21)+LMITO(P20,P21))&gt;P21,P21,LITO(P20,P21))</f>
        <v>0</v>
      </c>
      <c r="Q23" s="97"/>
      <c r="R23" s="212" t="s">
        <v>136</v>
      </c>
      <c r="S23" s="356">
        <f>IF(ISERROR(SUM(S17:S22)),0,SUM(S17:S22))</f>
        <v>1629</v>
      </c>
      <c r="T23" s="219" t="b">
        <f>AND(T17:T22)</f>
        <v>0</v>
      </c>
      <c r="U23" s="202" t="b">
        <f>AND(U17:U22)</f>
        <v>1</v>
      </c>
      <c r="V23" s="214" t="b">
        <f>OR(V17:V22)</f>
        <v>0</v>
      </c>
      <c r="W23" s="214" t="b">
        <f>AND(W17:W22)</f>
        <v>1</v>
      </c>
      <c r="X23" s="563"/>
      <c r="AB23" s="317">
        <f>IF($Z$18,$AO22*$Z$14*IF(SUM('Neg Gearing'!$E$20:$H$20)&gt;0,'Neg Gearing'!E$20,(100%/$Z$9)*(AF$15&gt;0))+AB$15,0)</f>
        <v>0</v>
      </c>
      <c r="AC23" s="317">
        <f>IF($Z$18,$AO22*$Z$14*IF(SUM('Neg Gearing'!$E$20:$H$20)&gt;0,'Neg Gearing'!F$20,(100%/$Z$9)*(AG$15&gt;0))+AC$15,0)</f>
        <v>0</v>
      </c>
      <c r="AD23" s="317">
        <f>IF($Z$18,$AO22*$Z$14*IF(SUM('Neg Gearing'!$E$20:$H$20)&gt;0,'Neg Gearing'!G$20,(100%/$Z$9)*(AH$15&gt;0))+AD$15,0)</f>
        <v>0</v>
      </c>
      <c r="AE23" s="317">
        <f>IF($Z$18,$AO22*$Z$14*IF(SUM('Neg Gearing'!$E$20:$H$20)&gt;0,'Neg Gearing'!H$20,(100%/$Z$9)*(AI$15&gt;0))+AE$15,0)</f>
        <v>0</v>
      </c>
      <c r="AF23" s="316">
        <f t="shared" si="12"/>
        <v>70000</v>
      </c>
      <c r="AG23" s="316">
        <f t="shared" si="13"/>
        <v>0</v>
      </c>
      <c r="AH23" s="316">
        <f t="shared" si="14"/>
        <v>0</v>
      </c>
      <c r="AI23" s="316">
        <f t="shared" si="15"/>
        <v>0</v>
      </c>
      <c r="AJ23" s="316">
        <f>income_tax(AF23)+medicare_levy(AF23)-IF((LITO(AF23,income_tax(AF23))+LMITO(AF23,income_tax(AF23)))&gt;income_tax(AF23),income_tax(AF23),LITO(AF23,income_tax(AF23)))-IF((LITO(AF23,income_tax(AF23))+LMITO(AF23,income_tax(AF23)))&gt;income_tax(AF23),0,LMITO(AF23,income_tax(AF23)))</f>
        <v>13537</v>
      </c>
      <c r="AK23" s="316">
        <f>income_tax(AG23)+medicare_levy(AG23)-IF((LITO(AG23,income_tax(AG23))+LMITO(AG23,income_tax(AG23)))&gt;income_tax(AG23),income_tax(AG23),LITO(AG23,income_tax(AG23)))-IF((LITO(AG23,income_tax(AG23))+LMITO(AG23,income_tax(AG23)))&gt;income_tax(AG23),0,LMITO(AG23,income_tax(AG23)))</f>
        <v>0</v>
      </c>
      <c r="AL23" s="316">
        <f>income_tax(AH23)+medicare_levy(AH23)-IF((LITO(AH23,income_tax(AH23))+LMITO(AH23,income_tax(AH23)))&gt;income_tax(AH23),income_tax(AH23),LITO(AH23,income_tax(AH23)))-IF((LITO(AH23,income_tax(AH23))+LMITO(AH23,income_tax(AH23)))&gt;income_tax(AH23),0,LMITO(AH23,income_tax(AH23)))</f>
        <v>0</v>
      </c>
      <c r="AM23" s="316">
        <f>income_tax(AI23)+medicare_levy(AI23)-IF((LITO(AI23,income_tax(AI23))+LMITO(AI23,income_tax(AI23)))&gt;income_tax(AI23),income_tax(AI23),LITO(AI23,income_tax(AI23)))-IF((LITO(AI23,income_tax(AI23))+LMITO(AI23,income_tax(AI23)))&gt;income_tax(AI23),0,LMITO(AI23,income_tax(AI23)))</f>
        <v>0</v>
      </c>
      <c r="AN23" s="360">
        <f>ROUNDDOWN((($C$12+$G$12+$K$12+$O$12+SUM(Model!$L$30:$L$31)-SUM(AJ23:AM23)-Model!$L$34)/12-$F$40)*(1-$S$42)-$S$15,0)</f>
        <v>1705</v>
      </c>
      <c r="AO23" s="378">
        <f t="shared" si="11"/>
        <v>0</v>
      </c>
    </row>
    <row r="24" spans="1:41" x14ac:dyDescent="0.15">
      <c r="A24" s="697" t="s">
        <v>559</v>
      </c>
      <c r="C24" s="209">
        <f>IF((LITO(C20,C21)+LMITO(C20,C21))&gt;C21,0,LMITO(C20,C21))</f>
        <v>1080</v>
      </c>
      <c r="D24" s="209">
        <f>IF((LITO(D20,D21)+LMITO(D20,D21))&gt;D21,0,LMITO(D20,D21))</f>
        <v>1080</v>
      </c>
      <c r="E24" s="96"/>
      <c r="F24" s="96"/>
      <c r="G24" s="209">
        <f>IF((LITO(G20,G21)+LMITO(G20,G21))&gt;G21,0,LMITO(G20,G21))</f>
        <v>0</v>
      </c>
      <c r="H24" s="209">
        <f>IF((LITO(H20,H21)+LMITO(H20,H21))&gt;H21,0,LMITO(H20,H21))</f>
        <v>0</v>
      </c>
      <c r="I24" s="96"/>
      <c r="J24" s="96"/>
      <c r="K24" s="209">
        <f>IF((LITO(K20,K21)+LMITO(K20,K21))&gt;K21,0,LMITO(K20,K21))</f>
        <v>0</v>
      </c>
      <c r="L24" s="209">
        <f>IF((LITO(L20,L21)+LMITO(L20,L21))&gt;L21,0,LMITO(L20,L21))</f>
        <v>0</v>
      </c>
      <c r="M24" s="96"/>
      <c r="N24" s="96"/>
      <c r="O24" s="209">
        <f>IF((LITO(O20,O21)+LMITO(O20,O21))&gt;O21,0,LMITO(O20,O21))</f>
        <v>0</v>
      </c>
      <c r="P24" s="209">
        <f>IF((LITO(P20,P21)+LMITO(P20,P21))&gt;P21,0,LMITO(P20,P21))</f>
        <v>0</v>
      </c>
      <c r="Q24" s="97"/>
      <c r="R24" s="212" t="s">
        <v>182</v>
      </c>
      <c r="S24" s="356">
        <f>S15+S23</f>
        <v>1629</v>
      </c>
      <c r="T24" s="97"/>
      <c r="U24" s="220"/>
      <c r="AB24" s="317">
        <f>IF($Z$18,$AO23*$Z$14*IF(SUM('Neg Gearing'!$E$20:$H$20)&gt;0,'Neg Gearing'!E$20,(100%/$Z$9)*(AF$15&gt;0))+AB$15,0)</f>
        <v>0</v>
      </c>
      <c r="AC24" s="317">
        <f>IF($Z$18,$AO23*$Z$14*IF(SUM('Neg Gearing'!$E$20:$H$20)&gt;0,'Neg Gearing'!F$20,(100%/$Z$9)*(AG$15&gt;0))+AC$15,0)</f>
        <v>0</v>
      </c>
      <c r="AD24" s="317">
        <f>IF($Z$18,$AO23*$Z$14*IF(SUM('Neg Gearing'!$E$20:$H$20)&gt;0,'Neg Gearing'!G$20,(100%/$Z$9)*(AH$15&gt;0))+AD$15,0)</f>
        <v>0</v>
      </c>
      <c r="AE24" s="317">
        <f>IF($Z$18,$AO23*$Z$14*IF(SUM('Neg Gearing'!$E$20:$H$20)&gt;0,'Neg Gearing'!H$20,(100%/$Z$9)*(AI$15&gt;0))+AE$15,0)</f>
        <v>0</v>
      </c>
      <c r="AF24" s="316">
        <f t="shared" si="12"/>
        <v>70000</v>
      </c>
      <c r="AG24" s="316">
        <f t="shared" si="13"/>
        <v>0</v>
      </c>
      <c r="AH24" s="316">
        <f t="shared" si="14"/>
        <v>0</v>
      </c>
      <c r="AI24" s="316">
        <f t="shared" si="15"/>
        <v>0</v>
      </c>
      <c r="AJ24" s="316">
        <f>income_tax(AF24)+medicare_levy(AF24)-IF((LITO(AF24,income_tax(AF24))+LMITO(AF24,income_tax(AF24)))&gt;income_tax(AF24),income_tax(AF24),LITO(AF24,income_tax(AF24)))-IF((LITO(AF24,income_tax(AF24))+LMITO(AF24,income_tax(AF24)))&gt;income_tax(AF24),0,LMITO(AF24,income_tax(AF24)))</f>
        <v>13537</v>
      </c>
      <c r="AK24" s="316">
        <f>income_tax(AG24)+medicare_levy(AG24)-IF((LITO(AG24,income_tax(AG24))+LMITO(AG24,income_tax(AG24)))&gt;income_tax(AG24),income_tax(AG24),LITO(AG24,income_tax(AG24)))-IF((LITO(AG24,income_tax(AG24))+LMITO(AG24,income_tax(AG24)))&gt;income_tax(AG24),0,LMITO(AG24,income_tax(AG24)))</f>
        <v>0</v>
      </c>
      <c r="AL24" s="316">
        <f>income_tax(AH24)+medicare_levy(AH24)-IF((LITO(AH24,income_tax(AH24))+LMITO(AH24,income_tax(AH24)))&gt;income_tax(AH24),income_tax(AH24),LITO(AH24,income_tax(AH24)))-IF((LITO(AH24,income_tax(AH24))+LMITO(AH24,income_tax(AH24)))&gt;income_tax(AH24),0,LMITO(AH24,income_tax(AH24)))</f>
        <v>0</v>
      </c>
      <c r="AM24" s="316">
        <f>income_tax(AI24)+medicare_levy(AI24)-IF((LITO(AI24,income_tax(AI24))+LMITO(AI24,income_tax(AI24)))&gt;income_tax(AI24),income_tax(AI24),LITO(AI24,income_tax(AI24)))-IF((LITO(AI24,income_tax(AI24))+LMITO(AI24,income_tax(AI24)))&gt;income_tax(AI24),0,LMITO(AI24,income_tax(AI24)))</f>
        <v>0</v>
      </c>
      <c r="AN24" s="360">
        <f>ROUNDDOWN((($C$12+$G$12+$K$12+$O$12+SUM(Model!$L$30:$L$31)-SUM(AJ24:AM24)-Model!$L$34)/12-$F$40)*(1-$S$42)-$S$15,0)</f>
        <v>1705</v>
      </c>
      <c r="AO24" s="378">
        <f t="shared" si="11"/>
        <v>0</v>
      </c>
    </row>
    <row r="25" spans="1:41" x14ac:dyDescent="0.15">
      <c r="A25" s="324" t="s">
        <v>175</v>
      </c>
      <c r="C25" s="326">
        <f>C21+C22-C23-C24</f>
        <v>13537</v>
      </c>
      <c r="D25" s="326">
        <f t="shared" ref="D25:P25" si="24">D21+D22-D23-D24</f>
        <v>13537</v>
      </c>
      <c r="E25" s="96"/>
      <c r="F25" s="96"/>
      <c r="G25" s="326">
        <f t="shared" si="24"/>
        <v>0</v>
      </c>
      <c r="H25" s="326">
        <f t="shared" si="24"/>
        <v>0</v>
      </c>
      <c r="I25" s="96"/>
      <c r="J25" s="96"/>
      <c r="K25" s="326">
        <f t="shared" si="24"/>
        <v>0</v>
      </c>
      <c r="L25" s="326">
        <f t="shared" si="24"/>
        <v>0</v>
      </c>
      <c r="M25" s="96"/>
      <c r="N25" s="96"/>
      <c r="O25" s="326">
        <f t="shared" si="24"/>
        <v>0</v>
      </c>
      <c r="P25" s="326">
        <f t="shared" si="24"/>
        <v>0</v>
      </c>
      <c r="Q25" s="97"/>
      <c r="R25" s="216"/>
      <c r="S25" s="217"/>
      <c r="T25" s="97"/>
      <c r="AB25" s="317">
        <f>IF($Z$18,$AO24*$Z$14*IF(SUM('Neg Gearing'!$E$20:$H$20)&gt;0,'Neg Gearing'!E$20,(100%/$Z$9)*(AF$15&gt;0))+AB$15,0)</f>
        <v>0</v>
      </c>
      <c r="AC25" s="317">
        <f>IF($Z$18,$AO24*$Z$14*IF(SUM('Neg Gearing'!$E$20:$H$20)&gt;0,'Neg Gearing'!F$20,(100%/$Z$9)*(AG$15&gt;0))+AC$15,0)</f>
        <v>0</v>
      </c>
      <c r="AD25" s="317">
        <f>IF($Z$18,$AO24*$Z$14*IF(SUM('Neg Gearing'!$E$20:$H$20)&gt;0,'Neg Gearing'!G$20,(100%/$Z$9)*(AH$15&gt;0))+AD$15,0)</f>
        <v>0</v>
      </c>
      <c r="AE25" s="317">
        <f>IF($Z$18,$AO24*$Z$14*IF(SUM('Neg Gearing'!$E$20:$H$20)&gt;0,'Neg Gearing'!H$20,(100%/$Z$9)*(AI$15&gt;0))+AE$15,0)</f>
        <v>0</v>
      </c>
      <c r="AF25" s="316">
        <f t="shared" si="12"/>
        <v>70000</v>
      </c>
      <c r="AG25" s="316">
        <f t="shared" si="13"/>
        <v>0</v>
      </c>
      <c r="AH25" s="316">
        <f t="shared" si="14"/>
        <v>0</v>
      </c>
      <c r="AI25" s="316">
        <f t="shared" si="15"/>
        <v>0</v>
      </c>
      <c r="AJ25" s="316">
        <f>income_tax(AF25)+medicare_levy(AF25)-IF((LITO(AF25,income_tax(AF25))+LMITO(AF25,income_tax(AF25)))&gt;income_tax(AF25),income_tax(AF25),LITO(AF25,income_tax(AF25)))-IF((LITO(AF25,income_tax(AF25))+LMITO(AF25,income_tax(AF25)))&gt;income_tax(AF25),0,LMITO(AF25,income_tax(AF25)))</f>
        <v>13537</v>
      </c>
      <c r="AK25" s="316">
        <f>income_tax(AG25)+medicare_levy(AG25)-IF((LITO(AG25,income_tax(AG25))+LMITO(AG25,income_tax(AG25)))&gt;income_tax(AG25),income_tax(AG25),LITO(AG25,income_tax(AG25)))-IF((LITO(AG25,income_tax(AG25))+LMITO(AG25,income_tax(AG25)))&gt;income_tax(AG25),0,LMITO(AG25,income_tax(AG25)))</f>
        <v>0</v>
      </c>
      <c r="AL25" s="316">
        <f>income_tax(AH25)+medicare_levy(AH25)-IF((LITO(AH25,income_tax(AH25))+LMITO(AH25,income_tax(AH25)))&gt;income_tax(AH25),income_tax(AH25),LITO(AH25,income_tax(AH25)))-IF((LITO(AH25,income_tax(AH25))+LMITO(AH25,income_tax(AH25)))&gt;income_tax(AH25),0,LMITO(AH25,income_tax(AH25)))</f>
        <v>0</v>
      </c>
      <c r="AM25" s="316">
        <f>income_tax(AI25)+medicare_levy(AI25)-IF((LITO(AI25,income_tax(AI25))+LMITO(AI25,income_tax(AI25)))&gt;income_tax(AI25),income_tax(AI25),LITO(AI25,income_tax(AI25)))-IF((LITO(AI25,income_tax(AI25))+LMITO(AI25,income_tax(AI25)))&gt;income_tax(AI25),0,LMITO(AI25,income_tax(AI25)))</f>
        <v>0</v>
      </c>
      <c r="AN25" s="360">
        <f>ROUNDDOWN((($C$12+$G$12+$K$12+$O$12+SUM(Model!$L$30:$L$31)-SUM(AJ25:AM25)-Model!$L$34)/12-$F$40)*(1-$S$42)-$S$15,0)</f>
        <v>1705</v>
      </c>
      <c r="AO25" s="378">
        <f t="shared" si="11"/>
        <v>0</v>
      </c>
    </row>
    <row r="26" spans="1:41" x14ac:dyDescent="0.15">
      <c r="A26" s="323" t="s">
        <v>177</v>
      </c>
      <c r="C26" s="209">
        <f>IF(C13-C21&lt;0,C13,C13-C21)</f>
        <v>0</v>
      </c>
      <c r="D26" s="209">
        <f>IF(D13-D21&lt;0,D13,D13-D21)</f>
        <v>0</v>
      </c>
      <c r="E26" s="96"/>
      <c r="F26" s="96"/>
      <c r="G26" s="209">
        <f>IF(G13-G21&lt;0,G13,G13-G21)</f>
        <v>0</v>
      </c>
      <c r="H26" s="209">
        <f>IF(H13-H21&lt;0,H13,H13-H21)</f>
        <v>0</v>
      </c>
      <c r="I26" s="96"/>
      <c r="J26" s="96"/>
      <c r="K26" s="209">
        <f>IF(K13-K21&lt;0,K13,K13-K21)</f>
        <v>0</v>
      </c>
      <c r="L26" s="209">
        <f>IF(L13-L21&lt;0,L13,L13-L21)</f>
        <v>0</v>
      </c>
      <c r="M26" s="325"/>
      <c r="O26" s="209">
        <f>IF(O13-O21&lt;0,O13,O13-O21)</f>
        <v>0</v>
      </c>
      <c r="P26" s="209">
        <f>IF(P13-P21&lt;0,P13,P13-P21)</f>
        <v>0</v>
      </c>
      <c r="Q26" s="97"/>
      <c r="R26" s="227" t="s">
        <v>188</v>
      </c>
      <c r="S26" s="228">
        <f>IF(S4&gt;0,IF(S24*12+Model!L34&gt;S3,IF(S2&lt;S4*Data!C18,(S24*12+Model!L34-S3)/S1,(S24*12+Model!L34)/S4),(S24*12+Model!L34)/S4),0)</f>
        <v>0.27925714285714287</v>
      </c>
      <c r="T26" s="304"/>
      <c r="U26" s="307"/>
    </row>
    <row r="27" spans="1:41" x14ac:dyDescent="0.15">
      <c r="A27" s="323" t="s">
        <v>179</v>
      </c>
      <c r="C27" s="209">
        <f>IF(C14-C22&lt;0,C14,C14-C22)</f>
        <v>0</v>
      </c>
      <c r="D27" s="209">
        <f>IF(D14-D22&lt;0,D14,D14-D22)</f>
        <v>0</v>
      </c>
      <c r="E27" s="96"/>
      <c r="F27" s="96"/>
      <c r="G27" s="209">
        <f>IF(G14-G22&lt;0,G14,G14-G22)</f>
        <v>0</v>
      </c>
      <c r="H27" s="209">
        <f>IF(H14-H22&lt;0,H14,H14-H22)</f>
        <v>0</v>
      </c>
      <c r="I27" s="96"/>
      <c r="J27" s="96"/>
      <c r="K27" s="209">
        <f>IF(K14-K22&lt;0,K14,K14-K22)</f>
        <v>0</v>
      </c>
      <c r="L27" s="209">
        <f>IF(L14-L22&lt;0,L14,L14-L22)</f>
        <v>0</v>
      </c>
      <c r="M27" s="96"/>
      <c r="N27" s="96"/>
      <c r="O27" s="209">
        <f>IF(O14-O22&lt;0,O14,O14-O22)</f>
        <v>0</v>
      </c>
      <c r="P27" s="209">
        <f>IF(P14-P22&lt;0,P14,P14-P22)</f>
        <v>0</v>
      </c>
      <c r="Q27" s="97"/>
      <c r="R27" s="195" t="s">
        <v>190</v>
      </c>
      <c r="S27" s="229">
        <f>VLOOKUP(IF(S2&lt;S4*Data!C18,S1,S4),Data!$I$3:$K$7,3)</f>
        <v>0.4</v>
      </c>
      <c r="T27" s="97"/>
    </row>
    <row r="28" spans="1:41" x14ac:dyDescent="0.15">
      <c r="A28" s="697" t="s">
        <v>560</v>
      </c>
      <c r="C28" s="209">
        <f>IF((C15+C16)-(C23+C24)&lt;0,(C23+C24)-(C15+C16),(C15+C16)-(C23+C24))</f>
        <v>0</v>
      </c>
      <c r="D28" s="209">
        <f t="shared" ref="D28:P28" si="25">IF((D15+D16)-(D23+D24)&lt;0,(D23+D24)-(D15+D16),(D15+D16)-(D23+D24))</f>
        <v>0</v>
      </c>
      <c r="E28" s="96"/>
      <c r="F28" s="96"/>
      <c r="G28" s="209">
        <f t="shared" si="25"/>
        <v>0</v>
      </c>
      <c r="H28" s="209">
        <f t="shared" si="25"/>
        <v>0</v>
      </c>
      <c r="I28" s="96"/>
      <c r="J28" s="96"/>
      <c r="K28" s="209">
        <f t="shared" si="25"/>
        <v>0</v>
      </c>
      <c r="L28" s="209">
        <f t="shared" si="25"/>
        <v>0</v>
      </c>
      <c r="M28" s="96"/>
      <c r="N28" s="96"/>
      <c r="O28" s="209">
        <f t="shared" si="25"/>
        <v>0</v>
      </c>
      <c r="P28" s="209">
        <f t="shared" si="25"/>
        <v>0</v>
      </c>
      <c r="Q28" s="97"/>
      <c r="R28" s="96"/>
      <c r="S28" s="231"/>
      <c r="T28" s="232" t="s">
        <v>191</v>
      </c>
    </row>
    <row r="29" spans="1:41" x14ac:dyDescent="0.15">
      <c r="A29" s="324" t="s">
        <v>181</v>
      </c>
      <c r="C29" s="326">
        <f>C17-C25</f>
        <v>0</v>
      </c>
      <c r="D29" s="326">
        <f t="shared" ref="D29:P29" si="26">D17-D25</f>
        <v>0</v>
      </c>
      <c r="E29" s="96"/>
      <c r="F29" s="96"/>
      <c r="G29" s="326">
        <f t="shared" si="26"/>
        <v>0</v>
      </c>
      <c r="H29" s="326">
        <f t="shared" si="26"/>
        <v>0</v>
      </c>
      <c r="I29" s="96"/>
      <c r="J29" s="96"/>
      <c r="K29" s="326">
        <f t="shared" si="26"/>
        <v>0</v>
      </c>
      <c r="L29" s="326">
        <f t="shared" si="26"/>
        <v>0</v>
      </c>
      <c r="M29" s="96"/>
      <c r="N29" s="96"/>
      <c r="O29" s="326">
        <f t="shared" si="26"/>
        <v>0</v>
      </c>
      <c r="P29" s="326">
        <f t="shared" si="26"/>
        <v>0</v>
      </c>
      <c r="Q29" s="97"/>
      <c r="R29" s="96"/>
      <c r="S29" s="231"/>
      <c r="T29" s="232"/>
    </row>
    <row r="30" spans="1:41" x14ac:dyDescent="0.15">
      <c r="A30" s="97"/>
      <c r="B30" s="97"/>
      <c r="C30" s="97"/>
      <c r="D30" s="97"/>
      <c r="E30" s="328"/>
      <c r="F30" s="328"/>
      <c r="G30" s="328"/>
      <c r="H30" s="328"/>
      <c r="I30" s="328"/>
      <c r="J30" s="328"/>
      <c r="K30" s="328"/>
      <c r="L30" s="328"/>
      <c r="M30" s="328"/>
      <c r="N30" s="328"/>
      <c r="O30" s="328"/>
      <c r="P30" s="328"/>
      <c r="Q30" s="97"/>
      <c r="R30" s="195" t="s">
        <v>192</v>
      </c>
      <c r="S30" s="359">
        <f>IF(Model!B52="Credit Card",0,MAX(0,ROUNDDOWN(MAX(S27*S4/12,IF(S2&lt;S4*Data!C18,(S27*(S4-S2)+S3)/12,0))-S15-Model!L34/12,0)))</f>
        <v>2333</v>
      </c>
      <c r="T30" s="359">
        <f>IF(OR(Model!B67="",Model!H67="",Model!I67="",NOT(V5)),0,MAX(0,ROUNDDOWN(MAX(S27*S4/12,IF(S2&lt;S4*Data!C18,(S27*(S4-S2)+S3)/12,0))-S15-Model!L34/12,0)))</f>
        <v>0</v>
      </c>
      <c r="U30" s="308"/>
    </row>
    <row r="31" spans="1:41" x14ac:dyDescent="0.15">
      <c r="A31" s="697" t="s">
        <v>52</v>
      </c>
      <c r="B31" s="326">
        <f>Model!G30</f>
        <v>0</v>
      </c>
      <c r="C31" s="326">
        <f>B31*Data!G28</f>
        <v>0</v>
      </c>
      <c r="D31" s="97"/>
      <c r="E31" s="328"/>
      <c r="F31" s="326">
        <f>Model!H30</f>
        <v>0</v>
      </c>
      <c r="G31" s="326">
        <f>F31*Data!G28</f>
        <v>0</v>
      </c>
      <c r="H31" s="328"/>
      <c r="I31" s="328"/>
      <c r="J31" s="326">
        <f>Model!I30</f>
        <v>0</v>
      </c>
      <c r="K31" s="326">
        <f>J31*Data!G28</f>
        <v>0</v>
      </c>
      <c r="L31" s="328"/>
      <c r="M31" s="328"/>
      <c r="N31" s="326">
        <f>Model!J30</f>
        <v>0</v>
      </c>
      <c r="O31" s="326">
        <f>N31*Data!G28</f>
        <v>0</v>
      </c>
      <c r="P31" s="328"/>
      <c r="Q31" s="97"/>
      <c r="R31" s="195" t="s">
        <v>193</v>
      </c>
      <c r="S31" s="196">
        <f>IF(OR(S30=0,Model!B52="Credit Card"),0,-PV(Model!H66/12,(Model!I66-IF(Model!J66="",0,Model!J66))*12,S30-IF(Model!K66="",0,Model!K66)))</f>
        <v>429689.83767850115</v>
      </c>
      <c r="T31" s="196">
        <f>IF(T30=0,0,-PV(Model!H67/12,(Model!I67-Model!J67)*12,T30-Model!K67))</f>
        <v>0</v>
      </c>
      <c r="U31" s="56"/>
    </row>
    <row r="32" spans="1:41" x14ac:dyDescent="0.15">
      <c r="A32" s="697" t="s">
        <v>54</v>
      </c>
      <c r="B32" s="326">
        <f>Model!G31</f>
        <v>0</v>
      </c>
      <c r="C32" s="326">
        <f>B32</f>
        <v>0</v>
      </c>
      <c r="D32" s="97"/>
      <c r="E32" s="328"/>
      <c r="F32" s="326">
        <f>Model!H31</f>
        <v>0</v>
      </c>
      <c r="G32" s="326">
        <f>F32</f>
        <v>0</v>
      </c>
      <c r="H32" s="328"/>
      <c r="I32" s="328"/>
      <c r="J32" s="326">
        <f>Model!I31</f>
        <v>0</v>
      </c>
      <c r="K32" s="326">
        <f>J32</f>
        <v>0</v>
      </c>
      <c r="L32" s="328"/>
      <c r="M32" s="328"/>
      <c r="N32" s="326">
        <f>Model!J31</f>
        <v>0</v>
      </c>
      <c r="O32" s="326">
        <f>N32</f>
        <v>0</v>
      </c>
      <c r="P32" s="328"/>
      <c r="Q32" s="97"/>
      <c r="R32" s="96"/>
      <c r="S32" s="226" t="s">
        <v>198</v>
      </c>
      <c r="T32" s="232" t="s">
        <v>199</v>
      </c>
    </row>
    <row r="33" spans="1:22" x14ac:dyDescent="0.15">
      <c r="A33" s="97"/>
      <c r="B33" s="97"/>
      <c r="C33" s="97"/>
      <c r="D33" s="97"/>
      <c r="E33" s="328"/>
      <c r="F33" s="328"/>
      <c r="G33" s="328"/>
      <c r="H33" s="328"/>
      <c r="I33" s="328"/>
      <c r="J33" s="328"/>
      <c r="K33" s="328"/>
      <c r="L33" s="328"/>
      <c r="M33" s="328"/>
      <c r="N33" s="328"/>
      <c r="O33" s="328"/>
      <c r="P33" s="328"/>
      <c r="Q33" s="97"/>
      <c r="R33" s="241" t="s">
        <v>201</v>
      </c>
      <c r="S33" s="199">
        <f>IF(V5,S41-S24,0)</f>
        <v>76.25</v>
      </c>
      <c r="T33" s="199">
        <f>IF(V5,S40-S24,0)</f>
        <v>76.25</v>
      </c>
    </row>
    <row r="34" spans="1:22" x14ac:dyDescent="0.15">
      <c r="A34" s="221" t="s">
        <v>183</v>
      </c>
      <c r="B34" s="222" t="s">
        <v>83</v>
      </c>
      <c r="C34" s="223" t="s">
        <v>184</v>
      </c>
      <c r="D34" s="222" t="s">
        <v>185</v>
      </c>
      <c r="E34" s="330" t="s">
        <v>186</v>
      </c>
      <c r="F34" s="222" t="s">
        <v>136</v>
      </c>
      <c r="G34" s="97"/>
      <c r="H34" s="224"/>
      <c r="I34" s="224"/>
      <c r="J34" s="224"/>
      <c r="K34" s="224"/>
      <c r="L34" s="224"/>
      <c r="M34" s="224"/>
      <c r="N34" s="224"/>
      <c r="O34" s="224"/>
      <c r="P34" s="224"/>
      <c r="Q34" s="97"/>
      <c r="R34" s="241" t="s">
        <v>203</v>
      </c>
      <c r="S34" s="365">
        <f>IF(V5,ROUNDDOWN((T41-S15),0),0)</f>
        <v>1705</v>
      </c>
      <c r="T34" s="97"/>
    </row>
    <row r="35" spans="1:22" x14ac:dyDescent="0.15">
      <c r="A35" s="84" t="s">
        <v>187</v>
      </c>
      <c r="B35" s="615">
        <f>IF(OR(Model!H10="",Model!H10=0),0,Model!H10)</f>
        <v>1</v>
      </c>
      <c r="C35" s="615">
        <f>IF(OR(Model!I10="",Model!I10=0),0,Model!I10)</f>
        <v>0</v>
      </c>
      <c r="D35" s="615">
        <f>IF(OR(Model!J10="",Model!J10=0),0,Model!J10)</f>
        <v>0</v>
      </c>
      <c r="E35" s="615">
        <f>IF(OR(Model!K10="",Model!K10=0),0,Model!K10)</f>
        <v>0</v>
      </c>
      <c r="F35" s="400">
        <f>SUM(B35:E35)</f>
        <v>1</v>
      </c>
      <c r="G35" s="97"/>
      <c r="H35" s="226"/>
      <c r="I35" s="226"/>
      <c r="J35" s="226"/>
      <c r="K35" s="226"/>
      <c r="L35" s="226"/>
      <c r="M35" s="226"/>
      <c r="N35" s="226"/>
      <c r="O35" s="226"/>
      <c r="P35" s="226"/>
      <c r="Q35" s="97"/>
      <c r="R35" s="96"/>
      <c r="S35" s="200"/>
      <c r="T35" s="232" t="s">
        <v>191</v>
      </c>
    </row>
    <row r="36" spans="1:22" x14ac:dyDescent="0.15">
      <c r="A36" s="84" t="s">
        <v>189</v>
      </c>
      <c r="B36" s="225">
        <f>IF(OR(Model!H11="",Model!H11=0),0,Model!H11)</f>
        <v>0</v>
      </c>
      <c r="C36" s="225">
        <f>IF(OR(Model!I11="",Model!I11=0),0,Model!I11)</f>
        <v>0</v>
      </c>
      <c r="D36" s="225">
        <f>IF(OR(Model!J11="",Model!J11=0),0,Model!J11)</f>
        <v>0</v>
      </c>
      <c r="E36" s="225">
        <f>IF(OR(Model!K11="",Model!K11=0),0,Model!K11)</f>
        <v>0</v>
      </c>
      <c r="F36" s="400">
        <f>SUM(B36:E36)</f>
        <v>0</v>
      </c>
      <c r="G36" s="97"/>
      <c r="H36" s="226"/>
      <c r="I36" s="226"/>
      <c r="J36" s="226"/>
      <c r="K36" s="226"/>
      <c r="L36" s="226"/>
      <c r="M36" s="226"/>
      <c r="N36" s="226"/>
      <c r="O36" s="226"/>
      <c r="P36" s="226"/>
      <c r="Q36" s="97"/>
      <c r="R36" s="247" t="s">
        <v>192</v>
      </c>
      <c r="S36" s="199">
        <f>IF(AND(U23,Model!B52&lt;&gt;"Credit Card"),MAX(-PMT(Model!H66/12,(Model!I66-IF(Model!J66="",0,Model!J66))*12,S37)+IF(Model!K66="",0,Model!K66),AN12),0)</f>
        <v>1705</v>
      </c>
      <c r="T36" s="199">
        <f>IF(OR(Model!B67="",Model!H67="",Model!I67="",NOT(V5)),0,MAX(-PMT(Model!H67/12,(Model!I67-Model!J67)*12,T37)+Model!K67,AN25))</f>
        <v>0</v>
      </c>
    </row>
    <row r="37" spans="1:22" x14ac:dyDescent="0.15">
      <c r="A37" s="420" t="s">
        <v>467</v>
      </c>
      <c r="B37" s="795">
        <f>IF(Model!$G$16="Household 1",$C$12+$C$31+$C$32)+IF(Model!$H$16="Household 1",$G$12+$G$31+$G$32)+IF(Model!$I$16="Household 1",$K$12+$K$31+$K$32)+IF(Model!$J$16="Household 1",$O$12+$O$31+$O$32)</f>
        <v>70000</v>
      </c>
      <c r="C37" s="795">
        <f>IF(Model!$G$16="Household 2",$C$12+$C$31+$C$32)+IF(Model!$H$16="Household 2",$G$12+$G$31+$G$32)+IF(Model!$I$16="Household 2",$K$12+$K$31+$K$32)+IF(Model!$J$16="Household 2",$O$12+$O$31+$O$32)</f>
        <v>0</v>
      </c>
      <c r="D37" s="795">
        <f>IF(Model!$G$16="Household 3",$C$12+$C$31+$C$32)+IF(Model!$H$16="Household 3",$G$12+$G$31+$G$32)+IF(Model!$I$16="Household 3",$K$12+$K$31+$K$32)+IF(Model!$J$16="Household 3",$O$12+$O$31+$O$32)</f>
        <v>0</v>
      </c>
      <c r="E37" s="795">
        <f>IF(Model!$G$16="Household 4",$C$12+$C$31+$C$32)+IF(Model!$H$16="Household 4",$G$12+$G$31+$G$32)+IF(Model!$I$16="Household 4",$K$12+$K$31+$K$32)+IF(Model!$J$16="Household 4",$O$12+$O$31+$O$32)</f>
        <v>0</v>
      </c>
      <c r="F37" s="796">
        <f>SUM(B37:E37)</f>
        <v>70000</v>
      </c>
      <c r="G37" s="97"/>
      <c r="H37" s="226"/>
      <c r="I37" s="226"/>
      <c r="J37" s="226"/>
      <c r="K37" s="226"/>
      <c r="L37" s="226"/>
      <c r="M37" s="226"/>
      <c r="N37" s="226"/>
      <c r="O37" s="226"/>
      <c r="P37" s="226"/>
      <c r="Q37" s="97"/>
      <c r="R37" s="247" t="s">
        <v>193</v>
      </c>
      <c r="S37" s="199">
        <f>IF(AND(U23,Model!B52&lt;&gt;"Credit Card"),MAX(ROUNDDOWN(PV(Model!H66/12,(Model!I66-IF(Model!J66="",0,Model!J66))*12,-(S34-IF(Model!K66="",0,Model!K66)),0),0),AO12),0)</f>
        <v>314025</v>
      </c>
      <c r="T37" s="199">
        <f>IF(OR(S34&lt;=0,Model!B67="",Model!H67="",Model!I67=""),0,IF(Model!H67&lt;=0,0,MAX(ROUNDDOWN(MIN(PV(Model!H67/12,(Model!I67-Model!J67)*12,-(S34-Model!K67),0)),0),AO25)))</f>
        <v>0</v>
      </c>
    </row>
    <row r="38" spans="1:22" x14ac:dyDescent="0.15">
      <c r="A38" s="420" t="s">
        <v>357</v>
      </c>
      <c r="B38" s="616">
        <f>IF(B35=0,0,IF(B35=1,VLOOKUP(B37,Data!$Q$23:$AC$43,3+MIN(3,B36))+IF(B36&gt;3,(B36-3)*VLOOKUP(B37,Data!$Q$23:$AC$43,7),0),VLOOKUP(B37,Data!$Q$23:$AC$43,8+MIN(3,B36))+IF(B36&gt;3,(B36-3)*VLOOKUP(B37,Data!$Q$23:$AC$43,12),0)+IF(B35&gt;2,(B35-2)*VLOOKUP(B37,Data!$Q$23:$AC$43,13),0)))</f>
        <v>1690</v>
      </c>
      <c r="C38" s="616">
        <f>IF(C35=0,0,IF(C35=1,VLOOKUP(C37,Data!$Q$23:$AC$43,3+MIN(3,C36))+IF(C36&gt;3,(C36-3)*VLOOKUP(C37,Data!$Q$23:$AC$43,7),0),VLOOKUP(C37,Data!$Q$23:$AC$43,8+MIN(3,C36))+IF(C36&gt;3,(C36-3)*VLOOKUP(C37,Data!$Q$23:$AC$43,12),0)+IF(C35&gt;2,(C35-2)*VLOOKUP(C37,Data!$Q$23:$AC$43,13),0)))</f>
        <v>0</v>
      </c>
      <c r="D38" s="616">
        <f>IF(D35=0,0,IF(D35=1,VLOOKUP(D37,Data!$Q$23:$AC$43,3+MIN(3,D36))+IF(D36&gt;3,(D36-3)*VLOOKUP(D37,Data!$Q$23:$AC$43,7),0),VLOOKUP(D37,Data!$Q$23:$AC$43,8+MIN(3,D36))+IF(D36&gt;3,(D36-3)*VLOOKUP(D37,Data!$Q$23:$AC$43,12),0)+IF(D35&gt;2,(D35-2)*VLOOKUP(D37,Data!$Q$23:$AC$43,13),0)))</f>
        <v>0</v>
      </c>
      <c r="E38" s="616">
        <f>IF(E35=0,0,IF(E35=1,VLOOKUP(E37,Data!$Q$23:$AC$43,3+MIN(3,E36))+IF(E36&gt;3,(E36-3)*VLOOKUP(E37,Data!$Q$23:$AC$43,7),0),VLOOKUP(E37,Data!$Q$23:$AC$43,8+MIN(3,E36))+IF(E36&gt;3,(E36-3)*VLOOKUP(E37,Data!$Q$23:$AC$43,12),0)+IF(E35&gt;2,(E35-2)*VLOOKUP(E37,Data!$Q$23:$AC$43,13),0)))</f>
        <v>0</v>
      </c>
      <c r="F38" s="796">
        <f t="shared" ref="F38:F39" si="27">SUM(B38:E38)</f>
        <v>1690</v>
      </c>
      <c r="G38" s="97"/>
      <c r="H38" s="230"/>
      <c r="I38" s="230"/>
      <c r="J38" s="230"/>
      <c r="K38" s="230"/>
      <c r="L38" s="230"/>
      <c r="M38" s="230"/>
      <c r="N38" s="230"/>
      <c r="O38" s="230"/>
      <c r="P38" s="230"/>
      <c r="Q38" s="97"/>
      <c r="R38" s="97"/>
      <c r="S38" s="97"/>
      <c r="T38" s="97"/>
    </row>
    <row r="39" spans="1:22" x14ac:dyDescent="0.15">
      <c r="A39" s="420" t="s">
        <v>358</v>
      </c>
      <c r="B39" s="613">
        <f>IF(OR(Model!H12="",Model!H12=0),0,Model!H12)</f>
        <v>3000</v>
      </c>
      <c r="C39" s="613">
        <f>IF(OR(Model!I12="",Model!I12=0),0,Model!I12)</f>
        <v>0</v>
      </c>
      <c r="D39" s="613">
        <f>IF(OR(Model!J12="",Model!J12=0),0,Model!J12)</f>
        <v>0</v>
      </c>
      <c r="E39" s="617">
        <f>IF(OR(Model!K12="",Model!K12=0),0,Model!K12)</f>
        <v>0</v>
      </c>
      <c r="F39" s="796">
        <f t="shared" si="27"/>
        <v>3000</v>
      </c>
      <c r="G39" s="97"/>
      <c r="H39" s="230"/>
      <c r="I39" s="230"/>
      <c r="J39" s="614"/>
      <c r="K39" s="230"/>
      <c r="L39" s="230"/>
      <c r="M39" s="230"/>
      <c r="N39" s="230"/>
      <c r="O39" s="230"/>
      <c r="P39" s="230"/>
      <c r="Q39" s="97"/>
      <c r="R39" s="96"/>
      <c r="S39" s="251"/>
      <c r="T39" s="252" t="s">
        <v>204</v>
      </c>
    </row>
    <row r="40" spans="1:22" x14ac:dyDescent="0.15">
      <c r="A40" s="233" t="s">
        <v>136</v>
      </c>
      <c r="B40" s="401">
        <f>MAX(B38:B39)</f>
        <v>3000</v>
      </c>
      <c r="C40" s="401">
        <f>MAX(C38:C39)</f>
        <v>0</v>
      </c>
      <c r="D40" s="401">
        <f>MAX(D38:D39)</f>
        <v>0</v>
      </c>
      <c r="E40" s="401">
        <f>MAX(E38:E39)</f>
        <v>0</v>
      </c>
      <c r="F40" s="603">
        <f>SUM(B40:E40)</f>
        <v>3000</v>
      </c>
      <c r="G40" s="97"/>
      <c r="H40" s="97"/>
      <c r="I40" s="97"/>
      <c r="J40" s="97"/>
      <c r="K40" s="97"/>
      <c r="L40" s="97"/>
      <c r="M40" s="97"/>
      <c r="N40" s="97"/>
      <c r="O40" s="97"/>
      <c r="P40" s="97"/>
      <c r="Q40" s="97"/>
      <c r="R40" s="247" t="s">
        <v>205</v>
      </c>
      <c r="S40" s="253">
        <f>IF(V5,Model!L33-F40-Model!L34/12,0)</f>
        <v>1705.25</v>
      </c>
      <c r="T40" s="199">
        <f>IF(V5,Model!L33-((C29+G29+K29+O29)-(D29+H29+L29+P29))/12-F40-Model!L34/12,0)</f>
        <v>1705.25</v>
      </c>
    </row>
    <row r="41" spans="1:22" x14ac:dyDescent="0.15">
      <c r="A41" s="97"/>
      <c r="B41" s="97"/>
      <c r="C41" s="97"/>
      <c r="D41" s="97"/>
      <c r="E41" s="97"/>
      <c r="F41" s="97"/>
      <c r="G41" s="97"/>
      <c r="H41" s="97"/>
      <c r="I41" s="97"/>
      <c r="J41" s="97"/>
      <c r="K41" s="97"/>
      <c r="L41" s="97"/>
      <c r="M41" s="97"/>
      <c r="N41" s="97"/>
      <c r="O41" s="97"/>
      <c r="P41" s="97"/>
      <c r="Q41" s="97"/>
      <c r="R41" s="375" t="s">
        <v>262</v>
      </c>
      <c r="S41" s="253">
        <f>IF(S40&lt;=0,(1+S42)*S40,(1-S42)*S40)</f>
        <v>1705.25</v>
      </c>
      <c r="T41" s="199">
        <f>IF(T40&lt;=0,(1+S42)*T40,(1-S42)*T40)</f>
        <v>1705.25</v>
      </c>
    </row>
    <row r="42" spans="1:22" ht="28" x14ac:dyDescent="0.15">
      <c r="A42" s="234" t="s">
        <v>194</v>
      </c>
      <c r="B42" s="235" t="s">
        <v>195</v>
      </c>
      <c r="C42" s="235" t="s">
        <v>196</v>
      </c>
      <c r="D42" s="235" t="s">
        <v>197</v>
      </c>
      <c r="E42" s="97"/>
      <c r="F42" s="97"/>
      <c r="G42" s="97"/>
      <c r="H42" s="97"/>
      <c r="I42" s="97"/>
      <c r="J42" s="697" t="s">
        <v>412</v>
      </c>
      <c r="K42" s="97"/>
      <c r="L42" s="97"/>
      <c r="M42" s="97"/>
      <c r="N42" s="97"/>
      <c r="O42" s="97"/>
      <c r="P42" s="97"/>
      <c r="Q42" s="97"/>
      <c r="R42" s="375" t="s">
        <v>261</v>
      </c>
      <c r="S42" s="374">
        <f>VLOOKUP(S4,Data!M3:O5,3)</f>
        <v>0</v>
      </c>
    </row>
    <row r="43" spans="1:22" x14ac:dyDescent="0.15">
      <c r="A43" s="236" t="str">
        <f>Model!B52</f>
        <v>CBA Variable Rate Home Loan</v>
      </c>
      <c r="B43" s="237">
        <f>Model!I52</f>
        <v>30</v>
      </c>
      <c r="C43" s="237">
        <f>IF(Model!J52="",0,IF(A43="Line of Credit",MIN(Model!J52,Data!$J$30),IF(Model!E52="Owner Occupied",MIN(Model!J52,Data!$J$28),IF(Model!E52="Investment",MIN(Model!J52,Data!$J$29),0))))</f>
        <v>0</v>
      </c>
      <c r="D43" s="238">
        <f>IF(A43=0,0,MIN(VLOOKUP(A43,Data!$M$11:$N$22,2,0),B43)-C43)</f>
        <v>30</v>
      </c>
      <c r="E43" s="97"/>
      <c r="F43" s="239" t="s">
        <v>200</v>
      </c>
      <c r="G43" s="240" t="str">
        <f>IF(V5,IF(S26&lt;=S27,"PASS","FAIL"),"")</f>
        <v>PASS</v>
      </c>
      <c r="H43" s="97"/>
      <c r="I43" s="97"/>
      <c r="J43" s="704" t="s">
        <v>158</v>
      </c>
      <c r="K43" s="704" t="s">
        <v>159</v>
      </c>
      <c r="L43" s="97"/>
      <c r="M43" s="97"/>
      <c r="N43" s="97"/>
      <c r="O43" s="97"/>
      <c r="P43" s="97"/>
      <c r="Q43" s="97"/>
    </row>
    <row r="44" spans="1:22" x14ac:dyDescent="0.15">
      <c r="A44" s="242">
        <f>Model!B53</f>
        <v>0</v>
      </c>
      <c r="B44" s="243">
        <f>Model!I53</f>
        <v>0</v>
      </c>
      <c r="C44" s="243">
        <f>IF(Model!J53="",0,IF(A44="Line of Credit",MIN(Model!J53,Data!$J$30),IF(Model!E53="Owner Occupied",MIN(Model!J53,Data!$J$28),IF(Model!E53="Investment",MIN(Model!J53,Data!$J$29),0))))</f>
        <v>0</v>
      </c>
      <c r="D44" s="244">
        <f>IF(A44=0,0,MIN(VLOOKUP(A44,Data!$M$11:$N$22,2,0),B44)-C44)</f>
        <v>0</v>
      </c>
      <c r="E44" s="97"/>
      <c r="F44" s="245" t="s">
        <v>202</v>
      </c>
      <c r="G44" s="246" t="str">
        <f>IF(V5,IF(S33&gt;=0,"PASS",IF(T33&gt;=0,"REFER","FAIL")),"")</f>
        <v>PASS</v>
      </c>
      <c r="H44" s="97"/>
      <c r="I44" s="97"/>
      <c r="J44" s="699" t="b">
        <f>COUNTA('Rental Yield'!C7:H7,'Rental Yield'!D30,'Rental Yield'!F30:I30)=0</f>
        <v>1</v>
      </c>
      <c r="K44" s="699" t="b">
        <f>IF(J44,TRUE,COUNTA('Rental Yield'!F7,'Rental Yield'!G7,'Rental Yield'!H7)=3)</f>
        <v>1</v>
      </c>
      <c r="L44" s="97"/>
      <c r="M44" s="97"/>
      <c r="N44" s="97"/>
      <c r="O44" s="97"/>
      <c r="P44" s="97"/>
      <c r="Q44" s="97"/>
    </row>
    <row r="45" spans="1:22" x14ac:dyDescent="0.15">
      <c r="A45" s="242">
        <f>Model!B54</f>
        <v>0</v>
      </c>
      <c r="B45" s="243">
        <f>Model!I54</f>
        <v>0</v>
      </c>
      <c r="C45" s="243">
        <f>IF(Model!J54="",0,IF(A45="Line of Credit",MIN(Model!J54,Data!$J$30),IF(Model!E54="Owner Occupied",MIN(Model!J54,Data!$J$28),IF(Model!E54="Investment",MIN(Model!J54,Data!$J$29),0))))</f>
        <v>0</v>
      </c>
      <c r="D45" s="244">
        <f>IF(A45=0,0,MIN(VLOOKUP(A45,Data!$M$11:$N$22,2,0),B45)-C45)</f>
        <v>0</v>
      </c>
      <c r="E45" s="97"/>
      <c r="F45" s="97"/>
      <c r="G45" s="97"/>
      <c r="H45" s="97"/>
      <c r="I45" s="97"/>
      <c r="J45" s="700" t="b">
        <f>COUNTA('Rental Yield'!C8:H8,'Rental Yield'!D31,'Rental Yield'!F31:I31)=0</f>
        <v>1</v>
      </c>
      <c r="K45" s="700" t="b">
        <f>IF(J45,TRUE,COUNTA('Rental Yield'!F8,'Rental Yield'!G8,'Rental Yield'!H8)=3)</f>
        <v>1</v>
      </c>
      <c r="L45" s="97"/>
      <c r="M45" s="97"/>
      <c r="N45" s="97"/>
      <c r="O45" s="97"/>
      <c r="P45" s="97"/>
      <c r="Q45" s="97"/>
    </row>
    <row r="46" spans="1:22" x14ac:dyDescent="0.15">
      <c r="A46" s="242">
        <f>Model!B55</f>
        <v>0</v>
      </c>
      <c r="B46" s="243">
        <f>Model!I55</f>
        <v>0</v>
      </c>
      <c r="C46" s="243">
        <f>IF(Model!J55="",0,IF(A46="Line of Credit",MIN(Model!J55,Data!$J$30),IF(Model!E55="Owner Occupied",MIN(Model!J55,Data!$J$28),IF(Model!E55="Investment",MIN(Model!J55,Data!$J$29),0))))</f>
        <v>0</v>
      </c>
      <c r="D46" s="244">
        <f>IF(A46=0,0,MIN(VLOOKUP(A46,Data!$M$11:$N$22,2,0),B46)-C46)</f>
        <v>0</v>
      </c>
      <c r="E46" s="97"/>
      <c r="F46" s="97"/>
      <c r="G46" s="97"/>
      <c r="H46" s="97"/>
      <c r="I46" s="97"/>
      <c r="J46" s="700" t="b">
        <f>COUNTA('Rental Yield'!C9:H9,'Rental Yield'!D32,'Rental Yield'!F32:I32)=0</f>
        <v>1</v>
      </c>
      <c r="K46" s="700" t="b">
        <f>IF(J46,TRUE,COUNTA('Rental Yield'!F9,'Rental Yield'!G9,'Rental Yield'!H9)=3)</f>
        <v>1</v>
      </c>
      <c r="L46" s="97"/>
      <c r="M46" s="97"/>
      <c r="N46" s="97"/>
      <c r="O46" s="97"/>
      <c r="P46" s="97"/>
      <c r="Q46" s="97"/>
      <c r="S46" s="387" t="s">
        <v>456</v>
      </c>
    </row>
    <row r="47" spans="1:22" x14ac:dyDescent="0.15">
      <c r="A47" s="242">
        <f>Model!B56</f>
        <v>0</v>
      </c>
      <c r="B47" s="243">
        <f>Model!I56</f>
        <v>0</v>
      </c>
      <c r="C47" s="243">
        <f>IF(Model!J56="",0,IF(A47="Line of Credit",MIN(Model!J56,Data!$J$30),IF(Model!E56="Owner Occupied",MIN(Model!J56,Data!$J$28),IF(Model!E56="Investment",MIN(Model!J56,Data!$J$29),0))))</f>
        <v>0</v>
      </c>
      <c r="D47" s="244">
        <f>IF(A47=0,0,MIN(VLOOKUP(A47,Data!$M$11:$N$22,2,0),B47)-C47)</f>
        <v>0</v>
      </c>
      <c r="E47" s="97"/>
      <c r="F47" s="97"/>
      <c r="G47" s="97"/>
      <c r="H47" s="97"/>
      <c r="I47" s="97"/>
      <c r="J47" s="700" t="b">
        <f>COUNTA('Rental Yield'!C10:H10,'Rental Yield'!D33,'Rental Yield'!F33:I33)=0</f>
        <v>1</v>
      </c>
      <c r="K47" s="700" t="b">
        <f>IF(J47,TRUE,COUNTA('Rental Yield'!F10,'Rental Yield'!G10,'Rental Yield'!H10)=3)</f>
        <v>1</v>
      </c>
      <c r="L47" s="97"/>
      <c r="M47" s="97"/>
      <c r="N47" s="97"/>
      <c r="O47" s="97"/>
      <c r="P47" s="97"/>
      <c r="S47" s="387" t="s">
        <v>85</v>
      </c>
      <c r="T47" s="387" t="s">
        <v>86</v>
      </c>
      <c r="U47" s="387" t="s">
        <v>87</v>
      </c>
      <c r="V47" s="387" t="s">
        <v>88</v>
      </c>
    </row>
    <row r="48" spans="1:22" x14ac:dyDescent="0.15">
      <c r="A48" s="248">
        <f>Model!B57</f>
        <v>0</v>
      </c>
      <c r="B48" s="249">
        <f>Model!I57</f>
        <v>0</v>
      </c>
      <c r="C48" s="249">
        <f>IF(Model!J57="",0,IF(A48="Line of Credit",MIN(Model!J57,Data!$J$30),IF(Model!E57="Owner Occupied",MIN(Model!J57,Data!$J$28),IF(Model!E57="Investment",MIN(Model!J57,Data!$J$29),0))))</f>
        <v>0</v>
      </c>
      <c r="D48" s="250">
        <f>IF(A48=0,0,MIN(VLOOKUP(A48,Data!$M$11:$N$22,2,0),B48)-C48)</f>
        <v>0</v>
      </c>
      <c r="E48" s="97"/>
      <c r="F48" s="97"/>
      <c r="G48" s="97"/>
      <c r="H48" s="97"/>
      <c r="I48" s="97"/>
      <c r="J48" s="700" t="b">
        <f>COUNTA('Rental Yield'!C11:H11,'Rental Yield'!D34,'Rental Yield'!F34:I34)=0</f>
        <v>1</v>
      </c>
      <c r="K48" s="700" t="b">
        <f>IF(J48,TRUE,COUNTA('Rental Yield'!F11,'Rental Yield'!G11,'Rental Yield'!H11)=3)</f>
        <v>1</v>
      </c>
      <c r="L48" s="97"/>
      <c r="M48" s="97"/>
      <c r="N48" s="97"/>
      <c r="O48" s="97"/>
      <c r="P48" s="97"/>
      <c r="R48" s="387" t="s">
        <v>158</v>
      </c>
      <c r="S48" t="b">
        <f>COUNTA('Net To Gross'!C8:C12,'Net To Gross'!C15,'Net To Gross'!C18:C22)=0</f>
        <v>1</v>
      </c>
      <c r="T48" t="b">
        <f>COUNTA('Net To Gross'!D8:D12,'Net To Gross'!D15,'Net To Gross'!D18:D22)=0</f>
        <v>1</v>
      </c>
      <c r="U48" t="b">
        <f>COUNTA('Net To Gross'!E8:E12,'Net To Gross'!E15,'Net To Gross'!E18:E22)=0</f>
        <v>1</v>
      </c>
      <c r="V48" t="b">
        <f>COUNTA('Net To Gross'!F8:F12,'Net To Gross'!F15,'Net To Gross'!F18:F22)=0</f>
        <v>1</v>
      </c>
    </row>
    <row r="49" spans="1:22" x14ac:dyDescent="0.15">
      <c r="A49" s="97"/>
      <c r="B49" s="97"/>
      <c r="C49" s="97"/>
      <c r="D49" s="97"/>
      <c r="E49" s="97"/>
      <c r="F49" s="97"/>
      <c r="G49" s="97"/>
      <c r="H49" s="97"/>
      <c r="I49" s="97"/>
      <c r="J49" s="700" t="b">
        <f>COUNTA('Rental Yield'!C12:H12,'Rental Yield'!D35,'Rental Yield'!F35:I35)=0</f>
        <v>1</v>
      </c>
      <c r="K49" s="700" t="b">
        <f>IF(J49,TRUE,COUNTA('Rental Yield'!F12,'Rental Yield'!G12,'Rental Yield'!H12)=3)</f>
        <v>1</v>
      </c>
      <c r="L49" s="97"/>
      <c r="M49" s="97"/>
      <c r="N49" s="97"/>
      <c r="O49" s="97"/>
      <c r="P49" s="97"/>
      <c r="R49" s="387" t="s">
        <v>159</v>
      </c>
      <c r="S49" t="b">
        <f>AND('Net To Gross'!C10&lt;&gt;"",'Net To Gross'!C15&lt;&gt;"")</f>
        <v>0</v>
      </c>
      <c r="T49" t="b">
        <f>AND('Net To Gross'!D10&lt;&gt;"",'Net To Gross'!D15&lt;&gt;"")</f>
        <v>0</v>
      </c>
      <c r="U49" t="b">
        <f>AND('Net To Gross'!E10&lt;&gt;"",'Net To Gross'!E15&lt;&gt;"")</f>
        <v>0</v>
      </c>
      <c r="V49" t="b">
        <f>AND('Net To Gross'!F10&lt;&gt;"",'Net To Gross'!F15&lt;&gt;"")</f>
        <v>0</v>
      </c>
    </row>
    <row r="50" spans="1:22" x14ac:dyDescent="0.15">
      <c r="A50" s="855" t="s">
        <v>505</v>
      </c>
      <c r="B50" s="856"/>
      <c r="C50" s="96"/>
      <c r="D50" s="96"/>
      <c r="E50" s="96"/>
      <c r="F50" s="96"/>
      <c r="G50" s="97"/>
      <c r="H50" s="97"/>
      <c r="I50" s="97"/>
      <c r="J50" s="700" t="b">
        <f>COUNTA('Rental Yield'!C13:H13,'Rental Yield'!D36,'Rental Yield'!F36:I36)=0</f>
        <v>1</v>
      </c>
      <c r="K50" s="700" t="b">
        <f>IF(J50,TRUE,COUNTA('Rental Yield'!F13,'Rental Yield'!G13,'Rental Yield'!H13)=3)</f>
        <v>1</v>
      </c>
      <c r="L50" s="97"/>
      <c r="M50" s="97"/>
      <c r="N50" s="97"/>
      <c r="O50" s="97"/>
      <c r="P50" s="97"/>
    </row>
    <row r="51" spans="1:22" x14ac:dyDescent="0.15">
      <c r="A51" s="855" t="s">
        <v>502</v>
      </c>
      <c r="B51" s="857">
        <f t="array" ref="B51">SUM(IF((Model!E39:E45&lt;&gt;"Yes")*(Model!B39:B45&lt;&gt;"HECS"),X8:X14))+SUM(Model!G52:G57)</f>
        <v>300000</v>
      </c>
      <c r="C51" s="96"/>
      <c r="D51" s="96"/>
      <c r="E51" s="96"/>
      <c r="F51" s="254"/>
      <c r="G51" s="97"/>
      <c r="J51" s="700" t="b">
        <f>COUNTA('Rental Yield'!C14:H14,'Rental Yield'!D37,'Rental Yield'!F37:I37)=0</f>
        <v>1</v>
      </c>
      <c r="K51" s="701" t="b">
        <f>IF(J51,TRUE,COUNTA('Rental Yield'!F14,'Rental Yield'!G14,'Rental Yield'!H14)=3)</f>
        <v>1</v>
      </c>
    </row>
    <row r="52" spans="1:22" x14ac:dyDescent="0.15">
      <c r="A52" s="855" t="s">
        <v>503</v>
      </c>
      <c r="B52" s="857">
        <f>B12+F12+J12+N12-S3+S2+SUM(B31:B32)+SUM(F31:F32)+SUM(J31:J32)+SUM(N31:N32)</f>
        <v>70000</v>
      </c>
      <c r="J52" s="700" t="b">
        <f>COUNTA('Rental Yield'!C15:H15,'Rental Yield'!D38,'Rental Yield'!F38:I38)=0</f>
        <v>1</v>
      </c>
      <c r="K52" s="701" t="b">
        <f>IF(J52,TRUE,COUNTA('Rental Yield'!F15,'Rental Yield'!G15,'Rental Yield'!H15)=3)</f>
        <v>1</v>
      </c>
    </row>
    <row r="53" spans="1:22" x14ac:dyDescent="0.15">
      <c r="A53" s="855" t="s">
        <v>504</v>
      </c>
      <c r="B53" s="858">
        <f>IF(B52&gt;0,ROUND(B51/B52,2),0)</f>
        <v>4.29</v>
      </c>
      <c r="J53" s="700" t="b">
        <f>COUNTA('Rental Yield'!C16:H16,'Rental Yield'!D39,'Rental Yield'!F39:I39)=0</f>
        <v>1</v>
      </c>
      <c r="K53" s="701" t="b">
        <f>IF(J53,TRUE,COUNTA('Rental Yield'!F16,'Rental Yield'!G16,'Rental Yield'!H16)=3)</f>
        <v>1</v>
      </c>
    </row>
    <row r="54" spans="1:22" x14ac:dyDescent="0.15">
      <c r="J54" s="700" t="b">
        <f>COUNTA('Rental Yield'!C17:H17,'Rental Yield'!D40,'Rental Yield'!F40:I40)=0</f>
        <v>1</v>
      </c>
      <c r="K54" s="701" t="b">
        <f>IF(J54,TRUE,COUNTA('Rental Yield'!F17,'Rental Yield'!G17,'Rental Yield'!H17)=3)</f>
        <v>1</v>
      </c>
    </row>
    <row r="55" spans="1:22" x14ac:dyDescent="0.15">
      <c r="J55" s="700" t="b">
        <f>COUNTA('Rental Yield'!C18:H18,'Rental Yield'!D41,'Rental Yield'!F41:I41)=0</f>
        <v>1</v>
      </c>
      <c r="K55" s="701" t="b">
        <f>IF(J55,TRUE,COUNTA('Rental Yield'!F18,'Rental Yield'!G18,'Rental Yield'!H18)=3)</f>
        <v>1</v>
      </c>
    </row>
    <row r="56" spans="1:22" x14ac:dyDescent="0.15">
      <c r="J56" s="700" t="b">
        <f>COUNTA('Rental Yield'!C19:H19,'Rental Yield'!D42,'Rental Yield'!F42:I42)=0</f>
        <v>1</v>
      </c>
      <c r="K56" s="701" t="b">
        <f>IF(J56,TRUE,COUNTA('Rental Yield'!F19,'Rental Yield'!G19,'Rental Yield'!H19)=3)</f>
        <v>1</v>
      </c>
    </row>
    <row r="57" spans="1:22" x14ac:dyDescent="0.15">
      <c r="J57" s="700" t="b">
        <f>COUNTA('Rental Yield'!C20:H20,'Rental Yield'!D43,'Rental Yield'!F43:I43)=0</f>
        <v>1</v>
      </c>
      <c r="K57" s="701" t="b">
        <f>IF(J57,TRUE,COUNTA('Rental Yield'!F20,'Rental Yield'!G20,'Rental Yield'!H20)=3)</f>
        <v>1</v>
      </c>
    </row>
    <row r="58" spans="1:22" x14ac:dyDescent="0.15">
      <c r="J58" s="700" t="b">
        <f>COUNTA('Rental Yield'!C21:H21,'Rental Yield'!D44,'Rental Yield'!F44:I44)=0</f>
        <v>1</v>
      </c>
      <c r="K58" s="701" t="b">
        <f>IF(J58,TRUE,COUNTA('Rental Yield'!F21,'Rental Yield'!G21,'Rental Yield'!H21)=3)</f>
        <v>1</v>
      </c>
    </row>
    <row r="59" spans="1:22" x14ac:dyDescent="0.15">
      <c r="J59" s="700" t="b">
        <f>COUNTA('Rental Yield'!C22:H22,'Rental Yield'!D45,'Rental Yield'!F45:I45)=0</f>
        <v>1</v>
      </c>
      <c r="K59" s="701" t="b">
        <f>IF(J59,TRUE,COUNTA('Rental Yield'!F22,'Rental Yield'!G22,'Rental Yield'!H22)=3)</f>
        <v>1</v>
      </c>
    </row>
    <row r="60" spans="1:22" x14ac:dyDescent="0.15">
      <c r="J60" s="700" t="b">
        <f>COUNTA('Rental Yield'!C23:H23,'Rental Yield'!D46,'Rental Yield'!F46:I46)=0</f>
        <v>1</v>
      </c>
      <c r="K60" s="701" t="b">
        <f>IF(J60,TRUE,COUNTA('Rental Yield'!F23,'Rental Yield'!G23,'Rental Yield'!H23)=3)</f>
        <v>1</v>
      </c>
    </row>
    <row r="61" spans="1:22" x14ac:dyDescent="0.15">
      <c r="J61" s="700" t="b">
        <f>COUNTA('Rental Yield'!C24:H24,'Rental Yield'!D47,'Rental Yield'!F47:I47)=0</f>
        <v>1</v>
      </c>
      <c r="K61" s="701" t="b">
        <f>IF(J61,TRUE,COUNTA('Rental Yield'!F24,'Rental Yield'!G24,'Rental Yield'!H24)=3)</f>
        <v>1</v>
      </c>
    </row>
    <row r="62" spans="1:22" x14ac:dyDescent="0.15">
      <c r="J62" s="700" t="b">
        <f>COUNTA('Rental Yield'!C25:H25,'Rental Yield'!D48,'Rental Yield'!F48:I48)=0</f>
        <v>1</v>
      </c>
      <c r="K62" s="701" t="b">
        <f>IF(J62,TRUE,COUNTA('Rental Yield'!F25,'Rental Yield'!G25,'Rental Yield'!H25)=3)</f>
        <v>1</v>
      </c>
    </row>
    <row r="63" spans="1:22" x14ac:dyDescent="0.15">
      <c r="J63" s="702" t="b">
        <f>COUNTA('Rental Yield'!C26:H26,'Rental Yield'!D49,'Rental Yield'!F49:I49)=0</f>
        <v>1</v>
      </c>
      <c r="K63" s="703" t="b">
        <f>IF(J63,TRUE,COUNTA('Rental Yield'!F26,'Rental Yield'!G26,'Rental Yield'!H26)=3)</f>
        <v>1</v>
      </c>
    </row>
    <row r="64" spans="1:22" x14ac:dyDescent="0.15">
      <c r="J64" s="698" t="b">
        <f>AND(J44:J63)</f>
        <v>1</v>
      </c>
      <c r="K64" s="698" t="b">
        <f>AND(K44:K63)</f>
        <v>1</v>
      </c>
    </row>
  </sheetData>
  <sheetProtection algorithmName="SHA-512" hashValue="sPX0zrsB8MWtKA5KPrXJVGuj1j+GfcgqP+tWaHSmrnnXqSa6cm5IiFjfNHG9KbhS10VWSNBuNDgGbjYXqYRTRg==" saltValue="UV6T8WT/+mqqFkNMm5f4jg==" spinCount="100000" sheet="1" objects="1" scenarios="1"/>
  <customSheetViews>
    <customSheetView guid="{878686E5-D823-11D7-9EB6-0000F6FFAA54}" hiddenRows="1" state="hidden" showRuler="0" topLeftCell="A65536">
      <selection activeCell="P1" sqref="A1:IV65536"/>
      <pageMargins left="0.75" right="0.75" top="1" bottom="1" header="0.5" footer="0.5"/>
      <pageSetup paperSize="9" orientation="portrait" r:id="rId1"/>
      <headerFooter alignWithMargins="0"/>
    </customSheetView>
    <customSheetView guid="{47743E36-E3F1-4AC8-AB28-1C3AD83F86F4}" state="hidden" showRuler="0">
      <pageMargins left="0.75" right="0.75" top="1" bottom="1" header="0.5" footer="0.5"/>
      <pageSetup paperSize="9" orientation="portrait" r:id="rId2"/>
      <headerFooter alignWithMargins="0"/>
    </customSheetView>
  </customSheetViews>
  <phoneticPr fontId="27" type="noConversion"/>
  <pageMargins left="0.75" right="0.75" top="1" bottom="1" header="0.5" footer="0.5"/>
  <pageSetup paperSize="9" orientation="portrait" r:id="rId3"/>
  <headerFooter alignWithMargins="0">
    <oddFooter>&amp;L&amp;1#&amp;"Arial"&amp;9&amp;K000000</oddFooter>
  </headerFooter>
  <legacyDrawing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G52"/>
  <sheetViews>
    <sheetView zoomScale="80" zoomScaleNormal="80" workbookViewId="0">
      <selection activeCell="P30" sqref="P30"/>
    </sheetView>
  </sheetViews>
  <sheetFormatPr baseColWidth="10" defaultColWidth="9.1640625" defaultRowHeight="13" x14ac:dyDescent="0.15"/>
  <cols>
    <col min="1" max="1" width="25.6640625" style="543" customWidth="1"/>
    <col min="2" max="3" width="14.1640625" style="543" customWidth="1"/>
    <col min="4" max="4" width="3.6640625" style="543" customWidth="1"/>
    <col min="5" max="6" width="14.1640625" style="543" customWidth="1"/>
    <col min="7" max="7" width="6.6640625" style="543" customWidth="1"/>
    <col min="8" max="8" width="25.6640625" style="543" customWidth="1"/>
    <col min="9" max="10" width="14.1640625" style="543" customWidth="1"/>
    <col min="11" max="11" width="3.6640625" style="543" customWidth="1"/>
    <col min="12" max="13" width="14.1640625" style="543" customWidth="1"/>
    <col min="14" max="14" width="3.6640625" style="543" customWidth="1"/>
    <col min="15" max="16" width="10.6640625" style="543" customWidth="1"/>
    <col min="17" max="19" width="11.6640625" style="543" customWidth="1"/>
    <col min="20" max="20" width="3.5" style="543" customWidth="1"/>
    <col min="21" max="21" width="28.5" style="543" bestFit="1" customWidth="1"/>
    <col min="22" max="22" width="16.33203125" style="543" customWidth="1"/>
    <col min="23" max="26" width="12.1640625" style="543" customWidth="1"/>
    <col min="27" max="27" width="9.1640625" style="543"/>
    <col min="28" max="28" width="26.33203125" style="543" bestFit="1" customWidth="1"/>
    <col min="29" max="32" width="12.1640625" style="543" bestFit="1" customWidth="1"/>
    <col min="33" max="33" width="12.33203125" style="543" customWidth="1"/>
    <col min="34" max="16384" width="9.1640625" style="543"/>
  </cols>
  <sheetData>
    <row r="1" spans="1:33" x14ac:dyDescent="0.15">
      <c r="A1" s="1052" t="s">
        <v>312</v>
      </c>
      <c r="B1" s="1052"/>
      <c r="C1" s="1052"/>
      <c r="D1" s="1052"/>
      <c r="E1" s="1052"/>
      <c r="F1" s="1052"/>
      <c r="H1" s="1052" t="s">
        <v>313</v>
      </c>
      <c r="I1" s="1052"/>
      <c r="J1" s="1052"/>
      <c r="K1" s="1052"/>
      <c r="L1" s="1052"/>
      <c r="M1" s="1052"/>
      <c r="O1" s="205" t="s">
        <v>314</v>
      </c>
      <c r="P1"/>
      <c r="Q1"/>
      <c r="R1"/>
      <c r="S1"/>
      <c r="U1" s="544" t="s">
        <v>285</v>
      </c>
      <c r="V1"/>
      <c r="W1"/>
      <c r="X1"/>
      <c r="Y1"/>
      <c r="Z1" s="9"/>
      <c r="AB1" s="544" t="s">
        <v>286</v>
      </c>
      <c r="AC1"/>
      <c r="AD1"/>
      <c r="AE1"/>
      <c r="AF1"/>
      <c r="AG1" s="9"/>
    </row>
    <row r="2" spans="1:33" ht="12.75" customHeight="1" x14ac:dyDescent="0.15">
      <c r="A2" s="390"/>
      <c r="B2" s="545" t="s">
        <v>85</v>
      </c>
      <c r="C2" s="546" t="s">
        <v>141</v>
      </c>
      <c r="D2" s="390"/>
      <c r="E2" s="545" t="s">
        <v>86</v>
      </c>
      <c r="F2" s="546" t="s">
        <v>141</v>
      </c>
      <c r="I2" s="545" t="s">
        <v>85</v>
      </c>
      <c r="J2" s="546" t="s">
        <v>141</v>
      </c>
      <c r="K2" s="390"/>
      <c r="L2" s="545" t="s">
        <v>86</v>
      </c>
      <c r="M2" s="546" t="s">
        <v>141</v>
      </c>
      <c r="O2" s="547" t="s">
        <v>158</v>
      </c>
      <c r="P2" s="547" t="s">
        <v>159</v>
      </c>
      <c r="Q2" s="547" t="s">
        <v>315</v>
      </c>
      <c r="R2" s="547" t="s">
        <v>159</v>
      </c>
      <c r="S2" s="848" t="s">
        <v>497</v>
      </c>
      <c r="U2" s="548" t="s">
        <v>183</v>
      </c>
      <c r="V2" s="373" t="s">
        <v>83</v>
      </c>
      <c r="W2" s="549" t="s">
        <v>184</v>
      </c>
      <c r="X2" s="373" t="s">
        <v>185</v>
      </c>
      <c r="Y2" s="549" t="s">
        <v>186</v>
      </c>
      <c r="Z2" s="373" t="s">
        <v>136</v>
      </c>
      <c r="AB2" s="548" t="s">
        <v>183</v>
      </c>
      <c r="AC2" s="373" t="s">
        <v>83</v>
      </c>
      <c r="AD2" s="549" t="s">
        <v>184</v>
      </c>
      <c r="AE2" s="373" t="s">
        <v>185</v>
      </c>
      <c r="AF2" s="549" t="s">
        <v>186</v>
      </c>
      <c r="AG2" s="373" t="s">
        <v>136</v>
      </c>
    </row>
    <row r="3" spans="1:33" x14ac:dyDescent="0.15">
      <c r="A3" s="390" t="s">
        <v>316</v>
      </c>
      <c r="B3" s="550">
        <f>Bridging!F17</f>
        <v>0</v>
      </c>
      <c r="C3" s="550">
        <f>B3</f>
        <v>0</v>
      </c>
      <c r="D3" s="390"/>
      <c r="E3" s="551">
        <f>Bridging!H17</f>
        <v>0</v>
      </c>
      <c r="F3" s="551">
        <f>E3</f>
        <v>0</v>
      </c>
      <c r="H3" s="543" t="s">
        <v>316</v>
      </c>
      <c r="I3" s="550">
        <f>Bridging!G17</f>
        <v>0</v>
      </c>
      <c r="J3" s="550">
        <f>I3</f>
        <v>0</v>
      </c>
      <c r="K3" s="390"/>
      <c r="L3" s="551">
        <f>Bridging!I17</f>
        <v>0</v>
      </c>
      <c r="M3" s="551">
        <f>L3</f>
        <v>0</v>
      </c>
      <c r="O3" s="626" t="b">
        <f>COUNTBLANK(Bridging!B39:K39)=10</f>
        <v>1</v>
      </c>
      <c r="P3" s="629" t="b">
        <f>IF(O3,TRUE,IF(OR(Bridging!B39="Credit Card",Bridging!B39="Overdraft",Bridging!B39="Commercial Bill"),AND(Bridging!F39&lt;&gt;"",Bridging!G39&lt;&gt;""),IF(Bridging!B39="Margin Loan",Bridging!G39&lt;&gt;"",IF(OR(Bridging!E39="With my funds",Bridging!E39="Add to bridging"),AND(Bridging!F39&lt;&gt;"",Bridging!G39&lt;&gt;""),IF(OR(Bridging!B39="Personal Loan",Bridging!B39="Lease",Bridging!B39="Hire Purchase",Bridging!B39="Other"),AND(Bridging!J39&lt;&gt;"",Bridging!K39&lt;&gt;""),IF(OR(Bridging!B39="CBA Variable Rate Home Loan",Bridging!B39="CBA Fixed Rate Home Loan",Bridging!B39="OFI home loan (Other financial institution)"),AND(Bridging!C39&lt;&gt;"",Bridging!F39&lt;&gt;"",Bridging!G39&lt;&gt;"",Bridging!H39&lt;&gt;"",Bridging!I39&lt;&gt;"",Bridging!K39&lt;&gt;""),IF(OR(Bridging!B39="CBA Line of Credit",Bridging!B39="OFI Line of Credit (Other financial institution)"),AND(Bridging!C39&lt;&gt;"",Bridging!F39&lt;&gt;"",Bridging!G39&lt;&gt;"",Bridging!I39&lt;&gt;"",Bridging!K39&lt;&gt;""),IF(Bridging!B39="HECS",Bridging!J39&lt;&gt;"",FALSE))))))))</f>
        <v>1</v>
      </c>
      <c r="Q3" s="623" t="b">
        <f>AND(Bridging!E39&lt;&gt;"With my funds",Bridging!B39&lt;&gt;"",Bridging!D39="Yes")</f>
        <v>0</v>
      </c>
      <c r="R3" s="552" t="b">
        <f>IF(NOT(Q3),TRUE,COUNTBLANK('Bridging Neg Gearing'!E8:F8)&lt;2)</f>
        <v>1</v>
      </c>
      <c r="S3" s="846">
        <f>IF(O3=FALSE,MAX(Bridging!F39:G39),0)</f>
        <v>0</v>
      </c>
      <c r="U3" s="8" t="s">
        <v>187</v>
      </c>
      <c r="V3" s="553">
        <f>IF(OR(Bridging!I9="",Bridging!I9=0),0,Bridging!I9)</f>
        <v>0</v>
      </c>
      <c r="W3" s="553">
        <f>IF(OR(Bridging!J9="",Bridging!J9=0),0,Bridging!J9)</f>
        <v>0</v>
      </c>
      <c r="X3" s="553">
        <f>IF(OR(Bridging!K9="",Bridging!K9=0),0,Bridging!K9)</f>
        <v>0</v>
      </c>
      <c r="Y3" s="553">
        <f>IF(OR(Bridging!L9="",Bridging!L9=0),0,Bridging!L9)</f>
        <v>0</v>
      </c>
      <c r="Z3" s="554">
        <f t="shared" ref="Z3:Z8" si="0">SUM(V3:Y3)</f>
        <v>0</v>
      </c>
      <c r="AB3" s="8" t="s">
        <v>187</v>
      </c>
      <c r="AC3" s="553">
        <f>IF(OR(Bridging!I9="",Bridging!I9=0),0,Bridging!I9)</f>
        <v>0</v>
      </c>
      <c r="AD3" s="553">
        <f>IF(OR(Bridging!J9="",Bridging!J9=0),0,Bridging!J9)</f>
        <v>0</v>
      </c>
      <c r="AE3" s="553">
        <f>IF(OR(Bridging!K9="",Bridging!K9=0),0,Bridging!K9)</f>
        <v>0</v>
      </c>
      <c r="AF3" s="553">
        <f>IF(OR(Bridging!L9="",Bridging!L9=0),0,Bridging!L9)</f>
        <v>0</v>
      </c>
      <c r="AG3" s="554">
        <f t="shared" ref="AG3:AG8" si="1">SUM(AC3:AF3)</f>
        <v>0</v>
      </c>
    </row>
    <row r="4" spans="1:33" x14ac:dyDescent="0.15">
      <c r="A4" s="390" t="s">
        <v>369</v>
      </c>
      <c r="B4" s="550">
        <f>Bridging!F18</f>
        <v>0</v>
      </c>
      <c r="C4" s="550">
        <f>B4*Data!$C$20</f>
        <v>0</v>
      </c>
      <c r="D4" s="390"/>
      <c r="E4" s="551">
        <f>Bridging!H18</f>
        <v>0</v>
      </c>
      <c r="F4" s="550">
        <f>E4*Data!$C$20</f>
        <v>0</v>
      </c>
      <c r="H4" s="390" t="s">
        <v>369</v>
      </c>
      <c r="I4" s="550">
        <f>Bridging!G18</f>
        <v>0</v>
      </c>
      <c r="J4" s="550">
        <f>I4*Data!$C$20</f>
        <v>0</v>
      </c>
      <c r="K4" s="390"/>
      <c r="L4" s="551">
        <f>Bridging!I18</f>
        <v>0</v>
      </c>
      <c r="M4" s="550">
        <f>L4*Data!$C$20</f>
        <v>0</v>
      </c>
      <c r="O4" s="627" t="b">
        <f>COUNTBLANK(Bridging!B40:K40)=10</f>
        <v>1</v>
      </c>
      <c r="P4" s="629" t="b">
        <f>IF(O4,TRUE,IF(OR(Bridging!B40="Credit Card",Bridging!B40="Overdraft",Bridging!B40="Commercial Bill"),AND(Bridging!F40&lt;&gt;"",Bridging!G40&lt;&gt;""),IF(Bridging!B40="Margin Loan",Bridging!G40&lt;&gt;"",IF(OR(Bridging!E40="With my funds",Bridging!E40="Add to bridging"),AND(Bridging!F40&lt;&gt;"",Bridging!G40&lt;&gt;""),IF(OR(Bridging!B40="Personal Loan",Bridging!B40="Lease",Bridging!B40="Hire Purchase",Bridging!B40="Other"),AND(Bridging!J40&lt;&gt;"",Bridging!K40&lt;&gt;""),IF(OR(Bridging!B40="CBA Variable Rate Home Loan",Bridging!B40="CBA Fixed Rate Home Loan",Bridging!B40="OFI home loan (Other financial institution)"),AND(Bridging!C40&lt;&gt;"",Bridging!F40&lt;&gt;"",Bridging!G40&lt;&gt;"",Bridging!H40&lt;&gt;"",Bridging!I40&lt;&gt;"",Bridging!K40&lt;&gt;""),IF(OR(Bridging!B40="CBA Line of Credit",Bridging!B40="OFI Line of Credit (Other financial institution)"),AND(Bridging!C40&lt;&gt;"",Bridging!F40&lt;&gt;"",Bridging!G40&lt;&gt;"",Bridging!I40&lt;&gt;"",Bridging!K40&lt;&gt;""),IF(Bridging!B40="HECS",Bridging!J40&lt;&gt;"",FALSE))))))))</f>
        <v>1</v>
      </c>
      <c r="Q4" s="624" t="b">
        <f>AND(Bridging!E40&lt;&gt;"With my funds",Bridging!B40&lt;&gt;"",Bridging!D40="Yes")</f>
        <v>0</v>
      </c>
      <c r="R4" s="637" t="b">
        <f>IF(NOT(Q4),TRUE,COUNTBLANK('Bridging Neg Gearing'!E9:F9)&lt;2)</f>
        <v>1</v>
      </c>
      <c r="S4" s="846">
        <f>IF(O4=FALSE,MAX(Bridging!F40:G40),0)</f>
        <v>0</v>
      </c>
      <c r="U4" s="8" t="s">
        <v>189</v>
      </c>
      <c r="V4" s="553">
        <f>IF(OR(Bridging!I10="",Bridging!I10=0),0,Bridging!I10)</f>
        <v>0</v>
      </c>
      <c r="W4" s="553">
        <f>IF(OR(Bridging!J10="",Bridging!J10=0),0,Bridging!J10)</f>
        <v>0</v>
      </c>
      <c r="X4" s="553">
        <f>IF(OR(Bridging!K10="",Bridging!K10=0),0,Bridging!K10)</f>
        <v>0</v>
      </c>
      <c r="Y4" s="553">
        <f>IF(OR(Bridging!L10="",Bridging!L10=0),0,Bridging!L10)</f>
        <v>0</v>
      </c>
      <c r="Z4" s="554">
        <f t="shared" si="0"/>
        <v>0</v>
      </c>
      <c r="AB4" s="8" t="s">
        <v>189</v>
      </c>
      <c r="AC4" s="553">
        <f>IF(OR(Bridging!I10="",Bridging!I10=0),0,Bridging!I10)</f>
        <v>0</v>
      </c>
      <c r="AD4" s="553">
        <f>IF(OR(Bridging!J10="",Bridging!J10=0),0,Bridging!J10)</f>
        <v>0</v>
      </c>
      <c r="AE4" s="553">
        <f>IF(OR(Bridging!K10="",Bridging!K10=0),0,Bridging!K10)</f>
        <v>0</v>
      </c>
      <c r="AF4" s="553">
        <f>IF(OR(Bridging!L10="",Bridging!L10=0),0,Bridging!L10)</f>
        <v>0</v>
      </c>
      <c r="AG4" s="554">
        <f t="shared" si="1"/>
        <v>0</v>
      </c>
    </row>
    <row r="5" spans="1:33" x14ac:dyDescent="0.15">
      <c r="A5" s="390" t="s">
        <v>270</v>
      </c>
      <c r="B5" s="550">
        <f>Bridging!F19</f>
        <v>0</v>
      </c>
      <c r="C5" s="550">
        <f>B5*Data!$C$21</f>
        <v>0</v>
      </c>
      <c r="D5" s="390"/>
      <c r="E5" s="551">
        <f>Bridging!H19</f>
        <v>0</v>
      </c>
      <c r="F5" s="550">
        <f>E5*Data!$C$21</f>
        <v>0</v>
      </c>
      <c r="H5" s="390" t="s">
        <v>270</v>
      </c>
      <c r="I5" s="550">
        <f>Bridging!G19</f>
        <v>0</v>
      </c>
      <c r="J5" s="550">
        <f>I5*Data!$C$21</f>
        <v>0</v>
      </c>
      <c r="K5" s="390"/>
      <c r="L5" s="551">
        <f>Bridging!I19</f>
        <v>0</v>
      </c>
      <c r="M5" s="550">
        <f>L5*Data!$C$21</f>
        <v>0</v>
      </c>
      <c r="O5" s="627" t="b">
        <f>COUNTBLANK(Bridging!B41:K41)=10</f>
        <v>1</v>
      </c>
      <c r="P5" s="629" t="b">
        <f>IF(O5,TRUE,IF(OR(Bridging!B41="Credit Card",Bridging!B41="Overdraft",Bridging!B41="Commercial Bill"),AND(Bridging!F41&lt;&gt;"",Bridging!G41&lt;&gt;""),IF(Bridging!B41="Margin Loan",Bridging!G41&lt;&gt;"",IF(OR(Bridging!E41="With my funds",Bridging!E41="Add to bridging"),AND(Bridging!F41&lt;&gt;"",Bridging!G41&lt;&gt;""),IF(OR(Bridging!B41="Personal Loan",Bridging!B41="Lease",Bridging!B41="Hire Purchase",Bridging!B41="Other"),AND(Bridging!J41&lt;&gt;"",Bridging!K41&lt;&gt;""),IF(OR(Bridging!B41="CBA Variable Rate Home Loan",Bridging!B41="CBA Fixed Rate Home Loan",Bridging!B41="OFI home loan (Other financial institution)"),AND(Bridging!C41&lt;&gt;"",Bridging!F41&lt;&gt;"",Bridging!G41&lt;&gt;"",Bridging!H41&lt;&gt;"",Bridging!I41&lt;&gt;"",Bridging!K41&lt;&gt;""),IF(OR(Bridging!B41="CBA Line of Credit",Bridging!B41="OFI Line of Credit (Other financial institution)"),AND(Bridging!C41&lt;&gt;"",Bridging!F41&lt;&gt;"",Bridging!G41&lt;&gt;"",Bridging!I41&lt;&gt;"",Bridging!K41&lt;&gt;""),IF(Bridging!B41="HECS",Bridging!J41&lt;&gt;"",FALSE))))))))</f>
        <v>1</v>
      </c>
      <c r="Q5" s="624" t="b">
        <f>AND(Bridging!E41&lt;&gt;"With my funds",Bridging!B41&lt;&gt;"",Bridging!D41="Yes")</f>
        <v>0</v>
      </c>
      <c r="R5" s="637" t="b">
        <f>IF(NOT(Q5),TRUE,COUNTBLANK('Bridging Neg Gearing'!E10:F10)&lt;2)</f>
        <v>1</v>
      </c>
      <c r="S5" s="846">
        <f>IF(O5=FALSE,MAX(Bridging!F41:G41),0)</f>
        <v>0</v>
      </c>
      <c r="U5" s="618" t="s">
        <v>467</v>
      </c>
      <c r="V5" s="803">
        <f>IF(Bridging!F16="Household 1",$C$12+$C$29+$C$30)+IF(Bridging!H16="Household 1",$F$12+$F$29+$F$30)</f>
        <v>0</v>
      </c>
      <c r="W5" s="803">
        <f>IF(Bridging!F16="Household 2",$C$12+$C$29+$C$30)+IF(Bridging!H16="Household 2",$F$12+$F$29+$F$30)</f>
        <v>0</v>
      </c>
      <c r="X5" s="803">
        <f>IF(Bridging!F16="Household 3",$C$12+$C$29+$C$30)+IF(Bridging!H16="Household 3",$F$12+$F$29+$F$30)</f>
        <v>0</v>
      </c>
      <c r="Y5" s="803">
        <f>IF(Bridging!F16="Household 4",$C$12+$C$29+$C$30)+IF(Bridging!H16="Household 4",$F$12+$F$29+$F$30)</f>
        <v>0</v>
      </c>
      <c r="Z5" s="621">
        <f t="shared" si="0"/>
        <v>0</v>
      </c>
      <c r="AB5" s="618" t="s">
        <v>467</v>
      </c>
      <c r="AC5" s="803">
        <f>IF(Bridging!G16="Household 1",$J$12+$J$29+$J$30)+IF(Bridging!I16="Household 1",$M$12+$M$29+$M$30)</f>
        <v>0</v>
      </c>
      <c r="AD5" s="803">
        <f>IF(Bridging!G16="Household 2",$J$12+$J$29+$J$30)+IF(Bridging!I16="Household 2",$M$12+$M$29+$M$30)</f>
        <v>0</v>
      </c>
      <c r="AE5" s="803">
        <f>IF(Bridging!G16="Household 3",$J$12+$J$29+$J$30)+IF(Bridging!I16="Household 3",$M$12+$M$29+$M$30)</f>
        <v>0</v>
      </c>
      <c r="AF5" s="803">
        <f>IF(Bridging!G16="Household 4",$J$12+$J$29+$J$30)+IF(Bridging!I16="Household 4",$M$12+$M$29+$M$30)</f>
        <v>0</v>
      </c>
      <c r="AG5" s="621">
        <f t="shared" si="1"/>
        <v>0</v>
      </c>
    </row>
    <row r="6" spans="1:33" x14ac:dyDescent="0.15">
      <c r="A6" s="390" t="s">
        <v>34</v>
      </c>
      <c r="B6" s="550">
        <f>Bridging!F20</f>
        <v>0</v>
      </c>
      <c r="C6" s="550">
        <f>B6</f>
        <v>0</v>
      </c>
      <c r="D6" s="390"/>
      <c r="E6" s="551">
        <f>Bridging!H20</f>
        <v>0</v>
      </c>
      <c r="F6" s="550">
        <f>E6</f>
        <v>0</v>
      </c>
      <c r="H6" s="543" t="s">
        <v>34</v>
      </c>
      <c r="I6" s="550">
        <f>Bridging!G20</f>
        <v>0</v>
      </c>
      <c r="J6" s="550">
        <f>I6</f>
        <v>0</v>
      </c>
      <c r="K6" s="390"/>
      <c r="L6" s="551">
        <f>Bridging!I20</f>
        <v>0</v>
      </c>
      <c r="M6" s="550">
        <f>L6</f>
        <v>0</v>
      </c>
      <c r="O6" s="627" t="b">
        <f>COUNTBLANK(Bridging!B42:K42)=10</f>
        <v>1</v>
      </c>
      <c r="P6" s="629" t="b">
        <f>IF(O6,TRUE,IF(OR(Bridging!B42="Credit Card",Bridging!B42="Overdraft",Bridging!B42="Commercial Bill"),AND(Bridging!F42&lt;&gt;"",Bridging!G42&lt;&gt;""),IF(Bridging!B42="Margin Loan",Bridging!G42&lt;&gt;"",IF(OR(Bridging!E42="With my funds",Bridging!E42="Add to bridging"),AND(Bridging!F42&lt;&gt;"",Bridging!G42&lt;&gt;""),IF(OR(Bridging!B42="Personal Loan",Bridging!B42="Lease",Bridging!B42="Hire Purchase",Bridging!B42="Other"),AND(Bridging!J42&lt;&gt;"",Bridging!K42&lt;&gt;""),IF(OR(Bridging!B42="CBA Variable Rate Home Loan",Bridging!B42="CBA Fixed Rate Home Loan",Bridging!B42="OFI home loan (Other financial institution)"),AND(Bridging!C42&lt;&gt;"",Bridging!F42&lt;&gt;"",Bridging!G42&lt;&gt;"",Bridging!H42&lt;&gt;"",Bridging!I42&lt;&gt;"",Bridging!K42&lt;&gt;""),IF(OR(Bridging!B42="CBA Line of Credit",Bridging!B42="OFI Line of Credit (Other financial institution)"),AND(Bridging!C42&lt;&gt;"",Bridging!F42&lt;&gt;"",Bridging!G42&lt;&gt;"",Bridging!I42&lt;&gt;"",Bridging!K42&lt;&gt;""),IF(Bridging!B42="HECS",Bridging!J42&lt;&gt;"",FALSE))))))))</f>
        <v>1</v>
      </c>
      <c r="Q6" s="624" t="b">
        <f>AND(Bridging!E42&lt;&gt;"With my funds",Bridging!B42&lt;&gt;"",Bridging!D42="Yes")</f>
        <v>0</v>
      </c>
      <c r="R6" s="637" t="b">
        <f>IF(NOT(Q6),TRUE,COUNTBLANK('Bridging Neg Gearing'!E11:F11)&lt;2)</f>
        <v>1</v>
      </c>
      <c r="S6" s="846">
        <f>IF(O6=FALSE,MAX(Bridging!F42:G42),0)</f>
        <v>0</v>
      </c>
      <c r="U6" s="618" t="s">
        <v>356</v>
      </c>
      <c r="V6" s="803">
        <f>IF(V3=0,0,IF(V3=1,VLOOKUP(V5,Data!$Q$23:$AC$43,3+MIN(3,V4))+IF(V4&gt;3,(V4-3)*VLOOKUP(V5,Data!$Q$23:$AC$43,7),0),VLOOKUP(V5,Data!$Q$23:$AC$43,8+MIN(3,V4))+IF(V4&gt;3,(V4-3)*VLOOKUP(V5,Data!$Q$23:$AC$43,12),0)+IF(V3&gt;2,(V3-2)*VLOOKUP(V5,Data!$Q$23:$AC$43,13),0)))</f>
        <v>0</v>
      </c>
      <c r="W6" s="803">
        <f>IF(W3=0,0,IF(W3=1,VLOOKUP(W5,Data!$Q$23:$AC$43,3+MIN(3,W4))+IF(W4&gt;3,(W4-3)*VLOOKUP(W5,Data!$Q$23:$AC$43,7),0),VLOOKUP(W5,Data!$Q$23:$AC$43,8+MIN(3,W4))+IF(W4&gt;3,(W4-3)*VLOOKUP(W5,Data!$Q$23:$AC$43,12),0)+IF(W3&gt;2,(W3-2)*VLOOKUP(W5,Data!$Q$23:$AC$43,13),0)))</f>
        <v>0</v>
      </c>
      <c r="X6" s="803">
        <f>IF(X3=0,0,IF(X3=1,VLOOKUP(X5,Data!$Q$23:$AC$43,3+MIN(3,X4))+IF(X4&gt;3,(X4-3)*VLOOKUP(X5,Data!$Q$23:$AC$43,7),0),VLOOKUP(X5,Data!$Q$23:$AC$43,8+MIN(3,X4))+IF(X4&gt;3,(X4-3)*VLOOKUP(X5,Data!$Q$23:$AC$43,12),0)+IF(X3&gt;2,(X3-2)*VLOOKUP(X5,Data!$Q$23:$AC$43,13),0)))</f>
        <v>0</v>
      </c>
      <c r="Y6" s="803">
        <f>IF(Y3=0,0,IF(Y3=1,VLOOKUP(Y5,Data!$Q$23:$AC$43,3+MIN(3,Y4))+IF(Y4&gt;3,(Y4-3)*VLOOKUP(Y5,Data!$Q$23:$AC$43,7),0),VLOOKUP(Y5,Data!$Q$23:$AC$43,8+MIN(3,Y4))+IF(Y4&gt;3,(Y4-3)*VLOOKUP(Y5,Data!$Q$23:$AC$43,12),0)+IF(Y3&gt;2,(Y3-2)*VLOOKUP(Y5,Data!$Q$23:$AC$43,13),0)))</f>
        <v>0</v>
      </c>
      <c r="Z6" s="621">
        <f t="shared" si="0"/>
        <v>0</v>
      </c>
      <c r="AB6" s="618" t="s">
        <v>356</v>
      </c>
      <c r="AC6" s="803">
        <f>IF(AC3=0,0,IF(AC3=1,VLOOKUP(AC5,Data!$Q$23:$AC$43,3+MIN(3,AC4))+IF(AC4&gt;3,(AC4-3)*VLOOKUP(AC5,Data!$Q$23:$AC$43,7),0),VLOOKUP(AC5,Data!$Q$23:$AC$43,8+MIN(3,AC4))+IF(AC4&gt;3,(AC4-3)*VLOOKUP(AC5,Data!$Q$23:$AC$43,12),0)+IF(AC3&gt;2,(AC3-2)*VLOOKUP(AC5,Data!$Q$23:$AC$43,13),0)))</f>
        <v>0</v>
      </c>
      <c r="AD6" s="803">
        <f>IF(AD3=0,0,IF(AD3=1,VLOOKUP(AD5,Data!$Q$23:$AC$43,3+MIN(3,AD4))+IF(AD4&gt;3,(AD4-3)*VLOOKUP(AD5,Data!$Q$23:$AC$43,7),0),VLOOKUP(AD5,Data!$Q$23:$AC$43,8+MIN(3,AD4))+IF(AD4&gt;3,(AD4-3)*VLOOKUP(AD5,Data!$Q$23:$AC$43,12),0)+IF(AD3&gt;2,(AD3-2)*VLOOKUP(AD5,Data!$Q$23:$AC$43,13),0)))</f>
        <v>0</v>
      </c>
      <c r="AE6" s="803">
        <f>IF(AE3=0,0,IF(AE3=1,VLOOKUP(AE5,Data!$Q$23:$AC$43,3+MIN(3,AE4))+IF(AE4&gt;3,(AE4-3)*VLOOKUP(AE5,Data!$Q$23:$AC$43,7),0),VLOOKUP(AE5,Data!$Q$23:$AC$43,8+MIN(3,AE4))+IF(AE4&gt;3,(AE4-3)*VLOOKUP(AE5,Data!$Q$23:$AC$43,12),0)+IF(AE3&gt;2,(AE3-2)*VLOOKUP(AE5,Data!$Q$23:$AC$43,13),0)))</f>
        <v>0</v>
      </c>
      <c r="AF6" s="803">
        <f>IF(AF3=0,0,IF(AF3=1,VLOOKUP(AF5,Data!$Q$23:$AC$43,3+MIN(3,AF4))+IF(AF4&gt;3,(AF4-3)*VLOOKUP(AF5,Data!$Q$23:$AC$43,7),0),VLOOKUP(AF5,Data!$Q$23:$AC$43,8+MIN(3,AF4))+IF(AF4&gt;3,(AF4-3)*VLOOKUP(AF5,Data!$Q$23:$AC$43,12),0)+IF(AF3&gt;2,(AF3-2)*VLOOKUP(AF5,Data!$Q$23:$AC$43,13),0)))</f>
        <v>0</v>
      </c>
      <c r="AG6" s="621">
        <f t="shared" si="1"/>
        <v>0</v>
      </c>
    </row>
    <row r="7" spans="1:33" x14ac:dyDescent="0.15">
      <c r="A7" s="390" t="s">
        <v>35</v>
      </c>
      <c r="B7" s="550">
        <f>Bridging!F21</f>
        <v>0</v>
      </c>
      <c r="C7" s="550">
        <f>B7</f>
        <v>0</v>
      </c>
      <c r="D7" s="390"/>
      <c r="E7" s="551">
        <f>Bridging!H21</f>
        <v>0</v>
      </c>
      <c r="F7" s="550">
        <f>E7</f>
        <v>0</v>
      </c>
      <c r="H7" s="543" t="s">
        <v>35</v>
      </c>
      <c r="I7" s="550">
        <f>Bridging!G21</f>
        <v>0</v>
      </c>
      <c r="J7" s="550">
        <f>I7</f>
        <v>0</v>
      </c>
      <c r="K7" s="390"/>
      <c r="L7" s="551">
        <f>Bridging!I21</f>
        <v>0</v>
      </c>
      <c r="M7" s="550">
        <f>L7</f>
        <v>0</v>
      </c>
      <c r="O7" s="627" t="b">
        <f>COUNTBLANK(Bridging!B43:K43)=10</f>
        <v>1</v>
      </c>
      <c r="P7" s="629" t="b">
        <f>IF(O7,TRUE,IF(OR(Bridging!B43="Credit Card",Bridging!B43="Overdraft",Bridging!B43="Commercial Bill"),AND(Bridging!F43&lt;&gt;"",Bridging!G43&lt;&gt;""),IF(Bridging!B43="Margin Loan",Bridging!G43&lt;&gt;"",IF(OR(Bridging!E43="With my funds",Bridging!E43="Add to bridging"),AND(Bridging!F43&lt;&gt;"",Bridging!G43&lt;&gt;""),IF(OR(Bridging!B43="Personal Loan",Bridging!B43="Lease",Bridging!B43="Hire Purchase",Bridging!B43="Other"),AND(Bridging!J43&lt;&gt;"",Bridging!K43&lt;&gt;""),IF(OR(Bridging!B43="CBA Variable Rate Home Loan",Bridging!B43="CBA Fixed Rate Home Loan",Bridging!B43="OFI home loan (Other financial institution)"),AND(Bridging!C43&lt;&gt;"",Bridging!F43&lt;&gt;"",Bridging!G43&lt;&gt;"",Bridging!H43&lt;&gt;"",Bridging!I43&lt;&gt;"",Bridging!K43&lt;&gt;""),IF(OR(Bridging!B43="CBA Line of Credit",Bridging!B43="OFI Line of Credit (Other financial institution)"),AND(Bridging!C43&lt;&gt;"",Bridging!F43&lt;&gt;"",Bridging!G43&lt;&gt;"",Bridging!I43&lt;&gt;"",Bridging!K43&lt;&gt;""),IF(Bridging!B43="HECS",Bridging!J43&lt;&gt;"",FALSE))))))))</f>
        <v>1</v>
      </c>
      <c r="Q7" s="624" t="b">
        <f>AND(Bridging!E43&lt;&gt;"With my funds",Bridging!B43&lt;&gt;"",Bridging!D43="Yes")</f>
        <v>0</v>
      </c>
      <c r="R7" s="637" t="b">
        <f>IF(NOT(Q7),TRUE,COUNTBLANK('Bridging Neg Gearing'!E12:F12)&lt;2)</f>
        <v>1</v>
      </c>
      <c r="S7" s="846">
        <f>IF(O7=FALSE,MAX(Bridging!F43:G43),0)</f>
        <v>0</v>
      </c>
      <c r="U7" s="618" t="s">
        <v>355</v>
      </c>
      <c r="V7" s="804">
        <f>IF(OR(Bridging!I11="",Bridging!I11=0),0,Bridging!I11)</f>
        <v>0</v>
      </c>
      <c r="W7" s="804">
        <f>IF(OR(Bridging!J11="",Bridging!J11=0),0,Bridging!J11)</f>
        <v>0</v>
      </c>
      <c r="X7" s="804">
        <f>IF(OR(Bridging!K11="",Bridging!K11=0),0,Bridging!K11)</f>
        <v>0</v>
      </c>
      <c r="Y7" s="805">
        <f>IF(OR(Bridging!L11="",Bridging!L11=0),0,Bridging!L11)</f>
        <v>0</v>
      </c>
      <c r="Z7" s="622">
        <f t="shared" si="0"/>
        <v>0</v>
      </c>
      <c r="AB7" s="618" t="s">
        <v>355</v>
      </c>
      <c r="AC7" s="804">
        <f>IF(OR(Bridging!I11="",Bridging!I11=0),0,Bridging!I11)</f>
        <v>0</v>
      </c>
      <c r="AD7" s="804">
        <f>IF(OR(Bridging!J11="",Bridging!J11=0),0,Bridging!J11)</f>
        <v>0</v>
      </c>
      <c r="AE7" s="804">
        <f>IF(OR(Bridging!K11="",Bridging!K11=0),0,Bridging!K11)</f>
        <v>0</v>
      </c>
      <c r="AF7" s="804">
        <f>IF(OR(Bridging!L11="",Bridging!L11=0),0,Bridging!L11)</f>
        <v>0</v>
      </c>
      <c r="AG7" s="622">
        <f t="shared" si="1"/>
        <v>0</v>
      </c>
    </row>
    <row r="8" spans="1:33" x14ac:dyDescent="0.15">
      <c r="A8" s="390" t="s">
        <v>317</v>
      </c>
      <c r="B8" s="550">
        <f>Bridging!F22</f>
        <v>0</v>
      </c>
      <c r="C8" s="550">
        <f>B8*Data!$C$22</f>
        <v>0</v>
      </c>
      <c r="D8" s="390"/>
      <c r="E8" s="551">
        <f>Bridging!H22</f>
        <v>0</v>
      </c>
      <c r="F8" s="550">
        <f>E8*Data!$C$22</f>
        <v>0</v>
      </c>
      <c r="H8" s="543" t="s">
        <v>317</v>
      </c>
      <c r="I8" s="550">
        <f>Bridging!G22</f>
        <v>0</v>
      </c>
      <c r="J8" s="550">
        <f>I8*Data!$C$22</f>
        <v>0</v>
      </c>
      <c r="K8" s="390"/>
      <c r="L8" s="551">
        <f>Bridging!I22</f>
        <v>0</v>
      </c>
      <c r="M8" s="550">
        <f>L8*Data!$C$22</f>
        <v>0</v>
      </c>
      <c r="O8" s="627" t="b">
        <f>COUNTBLANK(Bridging!B44:K44)=10</f>
        <v>1</v>
      </c>
      <c r="P8" s="629" t="b">
        <f>IF(O8,TRUE,IF(OR(Bridging!B44="Credit Card",Bridging!B44="Overdraft",Bridging!B44="Commercial Bill"),AND(Bridging!F44&lt;&gt;"",Bridging!G44&lt;&gt;""),IF(Bridging!B44="Margin Loan",Bridging!G44&lt;&gt;"",IF(OR(Bridging!E44="With my funds",Bridging!E44="Add to bridging"),AND(Bridging!F44&lt;&gt;"",Bridging!G44&lt;&gt;""),IF(OR(Bridging!B44="Personal Loan",Bridging!B44="Lease",Bridging!B44="Hire Purchase",Bridging!B44="Other"),AND(Bridging!J44&lt;&gt;"",Bridging!K44&lt;&gt;""),IF(OR(Bridging!B44="CBA Variable Rate Home Loan",Bridging!B44="CBA Fixed Rate Home Loan",Bridging!B44="OFI home loan (Other financial institution)"),AND(Bridging!C44&lt;&gt;"",Bridging!F44&lt;&gt;"",Bridging!G44&lt;&gt;"",Bridging!H44&lt;&gt;"",Bridging!I44&lt;&gt;"",Bridging!K44&lt;&gt;""),IF(OR(Bridging!B44="CBA Line of Credit",Bridging!B44="OFI Line of Credit (Other financial institution)"),AND(Bridging!C44&lt;&gt;"",Bridging!F44&lt;&gt;"",Bridging!G44&lt;&gt;"",Bridging!I44&lt;&gt;"",Bridging!K44&lt;&gt;""),IF(Bridging!B44="HECS",Bridging!J44&lt;&gt;"",FALSE))))))))</f>
        <v>1</v>
      </c>
      <c r="Q8" s="624" t="b">
        <f>AND(Bridging!E44&lt;&gt;"With my funds",Bridging!B44&lt;&gt;"",Bridging!D44="Yes")</f>
        <v>0</v>
      </c>
      <c r="R8" s="637" t="b">
        <f>IF(NOT(Q8),TRUE,COUNTBLANK('Bridging Neg Gearing'!E13:F13)&lt;2)</f>
        <v>1</v>
      </c>
      <c r="S8" s="846">
        <f>IF(O8=FALSE,MAX(Bridging!F44:G44),0)</f>
        <v>0</v>
      </c>
      <c r="U8" s="555" t="s">
        <v>136</v>
      </c>
      <c r="V8" s="556">
        <f>MAX(V6:V7)</f>
        <v>0</v>
      </c>
      <c r="W8" s="556">
        <f>MAX(W6:W7)</f>
        <v>0</v>
      </c>
      <c r="X8" s="556">
        <f>MAX(X6:X7)</f>
        <v>0</v>
      </c>
      <c r="Y8" s="556">
        <f>MAX(Y6:Y7)</f>
        <v>0</v>
      </c>
      <c r="Z8" s="557">
        <f t="shared" si="0"/>
        <v>0</v>
      </c>
      <c r="AB8" s="555" t="s">
        <v>136</v>
      </c>
      <c r="AC8" s="556">
        <f>MAX(AC6:AC7)</f>
        <v>0</v>
      </c>
      <c r="AD8" s="556">
        <f>MAX(AD6:AD7)</f>
        <v>0</v>
      </c>
      <c r="AE8" s="556">
        <f>MAX(AE6:AE7)</f>
        <v>0</v>
      </c>
      <c r="AF8" s="556">
        <f>MAX(AF6:AF7)</f>
        <v>0</v>
      </c>
      <c r="AG8" s="557">
        <f t="shared" si="1"/>
        <v>0</v>
      </c>
    </row>
    <row r="9" spans="1:33" x14ac:dyDescent="0.15">
      <c r="A9" s="390" t="s">
        <v>37</v>
      </c>
      <c r="B9" s="550">
        <f>Bridging!F23</f>
        <v>0</v>
      </c>
      <c r="C9" s="550">
        <f>B9*Data!G30</f>
        <v>0</v>
      </c>
      <c r="D9" s="390"/>
      <c r="E9" s="551">
        <f>Bridging!H23</f>
        <v>0</v>
      </c>
      <c r="F9" s="551">
        <f>E9*Data!G30</f>
        <v>0</v>
      </c>
      <c r="H9" s="543" t="s">
        <v>37</v>
      </c>
      <c r="I9" s="550">
        <f>Bridging!G23</f>
        <v>0</v>
      </c>
      <c r="J9" s="550">
        <f>I9*Data!G30</f>
        <v>0</v>
      </c>
      <c r="K9" s="390"/>
      <c r="L9" s="551">
        <f>Bridging!I23</f>
        <v>0</v>
      </c>
      <c r="M9" s="551">
        <f>L9*Data!G30</f>
        <v>0</v>
      </c>
      <c r="O9" s="628" t="b">
        <f>COUNTBLANK(Bridging!B45:K45)=10</f>
        <v>1</v>
      </c>
      <c r="P9" s="630" t="b">
        <f>IF(O9,TRUE,IF(OR(Bridging!B45="Credit Card",Bridging!B45="Overdraft",Bridging!B45="Commercial Bill"),AND(Bridging!F45&lt;&gt;"",Bridging!G45&lt;&gt;""),IF(Bridging!B45="Margin Loan",Bridging!G45&lt;&gt;"",IF(OR(Bridging!E45="With my funds",Bridging!E45="Add to bridging"),AND(Bridging!F45&lt;&gt;"",Bridging!G45&lt;&gt;""),IF(OR(Bridging!B45="Personal Loan",Bridging!B45="Lease",Bridging!B45="Hire Purchase",Bridging!B45="Other"),AND(Bridging!J45&lt;&gt;"",Bridging!K45&lt;&gt;""),IF(OR(Bridging!B45="CBA Variable Rate Home Loan",Bridging!B45="CBA Fixed Rate Home Loan",Bridging!B45="OFI home loan (Other financial institution)"),AND(Bridging!C45&lt;&gt;"",Bridging!F45&lt;&gt;"",Bridging!G45&lt;&gt;"",Bridging!H45&lt;&gt;"",Bridging!I45&lt;&gt;"",Bridging!K45&lt;&gt;""),IF(OR(Bridging!B45="CBA Line of Credit",Bridging!B45="OFI Line of Credit (Other financial institution)"),AND(Bridging!C45&lt;&gt;"",Bridging!F45&lt;&gt;"",Bridging!G45&lt;&gt;"",Bridging!I45&lt;&gt;"",Bridging!K45&lt;&gt;""),IF(Bridging!B45="HECS",Bridging!J45&lt;&gt;"",FALSE))))))))</f>
        <v>1</v>
      </c>
      <c r="Q9" s="625" t="b">
        <f>AND(Bridging!E45&lt;&gt;"With my funds",Bridging!B45&lt;&gt;"",Bridging!D45="Yes")</f>
        <v>0</v>
      </c>
      <c r="R9" s="638" t="b">
        <f>IF(NOT(Q9),TRUE,COUNTBLANK('Bridging Neg Gearing'!E14:F14)&lt;2)</f>
        <v>1</v>
      </c>
      <c r="S9" s="847">
        <f>IF(O9=FALSE,MAX(Bridging!F45:G45),0)</f>
        <v>0</v>
      </c>
    </row>
    <row r="10" spans="1:33" x14ac:dyDescent="0.15">
      <c r="A10" s="390" t="s">
        <v>290</v>
      </c>
      <c r="B10" s="550">
        <f>Bridging!F24</f>
        <v>0</v>
      </c>
      <c r="C10" s="550">
        <f>B10</f>
        <v>0</v>
      </c>
      <c r="D10" s="390"/>
      <c r="E10" s="551">
        <f>Bridging!H24</f>
        <v>0</v>
      </c>
      <c r="F10" s="551">
        <f>E10</f>
        <v>0</v>
      </c>
      <c r="H10" s="543" t="s">
        <v>290</v>
      </c>
      <c r="I10" s="550">
        <f>Bridging!G24</f>
        <v>0</v>
      </c>
      <c r="J10" s="550">
        <f>I10</f>
        <v>0</v>
      </c>
      <c r="K10" s="390"/>
      <c r="L10" s="551">
        <f>Bridging!I24</f>
        <v>0</v>
      </c>
      <c r="M10" s="551">
        <f>L10</f>
        <v>0</v>
      </c>
      <c r="O10" s="561"/>
      <c r="P10" s="562" t="b">
        <f>AND(P3:P9)</f>
        <v>1</v>
      </c>
      <c r="Q10" s="562" t="b">
        <f>OR(Q3:Q9)</f>
        <v>0</v>
      </c>
      <c r="R10" s="562" t="b">
        <f>AND(R3:R9)</f>
        <v>1</v>
      </c>
      <c r="S10" s="562"/>
      <c r="V10" s="558" t="s">
        <v>285</v>
      </c>
      <c r="W10" s="558" t="s">
        <v>286</v>
      </c>
      <c r="Y10" s="9"/>
      <c r="Z10" s="402" t="s">
        <v>159</v>
      </c>
    </row>
    <row r="11" spans="1:33" x14ac:dyDescent="0.15">
      <c r="A11" s="390" t="s">
        <v>41</v>
      </c>
      <c r="B11" s="550">
        <f>Bridging!F25</f>
        <v>0</v>
      </c>
      <c r="C11" s="550">
        <f>B11</f>
        <v>0</v>
      </c>
      <c r="D11" s="390"/>
      <c r="E11" s="551">
        <f>Bridging!H25</f>
        <v>0</v>
      </c>
      <c r="F11" s="551">
        <f>E11</f>
        <v>0</v>
      </c>
      <c r="H11" s="543" t="s">
        <v>41</v>
      </c>
      <c r="I11" s="550">
        <f>Bridging!G25</f>
        <v>0</v>
      </c>
      <c r="J11" s="550">
        <f>I11</f>
        <v>0</v>
      </c>
      <c r="K11" s="390"/>
      <c r="L11" s="551">
        <f>Bridging!I25</f>
        <v>0</v>
      </c>
      <c r="M11" s="551">
        <f>L11</f>
        <v>0</v>
      </c>
      <c r="O11" s="561"/>
      <c r="P11" s="561"/>
      <c r="Q11" s="561"/>
      <c r="R11" s="561"/>
      <c r="S11" s="561"/>
      <c r="T11" s="564"/>
      <c r="U11" s="559" t="s">
        <v>221</v>
      </c>
      <c r="V11" s="596">
        <f>SUM(C3:C5,C8:C11,Bridging!F30:F31,F3:F5,F8:F11,Bridging!H30:H31)</f>
        <v>0</v>
      </c>
      <c r="W11" s="596">
        <f>SUM(J3:J5,J8:J11,Bridging!G30:G31,M3:M5,M8:M11,Bridging!I30:I31)</f>
        <v>0</v>
      </c>
      <c r="Y11" s="9" t="s">
        <v>318</v>
      </c>
      <c r="Z11" s="560" t="b">
        <f>AND(Bridging!K7,Bridging!I6&lt;&gt;"",Bridging!F16&lt;&gt;"",Bridging!J6="",Bridging!I10&lt;&gt;"",IF(Bridging!I6&gt;1,Bridging!J10&lt;&gt;"",TRUE),IF(Bridging!I6&gt;2,Bridging!K10&lt;&gt;"",TRUE),IF(Bridging!I6&gt;3,Bridging!L10&lt;&gt;"",TRUE))</f>
        <v>0</v>
      </c>
    </row>
    <row r="12" spans="1:33" s="564" customFormat="1" x14ac:dyDescent="0.15">
      <c r="A12" s="391" t="s">
        <v>44</v>
      </c>
      <c r="B12" s="550">
        <f>SUM(B3:B11)</f>
        <v>0</v>
      </c>
      <c r="C12" s="550">
        <f>SUM(C3:C11)</f>
        <v>0</v>
      </c>
      <c r="D12" s="390"/>
      <c r="E12" s="551">
        <f>SUM(E3:E11)</f>
        <v>0</v>
      </c>
      <c r="F12" s="551">
        <f>SUM(F3:F11)</f>
        <v>0</v>
      </c>
      <c r="G12" s="543"/>
      <c r="H12" s="563" t="s">
        <v>44</v>
      </c>
      <c r="I12" s="550">
        <f>SUM(I3:I11)</f>
        <v>0</v>
      </c>
      <c r="J12" s="550">
        <f>SUM(J3:J11)</f>
        <v>0</v>
      </c>
      <c r="K12" s="390"/>
      <c r="L12" s="551">
        <f>SUM(L3:L11)</f>
        <v>0</v>
      </c>
      <c r="M12" s="551">
        <f>SUM(M3:M11)</f>
        <v>0</v>
      </c>
      <c r="O12" s="563" t="s">
        <v>320</v>
      </c>
      <c r="U12" s="195" t="s">
        <v>222</v>
      </c>
      <c r="V12" s="597">
        <f t="array" ref="V12">SUM(IF(('Bridging Rental Yield'!I7:I26="Bridging")+('Bridging Rental Yield'!I7:I26="Both"),('Bridging Rental Yield'!$C$30:$C$49)*('Bridging Rental Yield'!F30:F49)))
+SUM(IF(('Bridging Rental Yield'!I7:I26="Bridging")+('Bridging Rental Yield'!I7:I26="Both"),('Bridging Rental Yield'!$C$30:$C$49)*('Bridging Rental Yield'!G30:G49)))</f>
        <v>0</v>
      </c>
      <c r="W12" s="597">
        <f t="array" ref="W12">SUM(IF(('Bridging Rental Yield'!I7:I26="Ongoing")+('Bridging Rental Yield'!I7:I26="Both"),('Bridging Rental Yield'!$C$30:$C$49)*('Bridging Rental Yield'!F30:F49)))
+SUM(IF(('Bridging Rental Yield'!I7:I26="Ongoing")+('Bridging Rental Yield'!I7:I26="Both"),('Bridging Rental Yield'!$C$30:$C$49)*('Bridging Rental Yield'!G30:G49)))</f>
        <v>0</v>
      </c>
      <c r="X12" s="543"/>
      <c r="Y12" s="9" t="s">
        <v>141</v>
      </c>
      <c r="Z12" s="560" t="b">
        <f>AND(SUM(Bridging!F26,Bridging!F30:F31)&gt;0,SUM(Bridging!G26,Bridging!G30:G31)&gt;0)</f>
        <v>0</v>
      </c>
      <c r="AA12" s="543"/>
      <c r="AB12" s="543"/>
      <c r="AC12" s="543"/>
      <c r="AD12" s="543"/>
      <c r="AE12" s="543"/>
      <c r="AF12" s="543"/>
      <c r="AG12" s="543"/>
    </row>
    <row r="13" spans="1:33" s="564" customFormat="1" x14ac:dyDescent="0.15">
      <c r="A13" s="390" t="s">
        <v>46</v>
      </c>
      <c r="B13" s="550">
        <f>income_tax(B12)</f>
        <v>0</v>
      </c>
      <c r="C13" s="550">
        <f>income_tax(C12)</f>
        <v>0</v>
      </c>
      <c r="D13" s="390"/>
      <c r="E13" s="550">
        <f>income_tax(E12)</f>
        <v>0</v>
      </c>
      <c r="F13" s="550">
        <f>income_tax(F12)</f>
        <v>0</v>
      </c>
      <c r="H13" s="543" t="s">
        <v>46</v>
      </c>
      <c r="I13" s="550">
        <f>income_tax(I12)</f>
        <v>0</v>
      </c>
      <c r="J13" s="550">
        <f>income_tax(J12)</f>
        <v>0</v>
      </c>
      <c r="K13" s="390"/>
      <c r="L13" s="550">
        <f>income_tax(L12)</f>
        <v>0</v>
      </c>
      <c r="M13" s="550">
        <f>income_tax(M12)</f>
        <v>0</v>
      </c>
      <c r="O13" s="567" t="s">
        <v>158</v>
      </c>
      <c r="P13" s="567" t="s">
        <v>159</v>
      </c>
      <c r="Q13" s="567" t="s">
        <v>315</v>
      </c>
      <c r="R13" s="567" t="s">
        <v>159</v>
      </c>
      <c r="S13" s="845"/>
      <c r="T13" s="568"/>
      <c r="U13" s="195" t="s">
        <v>223</v>
      </c>
      <c r="V13" s="597">
        <f t="array" ref="V13">SUM(IF(('Bridging Rental Yield'!I7:I26="Bridging")+('Bridging Rental Yield'!I7:I26="Both"),('Bridging Rental Yield'!$E$30:$E$49)*('Bridging Rental Yield'!F30:F49)))
+SUM(IF(('Bridging Rental Yield'!I7:I26="Bridging")+('Bridging Rental Yield'!I7:I26="Both"),('Bridging Rental Yield'!$E$30:$E$49)*('Bridging Rental Yield'!G30:G49)))</f>
        <v>0</v>
      </c>
      <c r="W13" s="597">
        <f t="array" ref="W13">SUM(IF(('Bridging Rental Yield'!I7:I26="Ongoing")+('Bridging Rental Yield'!I7:I26="Both"),('Bridging Rental Yield'!$E$30:$E$49)*('Bridging Rental Yield'!F30:F49)))
+SUM(IF(('Bridging Rental Yield'!I7:I26="Ongoing")+('Bridging Rental Yield'!I7:I26="Both"),('Bridging Rental Yield'!$E$30:$E$49)*('Bridging Rental Yield'!G30:G49)))</f>
        <v>0</v>
      </c>
      <c r="Y13" s="9" t="s">
        <v>319</v>
      </c>
      <c r="Z13" s="560" t="b">
        <f>AND(P10,R10,P20,R20)</f>
        <v>1</v>
      </c>
    </row>
    <row r="14" spans="1:33" s="568" customFormat="1" x14ac:dyDescent="0.15">
      <c r="A14" s="390" t="s">
        <v>48</v>
      </c>
      <c r="B14" s="550">
        <f>medicare_levy(B12)</f>
        <v>0</v>
      </c>
      <c r="C14" s="550">
        <f>medicare_levy(C12)</f>
        <v>0</v>
      </c>
      <c r="D14" s="390"/>
      <c r="E14" s="550">
        <f>medicare_levy(E12)</f>
        <v>0</v>
      </c>
      <c r="F14" s="550">
        <f>medicare_levy(F12)</f>
        <v>0</v>
      </c>
      <c r="G14" s="390"/>
      <c r="H14" s="543" t="s">
        <v>48</v>
      </c>
      <c r="I14" s="550">
        <f>medicare_levy(I12)</f>
        <v>0</v>
      </c>
      <c r="J14" s="550">
        <f>medicare_levy(J12)</f>
        <v>0</v>
      </c>
      <c r="K14" s="390"/>
      <c r="L14" s="550">
        <f>medicare_levy(L12)</f>
        <v>0</v>
      </c>
      <c r="M14" s="550">
        <f>medicare_levy(M12)</f>
        <v>0</v>
      </c>
      <c r="O14" s="572" t="b">
        <f>AND(Bridging!B65="",Bridging!C65="",Bridging!D65="",Bridging!E65="",Bridging!F65="",Bridging!I65="",Bridging!J65="",Bridging!K65="")</f>
        <v>1</v>
      </c>
      <c r="P14" s="573" t="b">
        <f>IF(O14,TRUE,IF(Bridging!B65="Credit Card",Bridging!E65&lt;&gt;"",AND(Bridging!C65&lt;&gt;"",Bridging!E65&lt;&gt;"",Bridging!F65&lt;&gt;"",Bridging!I65&lt;&gt;"",Bridging!K65&lt;&gt;"")))</f>
        <v>1</v>
      </c>
      <c r="Q14" s="572" t="b">
        <f>AND(Bridging!B65&lt;&gt;"",Bridging!D65="Yes")</f>
        <v>0</v>
      </c>
      <c r="R14" s="572" t="b">
        <f>IF(NOT(Q14),TRUE,COUNTBLANK('Bridging Neg Gearing'!E32:F32)&lt;2)</f>
        <v>1</v>
      </c>
      <c r="S14" s="9"/>
      <c r="T14" s="543"/>
      <c r="U14" s="195" t="s">
        <v>224</v>
      </c>
      <c r="V14" s="597">
        <f>SUM(V11:V12)</f>
        <v>0</v>
      </c>
      <c r="W14" s="597">
        <f>SUM(W11:W12)</f>
        <v>0</v>
      </c>
      <c r="X14" s="564"/>
      <c r="Y14" s="565" t="s">
        <v>285</v>
      </c>
      <c r="Z14" s="566" t="b">
        <f>AND(COUNTBLANK(Bridging!F50:F53)=0,Bridging!K50&lt;&gt;"",Bridging!K52&lt;&gt;"")</f>
        <v>0</v>
      </c>
      <c r="AA14" s="564"/>
      <c r="AB14" s="564"/>
      <c r="AC14" s="564"/>
      <c r="AD14" s="564"/>
      <c r="AE14" s="564"/>
      <c r="AF14" s="564"/>
      <c r="AG14" s="564"/>
    </row>
    <row r="15" spans="1:33" s="568" customFormat="1" x14ac:dyDescent="0.15">
      <c r="A15" s="390" t="s">
        <v>555</v>
      </c>
      <c r="B15" s="550">
        <f>IF((LITO(B12,B13)+LMITO(B12,B13))&gt;B13,B13,LITO(B12,B13))</f>
        <v>0</v>
      </c>
      <c r="C15" s="550">
        <f>IF((LITO(C12,C13)+LMITO(C12,C13))&gt;C13,C13,LITO(C12,C13))</f>
        <v>0</v>
      </c>
      <c r="D15" s="390"/>
      <c r="E15" s="550">
        <f>IF((LITO(E12,E13)+LMITO(E12,E13))&gt;E13,E13,LITO(E12,E13))</f>
        <v>0</v>
      </c>
      <c r="F15" s="550">
        <f>IF((LITO(F12,F13)+LMITO(F12,F13))&gt;F13,F13,LITO(F12,F13))</f>
        <v>0</v>
      </c>
      <c r="G15" s="390"/>
      <c r="H15" s="390" t="s">
        <v>555</v>
      </c>
      <c r="I15" s="550">
        <f>IF((LITO(I12,I13)+LMITO(I12,I13))&gt;I13,I13,LITO(I12,I13))</f>
        <v>0</v>
      </c>
      <c r="J15" s="550">
        <f>IF((LITO(J12,J13)+LMITO(J12,J13))&gt;J13,J13,LITO(J12,J13))</f>
        <v>0</v>
      </c>
      <c r="K15"/>
      <c r="L15" s="550">
        <f>IF((LITO(L12,L13)+LMITO(L12,L13))&gt;L13,L13,LITO(L12,L13))</f>
        <v>0</v>
      </c>
      <c r="M15" s="550">
        <f>IF((LITO(M12,M13)+LMITO(M12,M13))&gt;M13,M13,LITO(M12,M13))</f>
        <v>0</v>
      </c>
      <c r="O15" s="578" t="b">
        <f>AND(Bridging!B66="",Bridging!C66="",Bridging!D66="",Bridging!E66="",Bridging!F66="",Bridging!I66="",Bridging!J66="",Bridging!K66="")</f>
        <v>1</v>
      </c>
      <c r="P15" s="579" t="b">
        <f>IF(O15,TRUE,IF(Bridging!B66="Credit Card",Bridging!E66&lt;&gt;"",AND(Bridging!C66&lt;&gt;"",Bridging!E66&lt;&gt;"",Bridging!F66&lt;&gt;"",Bridging!I66&lt;&gt;"",Bridging!K66&lt;&gt;"")))</f>
        <v>1</v>
      </c>
      <c r="Q15" s="579" t="b">
        <f>AND(Bridging!B66&lt;&gt;"",Bridging!D66="Yes")</f>
        <v>0</v>
      </c>
      <c r="R15" s="639" t="b">
        <f>IF(NOT(Q15),TRUE,COUNTBLANK('Bridging Neg Gearing'!E33:F33)&lt;2)</f>
        <v>1</v>
      </c>
      <c r="S15" s="9"/>
      <c r="T15" s="543"/>
      <c r="Y15" s="62" t="s">
        <v>321</v>
      </c>
      <c r="Z15" s="569" t="b">
        <f>AND(Z11:Z14)</f>
        <v>0</v>
      </c>
      <c r="AB15" s="564"/>
      <c r="AC15" s="564"/>
      <c r="AD15" s="564"/>
      <c r="AE15" s="564"/>
      <c r="AF15" s="564"/>
      <c r="AG15" s="564"/>
    </row>
    <row r="16" spans="1:33" s="568" customFormat="1" x14ac:dyDescent="0.15">
      <c r="A16" s="390" t="s">
        <v>559</v>
      </c>
      <c r="B16" s="550">
        <f>IF((LITO(B12,B13)+LMITO(B12,B13))&gt;B13,0,LMITO(B12,B13))</f>
        <v>0</v>
      </c>
      <c r="C16" s="550">
        <f>IF((LITO(C12,C13)+LMITO(C12,C13))&gt;C13,0,LMITO(C12,C13))</f>
        <v>0</v>
      </c>
      <c r="D16" s="390"/>
      <c r="E16" s="550">
        <f>IF((LITO(E12,E13)+LMITO(E12,E13))&gt;E13,0,LMITO(E12,E13))</f>
        <v>0</v>
      </c>
      <c r="F16" s="550">
        <f>IF((LITO(F12,F13)+LMITO(F12,F13))&gt;F13,0,LMITO(F12,F13))</f>
        <v>0</v>
      </c>
      <c r="G16" s="390"/>
      <c r="H16" s="390" t="s">
        <v>559</v>
      </c>
      <c r="I16" s="550">
        <f>IF((LITO(I12,I13)+LMITO(I12,I13))&gt;I13,0,LMITO(I12,I13))</f>
        <v>0</v>
      </c>
      <c r="J16" s="550">
        <f>IF((LITO(J12,J13)+LMITO(J12,J13))&gt;J13,0,LMITO(J12,J13))</f>
        <v>0</v>
      </c>
      <c r="K16"/>
      <c r="L16" s="550">
        <f>IF((LITO(L12,L13)+LMITO(L12,L13))&gt;L13,0,LMITO(L12,L13))</f>
        <v>0</v>
      </c>
      <c r="M16" s="550">
        <f>IF((LITO(M12,M13)+LMITO(M12,M13))&gt;M13,0,LMITO(M12,M13))</f>
        <v>0</v>
      </c>
      <c r="O16" s="578" t="b">
        <f>AND(Bridging!B67="",Bridging!C67="",Bridging!D67="",Bridging!E67="",Bridging!F67="",Bridging!I67="",Bridging!J67="",Bridging!K67="")</f>
        <v>1</v>
      </c>
      <c r="P16" s="579" t="b">
        <f>IF(O16,TRUE,IF(Bridging!B67="Credit Card",Bridging!E67&lt;&gt;"",AND(Bridging!C67&lt;&gt;"",Bridging!E67&lt;&gt;"",Bridging!F67&lt;&gt;"",Bridging!I67&lt;&gt;"",Bridging!K67&lt;&gt;"")))</f>
        <v>1</v>
      </c>
      <c r="Q16" s="579" t="b">
        <f>AND(Bridging!B67&lt;&gt;"",Bridging!D67="Yes")</f>
        <v>0</v>
      </c>
      <c r="R16" s="639" t="b">
        <f>IF(NOT(Q16),TRUE,COUNTBLANK('Bridging Neg Gearing'!E34:F34)&lt;2)</f>
        <v>1</v>
      </c>
      <c r="S16" s="9"/>
      <c r="T16" s="563"/>
      <c r="U16" s="559" t="s">
        <v>188</v>
      </c>
      <c r="V16" s="574">
        <f>IF(V14&gt;0,IF(Bridging!K57*12+Bridging!K34&gt;V13,IF(V12&lt;V14*Data!C18,(Bridging!K57*12+Bridging!K34-V13)/V11,(Bridging!K57*12+Bridging!K34)/V14),(Bridging!K57*12+Bridging!K34)/V14),0)</f>
        <v>0</v>
      </c>
      <c r="W16" s="574">
        <f>IF(W14&gt;0,IF(Bridging!L71*12+Bridging!L34&gt;W13,IF(W12&lt;W14*Data!C18,(Bridging!L71*12+Bridging!L34-W13)/W11,(Bridging!L71*12+Bridging!L34)/W14),(Bridging!L71*12+Bridging!L34)/W14),0)</f>
        <v>0</v>
      </c>
      <c r="X16" s="543"/>
      <c r="Y16" s="543"/>
      <c r="Z16" s="543"/>
      <c r="AA16" s="543"/>
      <c r="AB16" s="564"/>
      <c r="AC16" s="564"/>
      <c r="AD16" s="564"/>
      <c r="AE16" s="564"/>
      <c r="AF16" s="564"/>
      <c r="AG16" s="564"/>
    </row>
    <row r="17" spans="1:33" x14ac:dyDescent="0.15">
      <c r="A17" s="391" t="s">
        <v>322</v>
      </c>
      <c r="B17" s="570">
        <f>B13+B14-B15-B16</f>
        <v>0</v>
      </c>
      <c r="C17" s="570">
        <f>C13+C14-C15-C16</f>
        <v>0</v>
      </c>
      <c r="D17" s="390"/>
      <c r="E17" s="570">
        <f t="shared" ref="E17:F17" si="2">E13+E14-E15-E16</f>
        <v>0</v>
      </c>
      <c r="F17" s="570">
        <f t="shared" si="2"/>
        <v>0</v>
      </c>
      <c r="G17" s="390"/>
      <c r="H17" s="563" t="s">
        <v>322</v>
      </c>
      <c r="I17" s="570">
        <f>I13+I14-I15-I16</f>
        <v>0</v>
      </c>
      <c r="J17" s="570">
        <f>J13+J14-J15-J16</f>
        <v>0</v>
      </c>
      <c r="K17"/>
      <c r="L17" s="570">
        <f>L13+L14-L15-L16</f>
        <v>0</v>
      </c>
      <c r="M17" s="570">
        <f>M13+M14-M15-M16</f>
        <v>0</v>
      </c>
      <c r="O17" s="578" t="b">
        <f>AND(Bridging!B68="",Bridging!C68="",Bridging!D68="",Bridging!E68="",Bridging!F68="",Bridging!I68="",Bridging!J68="",Bridging!K68="")</f>
        <v>1</v>
      </c>
      <c r="P17" s="579" t="b">
        <f>IF(O17,TRUE,IF(Bridging!B68="Credit Card",Bridging!E68&lt;&gt;"",AND(Bridging!C68&lt;&gt;"",Bridging!E68&lt;&gt;"",Bridging!F68&lt;&gt;"",Bridging!I68&lt;&gt;"",Bridging!K68&lt;&gt;"")))</f>
        <v>1</v>
      </c>
      <c r="Q17" s="579" t="b">
        <f>AND(Bridging!B68&lt;&gt;"",Bridging!D68="Yes")</f>
        <v>0</v>
      </c>
      <c r="R17" s="639" t="b">
        <f>IF(NOT(Q17),TRUE,COUNTBLANK('Bridging Neg Gearing'!E35:F35)&lt;2)</f>
        <v>1</v>
      </c>
      <c r="S17" s="9"/>
      <c r="T17" s="564"/>
      <c r="U17" s="559" t="s">
        <v>190</v>
      </c>
      <c r="V17" s="580">
        <f>VLOOKUP(IF(V12&lt;V14*Data!$C18,V11,V14),Data!$I$3:$K$7,3)</f>
        <v>0.1</v>
      </c>
      <c r="W17" s="580">
        <f>VLOOKUP(IF(W12&lt;W14*Data!$C18,W11,W14),Data!$I$3:$K$7,3)</f>
        <v>0.1</v>
      </c>
      <c r="AB17" s="568"/>
      <c r="AC17" s="568"/>
      <c r="AD17" s="568"/>
      <c r="AE17" s="568"/>
      <c r="AF17" s="568"/>
      <c r="AG17" s="568"/>
    </row>
    <row r="18" spans="1:33" x14ac:dyDescent="0.15">
      <c r="A18" s="390"/>
      <c r="B18" s="575"/>
      <c r="C18" s="575"/>
      <c r="D18" s="390"/>
      <c r="E18" s="576"/>
      <c r="F18" s="576"/>
      <c r="G18" s="390"/>
      <c r="I18"/>
      <c r="J18" s="575"/>
      <c r="K18" s="390"/>
      <c r="L18" s="577"/>
      <c r="M18" s="577"/>
      <c r="O18" s="578" t="b">
        <f>AND(Bridging!B69="",Bridging!C69="",Bridging!D69="",Bridging!E69="",Bridging!F69="",Bridging!I69="",Bridging!J69="",Bridging!K69="")</f>
        <v>1</v>
      </c>
      <c r="P18" s="579" t="b">
        <f>IF(O18,TRUE,IF(Bridging!B69="Credit Card",Bridging!E69&lt;&gt;"",AND(Bridging!C69&lt;&gt;"",Bridging!E69&lt;&gt;"",Bridging!F69&lt;&gt;"",Bridging!I69&lt;&gt;"",Bridging!K69&lt;&gt;"")))</f>
        <v>1</v>
      </c>
      <c r="Q18" s="579" t="b">
        <f>AND(Bridging!B69&lt;&gt;"",Bridging!D69="Yes")</f>
        <v>0</v>
      </c>
      <c r="R18" s="639" t="b">
        <f>IF(NOT(Q18),TRUE,COUNTBLANK('Bridging Neg Gearing'!E36:F36)&lt;2)</f>
        <v>1</v>
      </c>
      <c r="S18" s="9"/>
      <c r="T18" s="564"/>
      <c r="U18"/>
      <c r="V18"/>
      <c r="W18"/>
      <c r="X18" s="563"/>
      <c r="Y18" s="563"/>
      <c r="Z18" s="563"/>
      <c r="AA18" s="563"/>
    </row>
    <row r="19" spans="1:33" s="563" customFormat="1" x14ac:dyDescent="0.15">
      <c r="A19" s="390" t="s">
        <v>323</v>
      </c>
      <c r="B19"/>
      <c r="C19" s="550">
        <f>'Bridging Neg Gearing'!C42</f>
        <v>0</v>
      </c>
      <c r="D19" s="390"/>
      <c r="E19" s="390"/>
      <c r="F19" s="551">
        <f>'Bridging Neg Gearing'!C43</f>
        <v>0</v>
      </c>
      <c r="G19" s="390"/>
      <c r="H19" s="543" t="s">
        <v>323</v>
      </c>
      <c r="I19"/>
      <c r="J19" s="550">
        <f>SUM('Bridging Neg Gearing'!E42:F42)</f>
        <v>0</v>
      </c>
      <c r="K19" s="390"/>
      <c r="L19"/>
      <c r="M19" s="551">
        <f>SUM('Bridging Neg Gearing'!E43:F43)</f>
        <v>0</v>
      </c>
      <c r="O19" s="582" t="b">
        <f>AND(Bridging!B70="",Bridging!C70="",Bridging!D70="",Bridging!E70="",Bridging!F70="",Bridging!I70="",Bridging!J70="",Bridging!K70="")</f>
        <v>1</v>
      </c>
      <c r="P19" s="582" t="b">
        <f>IF(O19,TRUE,IF(Bridging!B70="Credit Card",Bridging!E70&lt;&gt;"",AND(Bridging!C70&lt;&gt;"",Bridging!E70&lt;&gt;"",Bridging!F70&lt;&gt;"",Bridging!I70&lt;&gt;"",Bridging!K70&lt;&gt;"")))</f>
        <v>1</v>
      </c>
      <c r="Q19" s="583" t="b">
        <f>AND(Bridging!B70&lt;&gt;"",Bridging!D70="Yes")</f>
        <v>0</v>
      </c>
      <c r="R19" s="583" t="b">
        <f>IF(NOT(Q19),TRUE,COUNTBLANK('Bridging Neg Gearing'!E37:F37)&lt;2)</f>
        <v>1</v>
      </c>
      <c r="S19" s="9"/>
      <c r="T19" s="568"/>
      <c r="U19" s="247" t="s">
        <v>205</v>
      </c>
      <c r="V19" s="581">
        <f>IF($Z15,Bridging!K33-$Z8-Bridging!K34/12,0)</f>
        <v>0</v>
      </c>
      <c r="W19" s="581">
        <f>IF($Z15,Bridging!L33-$AG8-Bridging!L34/12,0)</f>
        <v>0</v>
      </c>
      <c r="X19" s="564"/>
      <c r="Y19" s="564"/>
      <c r="Z19" s="564"/>
      <c r="AA19" s="564"/>
      <c r="AB19" s="543"/>
      <c r="AC19" s="543"/>
      <c r="AD19" s="543"/>
      <c r="AE19" s="543"/>
      <c r="AF19" s="543"/>
      <c r="AG19" s="543"/>
    </row>
    <row r="20" spans="1:33" s="564" customFormat="1" x14ac:dyDescent="0.15">
      <c r="A20" s="391" t="s">
        <v>171</v>
      </c>
      <c r="B20"/>
      <c r="C20" s="570">
        <f>MAX((C12-C19),0)</f>
        <v>0</v>
      </c>
      <c r="D20" s="390"/>
      <c r="E20" s="390"/>
      <c r="F20" s="571">
        <f>MAX((F12-F19),0)</f>
        <v>0</v>
      </c>
      <c r="G20" s="390"/>
      <c r="H20" s="563" t="s">
        <v>171</v>
      </c>
      <c r="I20"/>
      <c r="J20" s="570">
        <f>MAX((J12-J19),0)</f>
        <v>0</v>
      </c>
      <c r="K20" s="390"/>
      <c r="L20"/>
      <c r="M20" s="571">
        <f>MAX((M12-M19),0)</f>
        <v>0</v>
      </c>
      <c r="O20" s="586" t="b">
        <f>AND(O14:O19)</f>
        <v>1</v>
      </c>
      <c r="P20" s="586" t="b">
        <f>AND(P14:P19)</f>
        <v>1</v>
      </c>
      <c r="Q20" s="586" t="b">
        <f>OR(Q14:Q19)</f>
        <v>0</v>
      </c>
      <c r="R20" s="586" t="b">
        <f>AND(R14:R19)</f>
        <v>1</v>
      </c>
      <c r="S20" s="391"/>
      <c r="T20" s="543"/>
      <c r="U20" s="247" t="s">
        <v>324</v>
      </c>
      <c r="V20" s="581">
        <f>IF(V19&lt;=0,(1+V26)*V19,(1-W26)*V19)</f>
        <v>0</v>
      </c>
      <c r="W20" s="581">
        <f>IF(W19&lt;=0,(1+V26)*W19,(1-W26)*W19)</f>
        <v>0</v>
      </c>
      <c r="AB20" s="563"/>
      <c r="AC20" s="563"/>
      <c r="AD20" s="563"/>
      <c r="AE20" s="563"/>
      <c r="AF20" s="563"/>
      <c r="AG20" s="563"/>
    </row>
    <row r="21" spans="1:33" s="564" customFormat="1" x14ac:dyDescent="0.15">
      <c r="A21" s="390" t="s">
        <v>46</v>
      </c>
      <c r="B21"/>
      <c r="C21" s="550">
        <f>income_tax(C20)</f>
        <v>0</v>
      </c>
      <c r="D21" s="390"/>
      <c r="E21" s="390"/>
      <c r="F21" s="550">
        <f>income_tax(F20)</f>
        <v>0</v>
      </c>
      <c r="G21" s="390"/>
      <c r="H21" s="543" t="s">
        <v>46</v>
      </c>
      <c r="I21"/>
      <c r="J21" s="550">
        <f>income_tax(J20)</f>
        <v>0</v>
      </c>
      <c r="K21" s="390"/>
      <c r="L21"/>
      <c r="M21" s="550">
        <f>income_tax(M20)</f>
        <v>0</v>
      </c>
      <c r="T21" s="568"/>
      <c r="U21" s="584" t="s">
        <v>325</v>
      </c>
      <c r="V21" s="585">
        <f>IF(Z15,V20-Bridging!K57,0)</f>
        <v>0</v>
      </c>
      <c r="W21" s="585">
        <f>IF(Z15,W20-Bridging!L71,0)</f>
        <v>0</v>
      </c>
      <c r="X21" s="568"/>
      <c r="Y21" s="568"/>
      <c r="Z21" s="568"/>
      <c r="AA21" s="568"/>
    </row>
    <row r="22" spans="1:33" s="568" customFormat="1" x14ac:dyDescent="0.15">
      <c r="A22" s="390" t="s">
        <v>48</v>
      </c>
      <c r="B22"/>
      <c r="C22" s="550">
        <f>medicare_levy(C20)</f>
        <v>0</v>
      </c>
      <c r="D22" s="390"/>
      <c r="E22" s="390"/>
      <c r="F22" s="550">
        <f>medicare_levy(F20)</f>
        <v>0</v>
      </c>
      <c r="G22" s="390"/>
      <c r="H22" s="543" t="s">
        <v>48</v>
      </c>
      <c r="I22"/>
      <c r="J22" s="550">
        <f>medicare_levy(J20)</f>
        <v>0</v>
      </c>
      <c r="K22" s="390"/>
      <c r="L22" s="390"/>
      <c r="M22" s="550">
        <f>medicare_levy(M20)</f>
        <v>0</v>
      </c>
      <c r="O22" s="564"/>
      <c r="P22" s="564"/>
      <c r="Q22" s="564"/>
      <c r="R22" s="564"/>
      <c r="S22" s="564"/>
      <c r="T22" s="543"/>
      <c r="U22" s="543"/>
      <c r="V22" s="543"/>
      <c r="W22" s="543"/>
      <c r="X22" s="543"/>
      <c r="Y22" s="543"/>
      <c r="Z22" s="543"/>
      <c r="AA22" s="543"/>
      <c r="AB22" s="564"/>
      <c r="AC22" s="564"/>
      <c r="AD22" s="564"/>
      <c r="AE22" s="564"/>
      <c r="AF22" s="564"/>
      <c r="AG22" s="564"/>
    </row>
    <row r="23" spans="1:33" s="568" customFormat="1" x14ac:dyDescent="0.15">
      <c r="A23" s="390" t="s">
        <v>555</v>
      </c>
      <c r="B23"/>
      <c r="C23" s="550">
        <f>IF((LITO(C20,C21)+LMITO(C20,C21))&gt;C21,C21,LITO(C20,C21))</f>
        <v>0</v>
      </c>
      <c r="D23" s="390"/>
      <c r="E23" s="390"/>
      <c r="F23" s="550">
        <f>IF((LITO(F20,F21)+LMITO(F20,F21))&gt;F21,F21,LITO(F20,F21))</f>
        <v>0</v>
      </c>
      <c r="G23" s="390"/>
      <c r="H23" s="390" t="s">
        <v>555</v>
      </c>
      <c r="I23"/>
      <c r="J23" s="550">
        <f>IF((LITO(J20,J21)+LMITO(J20,J21))&gt;J21,J21,LITO(J20,J21))</f>
        <v>0</v>
      </c>
      <c r="K23"/>
      <c r="L23"/>
      <c r="M23" s="550">
        <f>IF((LITO(M20,M21)+LMITO(M20,M21))&gt;M21,M21,LITO(M20,M21))</f>
        <v>0</v>
      </c>
      <c r="O23" s="543"/>
      <c r="T23" s="543"/>
      <c r="U23" s="588" t="s">
        <v>327</v>
      </c>
      <c r="V23" s="589" t="str">
        <f>IF(V16&lt;=V17,"PASS","FAIL")</f>
        <v>PASS</v>
      </c>
      <c r="W23" s="589" t="str">
        <f>IF(W16&lt;=W17,"PASS","FAIL")</f>
        <v>PASS</v>
      </c>
      <c r="Y23" s="543"/>
      <c r="Z23" s="543"/>
      <c r="AA23" s="543"/>
      <c r="AB23" s="564"/>
      <c r="AC23" s="564"/>
      <c r="AD23" s="564"/>
      <c r="AE23" s="564"/>
      <c r="AF23" s="564"/>
      <c r="AG23" s="564"/>
    </row>
    <row r="24" spans="1:33" s="568" customFormat="1" x14ac:dyDescent="0.15">
      <c r="A24" s="390" t="s">
        <v>559</v>
      </c>
      <c r="B24"/>
      <c r="C24" s="550">
        <f>IF((LITO(C20,C21)+LMITO(C20,C21))&gt;C21,0,LMITO(C20,C21))</f>
        <v>0</v>
      </c>
      <c r="D24" s="390"/>
      <c r="E24" s="390"/>
      <c r="F24" s="550">
        <f>IF((LITO(F20,F21)+LMITO(F20,F21))&gt;F21,0,LMITO(F20,F21))</f>
        <v>0</v>
      </c>
      <c r="G24" s="390"/>
      <c r="H24" s="390" t="s">
        <v>559</v>
      </c>
      <c r="I24"/>
      <c r="J24" s="550">
        <f>IF((LITO(J20,J21)+LMITO(J20,J21))&gt;J21,0,LMITO(J20,J21))</f>
        <v>0</v>
      </c>
      <c r="K24"/>
      <c r="L24"/>
      <c r="M24" s="550">
        <f>IF((LITO(M20,M21)+LMITO(M20,M21))&gt;M21,0,LMITO(M20,M21))</f>
        <v>0</v>
      </c>
      <c r="T24" s="543"/>
      <c r="U24" s="584" t="s">
        <v>329</v>
      </c>
      <c r="V24" s="592" t="str">
        <f>IF(V20-Bridging!K57&gt;=0,"PASS",IF(V19-Bridging!K57&gt;0,"REFER","FAIL"))</f>
        <v>PASS</v>
      </c>
      <c r="W24" s="592" t="str">
        <f>IF(W20-Bridging!L71&gt;=0,"PASS",IF(W19-Bridging!L71&gt;0,"REFER","FAIL"))</f>
        <v>PASS</v>
      </c>
      <c r="X24" s="543"/>
      <c r="Y24" s="543"/>
      <c r="Z24" s="543"/>
      <c r="AA24" s="543"/>
      <c r="AB24" s="564"/>
      <c r="AC24" s="564"/>
      <c r="AD24" s="564"/>
      <c r="AE24" s="564"/>
      <c r="AF24" s="564"/>
      <c r="AG24" s="564"/>
    </row>
    <row r="25" spans="1:33" x14ac:dyDescent="0.15">
      <c r="A25" s="391" t="s">
        <v>326</v>
      </c>
      <c r="B25"/>
      <c r="C25" s="570">
        <f>C21+C22-C23-C24</f>
        <v>0</v>
      </c>
      <c r="D25" s="390"/>
      <c r="E25" s="390"/>
      <c r="F25" s="570">
        <f t="shared" ref="F25" si="3">F21+F22-F23-F24</f>
        <v>0</v>
      </c>
      <c r="G25" s="568"/>
      <c r="H25" s="563" t="s">
        <v>326</v>
      </c>
      <c r="I25"/>
      <c r="J25" s="570">
        <f>J21+J22-J23-J24</f>
        <v>0</v>
      </c>
      <c r="K25" s="390"/>
      <c r="L25" s="390"/>
      <c r="M25" s="570">
        <f t="shared" ref="M25" si="4">M21+M22-M23-M24</f>
        <v>0</v>
      </c>
      <c r="O25" s="568"/>
      <c r="P25" s="568"/>
      <c r="Q25" s="568"/>
      <c r="R25" s="568"/>
      <c r="S25" s="568"/>
      <c r="Y25" s="568"/>
      <c r="Z25" s="568"/>
      <c r="AA25" s="568"/>
      <c r="AB25" s="568"/>
      <c r="AC25" s="568"/>
      <c r="AD25" s="568"/>
      <c r="AE25" s="568"/>
      <c r="AF25" s="568"/>
      <c r="AG25" s="568"/>
    </row>
    <row r="26" spans="1:33" s="568" customFormat="1" x14ac:dyDescent="0.15">
      <c r="A26" s="390"/>
      <c r="B26"/>
      <c r="C26" s="587"/>
      <c r="D26" s="390"/>
      <c r="E26" s="390"/>
      <c r="F26" s="576"/>
      <c r="G26" s="543"/>
      <c r="H26" s="543"/>
      <c r="I26"/>
      <c r="J26" s="587"/>
      <c r="K26" s="390"/>
      <c r="L26"/>
      <c r="M26" s="577"/>
      <c r="T26" s="543"/>
      <c r="U26" s="584" t="s">
        <v>330</v>
      </c>
      <c r="V26" s="594">
        <f>VLOOKUP(V14,Data!$M$3:$O$5,3)</f>
        <v>0</v>
      </c>
      <c r="W26" s="594">
        <f>VLOOKUP(W14,Data!$M$3:$O$5,3)</f>
        <v>0</v>
      </c>
      <c r="X26" s="543"/>
      <c r="Y26" s="543"/>
      <c r="Z26" s="543"/>
      <c r="AA26" s="543"/>
      <c r="AB26" s="543"/>
      <c r="AC26" s="543"/>
      <c r="AD26" s="543"/>
      <c r="AE26" s="543"/>
      <c r="AF26" s="543"/>
      <c r="AG26" s="543"/>
    </row>
    <row r="27" spans="1:33" x14ac:dyDescent="0.15">
      <c r="A27" s="391" t="s">
        <v>328</v>
      </c>
      <c r="B27"/>
      <c r="C27" s="590">
        <f>C17-C25</f>
        <v>0</v>
      </c>
      <c r="D27" s="391"/>
      <c r="E27"/>
      <c r="F27" s="591">
        <f>F17-F25</f>
        <v>0</v>
      </c>
      <c r="G27" s="568"/>
      <c r="H27" s="563" t="s">
        <v>328</v>
      </c>
      <c r="I27"/>
      <c r="J27" s="590">
        <f>J17-J25</f>
        <v>0</v>
      </c>
      <c r="K27" s="391"/>
      <c r="L27"/>
      <c r="M27" s="591">
        <f>M17-M25</f>
        <v>0</v>
      </c>
      <c r="AB27" s="568"/>
      <c r="AC27" s="568"/>
      <c r="AD27" s="568"/>
      <c r="AE27" s="568"/>
      <c r="AF27" s="568"/>
      <c r="AG27" s="568"/>
    </row>
    <row r="28" spans="1:33" x14ac:dyDescent="0.15">
      <c r="A28" s="391"/>
      <c r="B28"/>
      <c r="C28" s="801"/>
      <c r="D28" s="391"/>
      <c r="E28" s="1"/>
      <c r="F28" s="802"/>
      <c r="G28" s="568"/>
      <c r="H28" s="563"/>
      <c r="I28" s="1"/>
      <c r="J28" s="801"/>
      <c r="K28" s="391"/>
      <c r="L28" s="1"/>
      <c r="M28" s="802"/>
      <c r="O28" s="697" t="s">
        <v>412</v>
      </c>
      <c r="P28" s="97"/>
      <c r="Q28" s="568"/>
      <c r="R28" s="568"/>
      <c r="S28" s="568"/>
      <c r="U28" s="649" t="s">
        <v>377</v>
      </c>
      <c r="V28" s="650">
        <f>C12+F12+Bridging!K30+Bridging!K31</f>
        <v>0</v>
      </c>
    </row>
    <row r="29" spans="1:33" x14ac:dyDescent="0.15">
      <c r="A29" s="697" t="s">
        <v>52</v>
      </c>
      <c r="B29" s="550">
        <f>Bridging!F30</f>
        <v>0</v>
      </c>
      <c r="C29" s="550">
        <f>B29*Data!G28</f>
        <v>0</v>
      </c>
      <c r="D29" s="391"/>
      <c r="E29" s="550">
        <f>Bridging!H30</f>
        <v>0</v>
      </c>
      <c r="F29" s="550">
        <f>E29*Data!G28</f>
        <v>0</v>
      </c>
      <c r="G29" s="568"/>
      <c r="H29" s="697" t="s">
        <v>52</v>
      </c>
      <c r="I29" s="550">
        <f>Bridging!G30</f>
        <v>0</v>
      </c>
      <c r="J29" s="550">
        <f>I29*Data!G28</f>
        <v>0</v>
      </c>
      <c r="K29" s="391"/>
      <c r="L29" s="550">
        <f>Bridging!I30</f>
        <v>0</v>
      </c>
      <c r="M29" s="550">
        <f>L29*Data!G28</f>
        <v>0</v>
      </c>
      <c r="O29" s="704" t="s">
        <v>158</v>
      </c>
      <c r="P29" s="704" t="s">
        <v>159</v>
      </c>
      <c r="U29" s="649" t="s">
        <v>378</v>
      </c>
      <c r="V29" s="650">
        <f>J12+M12+Bridging!L30+Bridging!L31</f>
        <v>0</v>
      </c>
    </row>
    <row r="30" spans="1:33" x14ac:dyDescent="0.15">
      <c r="A30" s="697" t="s">
        <v>54</v>
      </c>
      <c r="B30" s="550">
        <f>Bridging!F31</f>
        <v>0</v>
      </c>
      <c r="C30" s="550">
        <f>B30</f>
        <v>0</v>
      </c>
      <c r="D30" s="391"/>
      <c r="E30" s="550">
        <f>Bridging!H31</f>
        <v>0</v>
      </c>
      <c r="F30" s="550">
        <f>E30</f>
        <v>0</v>
      </c>
      <c r="G30" s="568"/>
      <c r="H30" s="697" t="s">
        <v>54</v>
      </c>
      <c r="I30" s="550">
        <f>Bridging!G31</f>
        <v>0</v>
      </c>
      <c r="J30" s="550">
        <f>I30</f>
        <v>0</v>
      </c>
      <c r="K30" s="391"/>
      <c r="L30" s="550">
        <f>Bridging!I31</f>
        <v>0</v>
      </c>
      <c r="M30" s="550">
        <f>L30</f>
        <v>0</v>
      </c>
      <c r="O30" s="699" t="b">
        <f>COUNTA('Bridging Rental Yield'!C7:I7,'Bridging Rental Yield'!D30,'Bridging Rental Yield'!F30:G30)=0</f>
        <v>1</v>
      </c>
      <c r="P30" s="699" t="b">
        <f>IF(O30,TRUE,COUNTA('Bridging Rental Yield'!F7:I7)=4)</f>
        <v>1</v>
      </c>
    </row>
    <row r="31" spans="1:33" x14ac:dyDescent="0.15">
      <c r="B31"/>
      <c r="E31" s="593"/>
      <c r="F31" s="593"/>
      <c r="O31" s="700" t="b">
        <f>COUNTA('Bridging Rental Yield'!C8:I8,'Bridging Rental Yield'!D31,'Bridging Rental Yield'!F31:G31)=0</f>
        <v>1</v>
      </c>
      <c r="P31" s="700" t="b">
        <f>IF(O31,TRUE,COUNTA('Bridging Rental Yield'!F8:I8)=4)</f>
        <v>1</v>
      </c>
    </row>
    <row r="32" spans="1:33" x14ac:dyDescent="0.15">
      <c r="O32" s="700" t="b">
        <f>COUNTA('Bridging Rental Yield'!C9:I9,'Bridging Rental Yield'!D32,'Bridging Rental Yield'!F32:G32)=0</f>
        <v>1</v>
      </c>
      <c r="P32" s="700" t="b">
        <f>IF(O32,TRUE,COUNTA('Bridging Rental Yield'!F9:I9)=4)</f>
        <v>1</v>
      </c>
    </row>
    <row r="33" spans="1:16" x14ac:dyDescent="0.15">
      <c r="O33" s="700" t="b">
        <f>COUNTA('Bridging Rental Yield'!C10:I10,'Bridging Rental Yield'!D33,'Bridging Rental Yield'!F33:G33)=0</f>
        <v>1</v>
      </c>
      <c r="P33" s="700" t="b">
        <f>IF(O33,TRUE,COUNTA('Bridging Rental Yield'!F10:I10)=4)</f>
        <v>1</v>
      </c>
    </row>
    <row r="34" spans="1:16" x14ac:dyDescent="0.15">
      <c r="A34" s="855" t="s">
        <v>506</v>
      </c>
      <c r="B34" s="856"/>
      <c r="O34" s="700" t="b">
        <f>COUNTA('Bridging Rental Yield'!C11:I11,'Bridging Rental Yield'!D34,'Bridging Rental Yield'!F34:G34)=0</f>
        <v>1</v>
      </c>
      <c r="P34" s="700" t="b">
        <f>IF(O34,TRUE,COUNTA('Bridging Rental Yield'!F11:I11)=4)</f>
        <v>1</v>
      </c>
    </row>
    <row r="35" spans="1:16" x14ac:dyDescent="0.15">
      <c r="A35" s="855" t="s">
        <v>502</v>
      </c>
      <c r="B35" s="857">
        <f t="array" ref="B35">SUM(IF((Bridging!E39:E45&lt;&gt;"With my funds")*(Bridging!B39:B45&lt;&gt;"HECS"),S3:S9))+Bridging!K50</f>
        <v>0</v>
      </c>
      <c r="O35" s="700" t="b">
        <f>COUNTA('Bridging Rental Yield'!C12:I12,'Bridging Rental Yield'!D35,'Bridging Rental Yield'!F35:G35)=0</f>
        <v>1</v>
      </c>
      <c r="P35" s="700" t="b">
        <f>IF(O35,TRUE,COUNTA('Bridging Rental Yield'!F12:I12)=4)</f>
        <v>1</v>
      </c>
    </row>
    <row r="36" spans="1:16" x14ac:dyDescent="0.15">
      <c r="A36" s="855" t="s">
        <v>503</v>
      </c>
      <c r="B36" s="857">
        <f>B12+E12-V13+V12+SUM(B29:B30)+SUM(E29:E30)</f>
        <v>0</v>
      </c>
      <c r="O36" s="700" t="b">
        <f>COUNTA('Bridging Rental Yield'!C13:I13,'Bridging Rental Yield'!D36,'Bridging Rental Yield'!F36:G36)=0</f>
        <v>1</v>
      </c>
      <c r="P36" s="700" t="b">
        <f>IF(O36,TRUE,COUNTA('Bridging Rental Yield'!F13:I13)=4)</f>
        <v>1</v>
      </c>
    </row>
    <row r="37" spans="1:16" x14ac:dyDescent="0.15">
      <c r="A37" s="855" t="s">
        <v>504</v>
      </c>
      <c r="B37" s="858">
        <f>IF(B36&gt;0,ROUND(B35/B36,2),0)</f>
        <v>0</v>
      </c>
      <c r="O37" s="700" t="b">
        <f>COUNTA('Bridging Rental Yield'!C14:I14,'Bridging Rental Yield'!D37,'Bridging Rental Yield'!F37:G37)=0</f>
        <v>1</v>
      </c>
      <c r="P37" s="701" t="b">
        <f>IF(O37,TRUE,COUNTA('Bridging Rental Yield'!F14:I14)=4)</f>
        <v>1</v>
      </c>
    </row>
    <row r="38" spans="1:16" x14ac:dyDescent="0.15">
      <c r="O38" s="700" t="b">
        <f>COUNTA('Bridging Rental Yield'!C15:I15,'Bridging Rental Yield'!D38,'Bridging Rental Yield'!F38:G38)=0</f>
        <v>1</v>
      </c>
      <c r="P38" s="701" t="b">
        <f>IF(O38,TRUE,COUNTA('Bridging Rental Yield'!F15:I15)=4)</f>
        <v>1</v>
      </c>
    </row>
    <row r="39" spans="1:16" x14ac:dyDescent="0.15">
      <c r="A39" s="855" t="s">
        <v>507</v>
      </c>
      <c r="B39" s="856"/>
      <c r="O39" s="700" t="b">
        <f>COUNTA('Bridging Rental Yield'!C16:I16,'Bridging Rental Yield'!D39,'Bridging Rental Yield'!F39:G39)=0</f>
        <v>1</v>
      </c>
      <c r="P39" s="701" t="b">
        <f>IF(O39,TRUE,COUNTA('Bridging Rental Yield'!F16:I16)=4)</f>
        <v>1</v>
      </c>
    </row>
    <row r="40" spans="1:16" x14ac:dyDescent="0.15">
      <c r="A40" s="855" t="s">
        <v>502</v>
      </c>
      <c r="B40" s="857">
        <f t="array" ref="B40">SUM(IF((Bridging!E39:E45="No")*(Bridging!B39:B45&lt;&gt;"HECS"),S3:S9))+SUM(Bridging!E65:E70)</f>
        <v>0</v>
      </c>
      <c r="O40" s="700" t="b">
        <f>COUNTA('Bridging Rental Yield'!C17:I17,'Bridging Rental Yield'!D40,'Bridging Rental Yield'!F40:G40)=0</f>
        <v>1</v>
      </c>
      <c r="P40" s="701" t="b">
        <f>IF(O40,TRUE,COUNTA('Bridging Rental Yield'!F17:I17)=4)</f>
        <v>1</v>
      </c>
    </row>
    <row r="41" spans="1:16" x14ac:dyDescent="0.15">
      <c r="A41" s="855" t="s">
        <v>503</v>
      </c>
      <c r="B41" s="857">
        <f>I12+L12-W13+W12+SUM(I29:I30)+SUM(L29:L30)</f>
        <v>0</v>
      </c>
      <c r="O41" s="700" t="b">
        <f>COUNTA('Bridging Rental Yield'!C18:I18,'Bridging Rental Yield'!D41,'Bridging Rental Yield'!F41:G41)=0</f>
        <v>1</v>
      </c>
      <c r="P41" s="701" t="b">
        <f>IF(O41,TRUE,COUNTA('Bridging Rental Yield'!F18:I18)=4)</f>
        <v>1</v>
      </c>
    </row>
    <row r="42" spans="1:16" x14ac:dyDescent="0.15">
      <c r="A42" s="855" t="s">
        <v>504</v>
      </c>
      <c r="B42" s="858">
        <f>IF(B41&gt;0,ROUND(B40/B41,2),0)</f>
        <v>0</v>
      </c>
      <c r="O42" s="700" t="b">
        <f>COUNTA('Bridging Rental Yield'!C19:I19,'Bridging Rental Yield'!D42,'Bridging Rental Yield'!F42:G42)=0</f>
        <v>1</v>
      </c>
      <c r="P42" s="701" t="b">
        <f>IF(O42,TRUE,COUNTA('Bridging Rental Yield'!F19:I19)=4)</f>
        <v>1</v>
      </c>
    </row>
    <row r="43" spans="1:16" x14ac:dyDescent="0.15">
      <c r="O43" s="700" t="b">
        <f>COUNTA('Bridging Rental Yield'!C20:I20,'Bridging Rental Yield'!D43,'Bridging Rental Yield'!F43:G43)=0</f>
        <v>1</v>
      </c>
      <c r="P43" s="701" t="b">
        <f>IF(O43,TRUE,COUNTA('Bridging Rental Yield'!F20:I20)=4)</f>
        <v>1</v>
      </c>
    </row>
    <row r="44" spans="1:16" x14ac:dyDescent="0.15">
      <c r="O44" s="700" t="b">
        <f>COUNTA('Bridging Rental Yield'!C21:I21,'Bridging Rental Yield'!D44,'Bridging Rental Yield'!F44:G44)=0</f>
        <v>1</v>
      </c>
      <c r="P44" s="701" t="b">
        <f>IF(O44,TRUE,COUNTA('Bridging Rental Yield'!F21:I21)=4)</f>
        <v>1</v>
      </c>
    </row>
    <row r="45" spans="1:16" x14ac:dyDescent="0.15">
      <c r="O45" s="700" t="b">
        <f>COUNTA('Bridging Rental Yield'!C22:I22,'Bridging Rental Yield'!D45,'Bridging Rental Yield'!F45:G45)=0</f>
        <v>1</v>
      </c>
      <c r="P45" s="701" t="b">
        <f>IF(O45,TRUE,COUNTA('Bridging Rental Yield'!F22:I22)=4)</f>
        <v>1</v>
      </c>
    </row>
    <row r="46" spans="1:16" x14ac:dyDescent="0.15">
      <c r="O46" s="700" t="b">
        <f>COUNTA('Bridging Rental Yield'!C23:I23,'Bridging Rental Yield'!D46,'Bridging Rental Yield'!F46:G46)=0</f>
        <v>1</v>
      </c>
      <c r="P46" s="701" t="b">
        <f>IF(O46,TRUE,COUNTA('Bridging Rental Yield'!F23:I23)=4)</f>
        <v>1</v>
      </c>
    </row>
    <row r="47" spans="1:16" x14ac:dyDescent="0.15">
      <c r="O47" s="700" t="b">
        <f>COUNTA('Bridging Rental Yield'!C24:I24,'Bridging Rental Yield'!D47,'Bridging Rental Yield'!F47:G47)=0</f>
        <v>1</v>
      </c>
      <c r="P47" s="701" t="b">
        <f>IF(O47,TRUE,COUNTA('Bridging Rental Yield'!F24:I24)=4)</f>
        <v>1</v>
      </c>
    </row>
    <row r="48" spans="1:16" x14ac:dyDescent="0.15">
      <c r="O48" s="700" t="b">
        <f>COUNTA('Bridging Rental Yield'!C25:I25,'Bridging Rental Yield'!D48,'Bridging Rental Yield'!F48:G48)=0</f>
        <v>1</v>
      </c>
      <c r="P48" s="701" t="b">
        <f>IF(O48,TRUE,COUNTA('Bridging Rental Yield'!F25:I25)=4)</f>
        <v>1</v>
      </c>
    </row>
    <row r="49" spans="15:24" x14ac:dyDescent="0.15">
      <c r="O49" s="702" t="b">
        <f>COUNTA('Bridging Rental Yield'!C26:I26,'Bridging Rental Yield'!D49,'Bridging Rental Yield'!F49:G49)=0</f>
        <v>1</v>
      </c>
      <c r="P49" s="703" t="b">
        <f>IF(O49,TRUE,COUNTA('Bridging Rental Yield'!F26:I26)=4)</f>
        <v>1</v>
      </c>
    </row>
    <row r="50" spans="15:24" x14ac:dyDescent="0.15">
      <c r="O50" s="698" t="b">
        <f>AND(O30:O49)</f>
        <v>1</v>
      </c>
      <c r="P50" s="698" t="b">
        <f>AND(P30:P49)</f>
        <v>1</v>
      </c>
    </row>
    <row r="52" spans="15:24" x14ac:dyDescent="0.15">
      <c r="X52" s="568"/>
    </row>
  </sheetData>
  <sheetProtection algorithmName="SHA-512" hashValue="PRZlUc5kMm8yAGDzjsbpXI0hieC/wfJSITPtTjEeoZSrtcZ/Z74DdA1vL9OlNY5zZwl8Q9wXmP/roQc4yFfINw==" saltValue="7PqCB11E7IMERA5QJZjJ9g==" spinCount="100000" sheet="1" objects="1" scenarios="1"/>
  <mergeCells count="2">
    <mergeCell ref="A1:F1"/>
    <mergeCell ref="H1:M1"/>
  </mergeCells>
  <pageMargins left="0.7" right="0.7" top="0.75" bottom="0.75" header="0.3" footer="0.3"/>
  <pageSetup paperSize="9" orientation="portrait" r:id="rId1"/>
  <headerFooter>
    <oddFooter>&amp;L&amp;1#&amp;"Arial"&amp;9&amp;K000000</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G38"/>
  <sheetViews>
    <sheetView showGridLines="0" showRowColHeaders="0" topLeftCell="A29" zoomScaleNormal="100" workbookViewId="0">
      <selection activeCell="E22" sqref="E22"/>
    </sheetView>
  </sheetViews>
  <sheetFormatPr baseColWidth="10" defaultColWidth="8.83203125" defaultRowHeight="13" x14ac:dyDescent="0.15"/>
  <cols>
    <col min="1" max="1" width="1.6640625" customWidth="1"/>
    <col min="2" max="2" width="24.5" customWidth="1"/>
    <col min="3" max="6" width="14.6640625" customWidth="1"/>
    <col min="7" max="7" width="1.6640625" customWidth="1"/>
  </cols>
  <sheetData>
    <row r="1" spans="1:7" ht="14" thickBot="1" x14ac:dyDescent="0.2">
      <c r="A1" s="705"/>
      <c r="B1" s="706"/>
      <c r="C1" s="706"/>
      <c r="D1" s="706"/>
      <c r="E1" s="706"/>
      <c r="F1" s="706"/>
      <c r="G1" s="707"/>
    </row>
    <row r="2" spans="1:7" ht="24.75" customHeight="1" thickBot="1" x14ac:dyDescent="0.2">
      <c r="A2" s="258"/>
      <c r="B2" s="811" t="s">
        <v>437</v>
      </c>
      <c r="C2" s="24"/>
      <c r="D2" s="812"/>
      <c r="E2" s="772"/>
      <c r="F2" s="263"/>
      <c r="G2" s="264"/>
    </row>
    <row r="3" spans="1:7" x14ac:dyDescent="0.15">
      <c r="A3" s="265"/>
      <c r="B3" s="266"/>
      <c r="C3" s="266"/>
      <c r="D3" s="266"/>
      <c r="E3" s="266"/>
      <c r="F3" s="266"/>
      <c r="G3" s="267"/>
    </row>
    <row r="4" spans="1:7" x14ac:dyDescent="0.15">
      <c r="A4" s="265"/>
      <c r="B4" s="266"/>
      <c r="C4" s="266"/>
      <c r="D4" s="266"/>
      <c r="E4" s="266"/>
      <c r="F4" s="266"/>
      <c r="G4" s="267"/>
    </row>
    <row r="5" spans="1:7" ht="14" thickBot="1" x14ac:dyDescent="0.2">
      <c r="A5" s="265"/>
      <c r="B5" s="266"/>
      <c r="C5" s="266"/>
      <c r="D5" s="266"/>
      <c r="E5" s="266"/>
      <c r="F5" s="266"/>
      <c r="G5" s="267"/>
    </row>
    <row r="6" spans="1:7" ht="24.75" customHeight="1" thickBot="1" x14ac:dyDescent="0.2">
      <c r="A6" s="265"/>
      <c r="B6" s="24"/>
      <c r="C6" s="24" t="s">
        <v>85</v>
      </c>
      <c r="D6" s="24" t="s">
        <v>86</v>
      </c>
      <c r="E6" s="24" t="s">
        <v>87</v>
      </c>
      <c r="F6" s="24" t="s">
        <v>88</v>
      </c>
      <c r="G6" s="267"/>
    </row>
    <row r="7" spans="1:7" x14ac:dyDescent="0.15">
      <c r="A7" s="265"/>
      <c r="B7" s="266"/>
      <c r="C7" s="266"/>
      <c r="D7" s="266"/>
      <c r="E7" s="266"/>
      <c r="F7" s="266"/>
      <c r="G7" s="267"/>
    </row>
    <row r="8" spans="1:7" x14ac:dyDescent="0.15">
      <c r="A8" s="265"/>
      <c r="B8" s="673" t="s">
        <v>438</v>
      </c>
      <c r="C8" s="785"/>
      <c r="D8" s="785"/>
      <c r="E8" s="785"/>
      <c r="F8" s="785"/>
      <c r="G8" s="267"/>
    </row>
    <row r="9" spans="1:7" x14ac:dyDescent="0.15">
      <c r="A9" s="265"/>
      <c r="B9" s="673" t="s">
        <v>439</v>
      </c>
      <c r="C9" s="785"/>
      <c r="D9" s="774"/>
      <c r="E9" s="774"/>
      <c r="F9" s="774"/>
      <c r="G9" s="267"/>
    </row>
    <row r="10" spans="1:7" x14ac:dyDescent="0.15">
      <c r="A10" s="265"/>
      <c r="B10" s="673" t="s">
        <v>440</v>
      </c>
      <c r="C10" s="774"/>
      <c r="D10" s="773"/>
      <c r="E10" s="774"/>
      <c r="F10" s="773"/>
      <c r="G10" s="267"/>
    </row>
    <row r="11" spans="1:7" hidden="1" x14ac:dyDescent="0.15">
      <c r="A11" s="265"/>
      <c r="B11" s="673" t="s">
        <v>441</v>
      </c>
      <c r="C11" s="786"/>
      <c r="D11" s="786"/>
      <c r="E11" s="774"/>
      <c r="F11" s="774"/>
      <c r="G11" s="267"/>
    </row>
    <row r="12" spans="1:7" hidden="1" x14ac:dyDescent="0.15">
      <c r="A12" s="265"/>
      <c r="B12" s="673" t="s">
        <v>442</v>
      </c>
      <c r="C12" s="786"/>
      <c r="D12" s="793"/>
      <c r="E12" s="774"/>
      <c r="F12" s="775"/>
      <c r="G12" s="267"/>
    </row>
    <row r="13" spans="1:7" x14ac:dyDescent="0.15">
      <c r="A13" s="265"/>
      <c r="B13" s="269"/>
      <c r="C13" s="266"/>
      <c r="D13" s="776"/>
      <c r="E13" s="266"/>
      <c r="F13" s="776"/>
      <c r="G13" s="267"/>
    </row>
    <row r="14" spans="1:7" x14ac:dyDescent="0.15">
      <c r="A14" s="265"/>
      <c r="B14" s="269" t="s">
        <v>443</v>
      </c>
      <c r="C14" s="266"/>
      <c r="D14" s="777"/>
      <c r="E14" s="266"/>
      <c r="F14" s="777"/>
      <c r="G14" s="267"/>
    </row>
    <row r="15" spans="1:7" x14ac:dyDescent="0.15">
      <c r="A15" s="265"/>
      <c r="B15" s="673" t="s">
        <v>444</v>
      </c>
      <c r="C15" s="660"/>
      <c r="D15" s="660"/>
      <c r="E15" s="660"/>
      <c r="F15" s="660"/>
      <c r="G15" s="267"/>
    </row>
    <row r="16" spans="1:7" x14ac:dyDescent="0.15">
      <c r="A16" s="265"/>
      <c r="B16" s="269"/>
      <c r="C16" s="266"/>
      <c r="D16" s="778"/>
      <c r="E16" s="266"/>
      <c r="F16" s="778"/>
      <c r="G16" s="267"/>
    </row>
    <row r="17" spans="1:7" x14ac:dyDescent="0.15">
      <c r="A17" s="265"/>
      <c r="B17" s="391" t="s">
        <v>445</v>
      </c>
      <c r="C17" s="266"/>
      <c r="D17" s="266"/>
      <c r="E17" s="266"/>
      <c r="F17" s="266"/>
      <c r="G17" s="267"/>
    </row>
    <row r="18" spans="1:7" x14ac:dyDescent="0.15">
      <c r="A18" s="265"/>
      <c r="B18" s="390" t="s">
        <v>446</v>
      </c>
      <c r="C18" s="660"/>
      <c r="D18" s="660"/>
      <c r="E18" s="660"/>
      <c r="F18" s="660"/>
      <c r="G18" s="267"/>
    </row>
    <row r="19" spans="1:7" x14ac:dyDescent="0.15">
      <c r="A19" s="265"/>
      <c r="B19" s="390" t="s">
        <v>447</v>
      </c>
      <c r="C19" s="660"/>
      <c r="D19" s="660"/>
      <c r="E19" s="660"/>
      <c r="F19" s="660"/>
      <c r="G19" s="267"/>
    </row>
    <row r="20" spans="1:7" x14ac:dyDescent="0.15">
      <c r="A20" s="265"/>
      <c r="B20" s="390" t="s">
        <v>448</v>
      </c>
      <c r="C20" s="660"/>
      <c r="D20" s="660"/>
      <c r="E20" s="660"/>
      <c r="F20" s="660"/>
      <c r="G20" s="267"/>
    </row>
    <row r="21" spans="1:7" x14ac:dyDescent="0.15">
      <c r="A21" s="265"/>
      <c r="B21" s="390" t="s">
        <v>449</v>
      </c>
      <c r="C21" s="660"/>
      <c r="D21" s="660"/>
      <c r="E21" s="660"/>
      <c r="F21" s="660"/>
      <c r="G21" s="267"/>
    </row>
    <row r="22" spans="1:7" x14ac:dyDescent="0.15">
      <c r="A22" s="265"/>
      <c r="B22" s="390" t="s">
        <v>450</v>
      </c>
      <c r="C22" s="660"/>
      <c r="D22" s="787"/>
      <c r="E22" s="660"/>
      <c r="F22" s="660"/>
      <c r="G22" s="267"/>
    </row>
    <row r="23" spans="1:7" x14ac:dyDescent="0.15">
      <c r="A23" s="265"/>
      <c r="B23" s="266"/>
      <c r="C23" s="794" t="b">
        <v>1</v>
      </c>
      <c r="D23" s="794" t="b">
        <f>T47=FALSE</f>
        <v>1</v>
      </c>
      <c r="E23" s="794" t="b">
        <f>U47=FALSE</f>
        <v>1</v>
      </c>
      <c r="F23" s="794" t="b">
        <f>V47=FALSE</f>
        <v>1</v>
      </c>
      <c r="G23" s="267"/>
    </row>
    <row r="24" spans="1:7" x14ac:dyDescent="0.15">
      <c r="A24" s="265"/>
      <c r="B24" s="779" t="s">
        <v>451</v>
      </c>
      <c r="C24" s="792">
        <f>SUM(C15,C18:C22)</f>
        <v>0</v>
      </c>
      <c r="D24" s="792">
        <f t="shared" ref="D24:F24" si="0">SUM(D15,D18:D22)</f>
        <v>0</v>
      </c>
      <c r="E24" s="792">
        <f t="shared" si="0"/>
        <v>0</v>
      </c>
      <c r="F24" s="792">
        <f t="shared" si="0"/>
        <v>0</v>
      </c>
      <c r="G24" s="267"/>
    </row>
    <row r="25" spans="1:7" x14ac:dyDescent="0.15">
      <c r="A25" s="265"/>
      <c r="B25" s="673" t="s">
        <v>452</v>
      </c>
      <c r="C25" s="792">
        <f>IF(Calculations!S49=FALSE,0,C24*VLOOKUP(C10,Data!$M$30:$N$35,2,0))</f>
        <v>0</v>
      </c>
      <c r="D25" s="792">
        <f>IF(Calculations!T49=FALSE,0,D24*VLOOKUP(D10,Data!$M$30:$N$35,2,0))</f>
        <v>0</v>
      </c>
      <c r="E25" s="792">
        <f>IF(Calculations!U49=FALSE,0,E24*VLOOKUP(E10,Data!$M$30:$N$35,2,0))</f>
        <v>0</v>
      </c>
      <c r="F25" s="792">
        <f>IF(Calculations!V49=FALSE,0,F24*VLOOKUP(F10,Data!$M$30:$N$35,2,0))</f>
        <v>0</v>
      </c>
      <c r="G25" s="267"/>
    </row>
    <row r="26" spans="1:7" x14ac:dyDescent="0.15">
      <c r="A26" s="265"/>
      <c r="B26" s="673" t="s">
        <v>453</v>
      </c>
      <c r="C26" s="780">
        <f>IF(C25&lt;=Data!$J$40,C25,IF(C25&lt;=Data!$J$41,(C25-Data!$I$40*Data!$K$40)/(1-Data!$K$40),IF(C25&lt;=Data!$J$42,(C25-Data!$I$40*Data!$K$41-Data!$I$41*Data!$M$41)/(1-Data!$K$41-Data!$M$41),IF(C25&lt;=Data!$J$43,(C25-Data!$I$40*Data!$K$42+Data!$L$42)/(1-Data!$K$42-Data!$M$42),IF(C25&lt;=Data!$J$44,(C25-Data!$I$43*Data!$K$43+Data!$L$43)/(1-Data!$K$43-Data!$M$43),IF(C25&lt;=Data!$J$45,(C25-Data!$I$44*Data!$K$44+Data!$L$44)/(1-Data!$K$44-Data!$M$44),(C25-Data!$I$45*Data!$K$45+Data!$L$45)/(1-Data!$K$45-Data!$M$45)))))))</f>
        <v>0</v>
      </c>
      <c r="D26" s="780">
        <f>IF(D25&lt;=Data!$J$40,D25,IF(D25&lt;=Data!$J$41,(D25-Data!$I$40*Data!$K$40)/(1-Data!$K$40),IF(D25&lt;=Data!$J$42,(D25-Data!$I$40*Data!$K$41-Data!$I$41*Data!$M$41)/(1-Data!$K$41-Data!$M$41),IF(D25&lt;=Data!$J$43,(D25-Data!$I$40*Data!$K$42+Data!$L$42)/(1-Data!$K$42-Data!$M$42),IF(D25&lt;=Data!$J$44,(D25-Data!$I$43*Data!$K$43+Data!$L$43)/(1-Data!$K$43-Data!$M$43),IF(D25&lt;=Data!$J$45,(D25-Data!$I$44*Data!$K$44+Data!$L$44)/(1-Data!$K$44-Data!$M$44),(D25-Data!$I$45*Data!$K$45+Data!$L$45)/(1-Data!$K$45-Data!$M$45)))))))</f>
        <v>0</v>
      </c>
      <c r="E26" s="780">
        <f>IF(E25&lt;=Data!$J$40,E25,IF(E25&lt;=Data!$J$41,(E25-Data!$I$40*Data!$K$40)/(1-Data!$K$40),IF(E25&lt;=Data!$J$42,(E25-Data!$I$40*Data!$K$41-Data!$I$41*Data!$M$41)/(1-Data!$K$41-Data!$M$41),IF(E25&lt;=Data!$J$43,(E25-Data!$I$40*Data!$K$42+Data!$L$42)/(1-Data!$K$42-Data!$M$42),IF(E25&lt;=Data!$J$44,(E25-Data!$I$43*Data!$K$43+Data!$L$43)/(1-Data!$K$43-Data!$M$43),IF(E25&lt;=Data!$J$45,(E25-Data!$I$44*Data!$K$44+Data!$L$44)/(1-Data!$K$44-Data!$M$44),(E25-Data!$I$45*Data!$K$45+Data!$L$45)/(1-Data!$K$45-Data!$M$45)))))))</f>
        <v>0</v>
      </c>
      <c r="F26" s="780">
        <f>IF(F25&lt;=Data!$J$40,F25,IF(F25&lt;=Data!$J$41,(F25-Data!$I$40*Data!$K$40)/(1-Data!$K$40),IF(F25&lt;=Data!$J$42,(F25-Data!$I$40*Data!$K$41-Data!$I$41*Data!$M$41)/(1-Data!$K$41-Data!$M$41),IF(F25&lt;=Data!$J$43,(F25-Data!$I$40*Data!$K$42+Data!$L$42)/(1-Data!$K$42-Data!$M$42),IF(F25&lt;=Data!$J$44,(F25-Data!$I$43*Data!$K$43+Data!$L$43)/(1-Data!$K$43-Data!$M$43),IF(F25&lt;=Data!$J$45,(F25-Data!$I$44*Data!$K$44+Data!$L$44)/(1-Data!$K$44-Data!$M$44),(F25-Data!$I$45*Data!$K$45+Data!$L$45)/(1-Data!$K$45-Data!$M$45)))))))</f>
        <v>0</v>
      </c>
      <c r="G26" s="267"/>
    </row>
    <row r="27" spans="1:7" x14ac:dyDescent="0.15">
      <c r="A27" s="265"/>
      <c r="B27" s="266"/>
      <c r="C27" s="781"/>
      <c r="D27" s="781"/>
      <c r="E27" s="781"/>
      <c r="F27" s="781"/>
      <c r="G27" s="267"/>
    </row>
    <row r="28" spans="1:7" x14ac:dyDescent="0.15">
      <c r="A28" s="265"/>
      <c r="B28" s="266"/>
      <c r="C28" s="300"/>
      <c r="D28" s="300"/>
      <c r="E28" s="300"/>
      <c r="F28" s="300"/>
      <c r="G28" s="267"/>
    </row>
    <row r="29" spans="1:7" x14ac:dyDescent="0.15">
      <c r="A29" s="265"/>
      <c r="B29" s="269" t="s">
        <v>454</v>
      </c>
      <c r="C29" s="300"/>
      <c r="D29" s="300"/>
      <c r="E29" s="300"/>
      <c r="F29" s="300"/>
      <c r="G29" s="267"/>
    </row>
    <row r="30" spans="1:7" ht="100.5" customHeight="1" x14ac:dyDescent="0.15">
      <c r="A30" s="265"/>
      <c r="B30" s="1053"/>
      <c r="C30" s="1054"/>
      <c r="D30" s="1054"/>
      <c r="E30" s="1054"/>
      <c r="F30" s="1055"/>
      <c r="G30" s="267"/>
    </row>
    <row r="31" spans="1:7" x14ac:dyDescent="0.15">
      <c r="A31" s="265"/>
      <c r="B31" s="782"/>
      <c r="C31" s="783"/>
      <c r="D31" s="783"/>
      <c r="E31" s="783"/>
      <c r="F31" s="783"/>
      <c r="G31" s="267"/>
    </row>
    <row r="32" spans="1:7" ht="14" x14ac:dyDescent="0.15">
      <c r="A32" s="265"/>
      <c r="B32" s="782" t="s">
        <v>455</v>
      </c>
      <c r="C32" s="783"/>
      <c r="D32" s="783"/>
      <c r="E32" s="783"/>
      <c r="F32" s="783"/>
      <c r="G32" s="267"/>
    </row>
    <row r="33" spans="1:7" ht="142" customHeight="1" x14ac:dyDescent="0.15">
      <c r="A33" s="265"/>
      <c r="B33" s="1056" t="s">
        <v>562</v>
      </c>
      <c r="C33" s="1056"/>
      <c r="D33" s="1056"/>
      <c r="E33" s="1056"/>
      <c r="F33" s="1056"/>
      <c r="G33" s="267"/>
    </row>
    <row r="34" spans="1:7" ht="12.75" customHeight="1" x14ac:dyDescent="0.15">
      <c r="A34" s="265"/>
      <c r="B34" s="782"/>
      <c r="C34" s="783"/>
      <c r="D34" s="783"/>
      <c r="E34" s="783"/>
      <c r="F34" s="783"/>
      <c r="G34" s="267"/>
    </row>
    <row r="35" spans="1:7" x14ac:dyDescent="0.15">
      <c r="A35" s="265"/>
      <c r="B35" s="266"/>
      <c r="C35" s="300"/>
      <c r="D35" s="300"/>
      <c r="E35" s="300"/>
      <c r="F35" s="300"/>
      <c r="G35" s="267"/>
    </row>
    <row r="36" spans="1:7" x14ac:dyDescent="0.15">
      <c r="A36" s="265"/>
      <c r="B36" s="266"/>
      <c r="C36" s="300"/>
      <c r="D36" s="300"/>
      <c r="E36" s="300"/>
      <c r="F36" s="300"/>
      <c r="G36" s="267"/>
    </row>
    <row r="37" spans="1:7" x14ac:dyDescent="0.15">
      <c r="A37" s="265"/>
      <c r="B37" s="1057" t="s">
        <v>106</v>
      </c>
      <c r="C37" s="1058"/>
      <c r="D37" s="1058"/>
      <c r="E37" s="1058"/>
      <c r="F37" s="1058"/>
      <c r="G37" s="267"/>
    </row>
    <row r="38" spans="1:7" x14ac:dyDescent="0.15">
      <c r="A38" s="274"/>
      <c r="B38" s="275"/>
      <c r="C38" s="275"/>
      <c r="D38" s="275"/>
      <c r="E38" s="275"/>
      <c r="F38" s="275"/>
      <c r="G38" s="276"/>
    </row>
  </sheetData>
  <sheetProtection algorithmName="SHA-512" hashValue="f7QWIC29gJ15ojrMew1jGMOfM/7LzOXge3womhW9/PDOiFE2Zq4S0C8B3KUnqH9VWUvyk69sujXNI7C/wjpVNw==" saltValue="Mc7DmSr9tIetO2ULrmpmIA==" spinCount="100000" sheet="1" objects="1" scenarios="1"/>
  <mergeCells count="3">
    <mergeCell ref="B30:F30"/>
    <mergeCell ref="B33:F33"/>
    <mergeCell ref="B37:F37"/>
  </mergeCells>
  <conditionalFormatting sqref="C15:F15">
    <cfRule type="expression" dxfId="3" priority="4">
      <formula>AND(C15="",C23)</formula>
    </cfRule>
  </conditionalFormatting>
  <conditionalFormatting sqref="C10:F10">
    <cfRule type="expression" dxfId="2" priority="3">
      <formula>AND(C10="",C$23)</formula>
    </cfRule>
  </conditionalFormatting>
  <conditionalFormatting sqref="C11:F11">
    <cfRule type="expression" dxfId="1" priority="2">
      <formula>AND(C11="",C$23)</formula>
    </cfRule>
  </conditionalFormatting>
  <conditionalFormatting sqref="C12:F12">
    <cfRule type="expression" dxfId="0" priority="1">
      <formula>AND(C12="",C$23)</formula>
    </cfRule>
  </conditionalFormatting>
  <dataValidations count="8">
    <dataValidation allowBlank="1" showInputMessage="1" showErrorMessage="1" prompt="Enter the Name of Customer" sqref="C8:F8" xr:uid="{00000000-0002-0000-0F00-000000000000}"/>
    <dataValidation allowBlank="1" showInputMessage="1" showErrorMessage="1" prompt="Enter the Bank Account Credited" sqref="C9:F9" xr:uid="{00000000-0002-0000-0F00-000001000000}"/>
    <dataValidation type="decimal" operator="greaterThanOrEqual" allowBlank="1" showInputMessage="1" showErrorMessage="1" prompt="Enter the Income from Statement" sqref="C15:F15" xr:uid="{00000000-0002-0000-0F00-000002000000}">
      <formula1>0</formula1>
    </dataValidation>
    <dataValidation type="date" allowBlank="1" showInputMessage="1" showErrorMessage="1" prompt="Enter the Period Start Date" sqref="C11:F11" xr:uid="{00000000-0002-0000-0F00-000003000000}">
      <formula1>C11</formula1>
      <formula2>C12</formula2>
    </dataValidation>
    <dataValidation type="date" allowBlank="1" showInputMessage="1" showErrorMessage="1" prompt="Enter the Period End_x000a_ Date" sqref="C12:F12" xr:uid="{00000000-0002-0000-0F00-000004000000}">
      <formula1>C12</formula1>
      <formula2>C13</formula2>
    </dataValidation>
    <dataValidation allowBlank="1" showInputMessage="1" showErrorMessage="1" prompt="To insert a new line, type Alt + Enter." sqref="B30:B34 C30:F32 C34:F34" xr:uid="{00000000-0002-0000-0F00-000005000000}"/>
    <dataValidation type="whole" allowBlank="1" showInputMessage="1" showErrorMessage="1" error="You must enter a whole number between 0 and 10,000,000" prompt="Enter any monthly fees" sqref="D14 F14" xr:uid="{00000000-0002-0000-0F00-000006000000}">
      <formula1>0</formula1>
      <formula2>10000000</formula2>
    </dataValidation>
    <dataValidation type="list" allowBlank="1" showInputMessage="1" showErrorMessage="1" prompt="Enter the interest only period" sqref="F13 D13" xr:uid="{00000000-0002-0000-0F00-000007000000}">
      <formula1>"0,1,2,3,4,5,6,7,8,9,10"</formula1>
    </dataValidation>
  </dataValidations>
  <pageMargins left="0.7" right="0.7" top="0.75" bottom="0.75" header="0.3" footer="0.3"/>
  <pageSetup orientation="portrait" r:id="rId1"/>
  <headerFooter>
    <oddFooter>&amp;L&amp;1#&amp;"Arial"&amp;9&amp;K000000</oddFooter>
  </headerFooter>
  <drawing r:id="rId2"/>
  <legacyDrawing r:id="rId3"/>
  <oleObjects>
    <mc:AlternateContent xmlns:mc="http://schemas.openxmlformats.org/markup-compatibility/2006">
      <mc:Choice Requires="x14">
        <oleObject progId="MSPhotoEd.3" shapeId="32771" r:id="rId4">
          <objectPr defaultSize="0" autoPict="0" r:id="rId5">
            <anchor moveWithCells="1">
              <from>
                <xdr:col>4</xdr:col>
                <xdr:colOff>76200</xdr:colOff>
                <xdr:row>1</xdr:row>
                <xdr:rowOff>12700</xdr:rowOff>
              </from>
              <to>
                <xdr:col>5</xdr:col>
                <xdr:colOff>977900</xdr:colOff>
                <xdr:row>2</xdr:row>
                <xdr:rowOff>63500</xdr:rowOff>
              </to>
            </anchor>
          </objectPr>
        </oleObject>
      </mc:Choice>
      <mc:Fallback>
        <oleObject progId="MSPhotoEd.3" shapeId="32771" r:id="rId4"/>
      </mc:Fallback>
    </mc:AlternateContent>
  </oleObjects>
  <mc:AlternateContent xmlns:mc="http://schemas.openxmlformats.org/markup-compatibility/2006">
    <mc:Choice Requires="x14">
      <controls>
        <mc:AlternateContent xmlns:mc="http://schemas.openxmlformats.org/markup-compatibility/2006">
          <mc:Choice Requires="x14">
            <control shapeId="32769" r:id="rId6" name="Button 1">
              <controlPr defaultSize="0" print="0" autoFill="0" autoPict="0" macro="[0]!cmdMenu">
                <anchor moveWithCells="1" sizeWithCells="1">
                  <from>
                    <xdr:col>1</xdr:col>
                    <xdr:colOff>1130300</xdr:colOff>
                    <xdr:row>34</xdr:row>
                    <xdr:rowOff>12700</xdr:rowOff>
                  </from>
                  <to>
                    <xdr:col>2</xdr:col>
                    <xdr:colOff>596900</xdr:colOff>
                    <xdr:row>35</xdr:row>
                    <xdr:rowOff>101600</xdr:rowOff>
                  </to>
                </anchor>
              </controlPr>
            </control>
          </mc:Choice>
        </mc:AlternateContent>
        <mc:AlternateContent xmlns:mc="http://schemas.openxmlformats.org/markup-compatibility/2006">
          <mc:Choice Requires="x14">
            <control shapeId="32770" r:id="rId7" name="Button 2">
              <controlPr defaultSize="0" print="0" autoFill="0" autoPict="0" macro="[0]!cmdClearNettoGross">
                <anchor moveWithCells="1" sizeWithCells="1">
                  <from>
                    <xdr:col>1</xdr:col>
                    <xdr:colOff>127000</xdr:colOff>
                    <xdr:row>34</xdr:row>
                    <xdr:rowOff>12700</xdr:rowOff>
                  </from>
                  <to>
                    <xdr:col>1</xdr:col>
                    <xdr:colOff>1003300</xdr:colOff>
                    <xdr:row>35</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prompt="Select the Income Period" xr:uid="{00000000-0002-0000-0F00-000008000000}">
          <x14:formula1>
            <xm:f>Data!$M$30:$M$35</xm:f>
          </x14:formula1>
          <xm:sqref>C10:F10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16</vt:i4>
      </vt:variant>
      <vt:variant>
        <vt:lpstr>Named Ranges</vt:lpstr>
      </vt:variant>
      <vt:variant>
        <vt:i4>17</vt:i4>
      </vt:variant>
    </vt:vector>
  </HeadingPairs>
  <TitlesOfParts>
    <vt:vector size="33" baseType="lpstr">
      <vt:lpstr>Menu</vt:lpstr>
      <vt:lpstr>User Guide</vt:lpstr>
      <vt:lpstr>Model</vt:lpstr>
      <vt:lpstr>Self Employed</vt:lpstr>
      <vt:lpstr>Neg Gearing</vt:lpstr>
      <vt:lpstr>Rental Yield</vt:lpstr>
      <vt:lpstr>Bridging</vt:lpstr>
      <vt:lpstr>Bridging Self Employed</vt:lpstr>
      <vt:lpstr>Bridging Neg Gearing</vt:lpstr>
      <vt:lpstr>Bridging Rental Yield</vt:lpstr>
      <vt:lpstr>Basic Loan</vt:lpstr>
      <vt:lpstr>YTD Income</vt:lpstr>
      <vt:lpstr>Data</vt:lpstr>
      <vt:lpstr>Calculations</vt:lpstr>
      <vt:lpstr>Bridging Calculations</vt:lpstr>
      <vt:lpstr>Net To Gross</vt:lpstr>
      <vt:lpstr>Base_products</vt:lpstr>
      <vt:lpstr>Boolean</vt:lpstr>
      <vt:lpstr>Frequencies</vt:lpstr>
      <vt:lpstr>Limits</vt:lpstr>
      <vt:lpstr>Loan_type</vt:lpstr>
      <vt:lpstr>'Basic Loan'!Print_Area</vt:lpstr>
      <vt:lpstr>Bridging!Print_Area</vt:lpstr>
      <vt:lpstr>'Bridging Neg Gearing'!Print_Area</vt:lpstr>
      <vt:lpstr>'Bridging Self Employed'!Print_Area</vt:lpstr>
      <vt:lpstr>Model!Print_Area</vt:lpstr>
      <vt:lpstr>'Neg Gearing'!Print_Area</vt:lpstr>
      <vt:lpstr>'Self Employed'!Print_Area</vt:lpstr>
      <vt:lpstr>'User Guide'!Print_Area</vt:lpstr>
      <vt:lpstr>Products</vt:lpstr>
      <vt:lpstr>Proposed</vt:lpstr>
      <vt:lpstr>Residual</vt:lpstr>
      <vt:lpstr>Table</vt:lpstr>
    </vt:vector>
  </TitlesOfParts>
  <Company>EDS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Bensley</dc:creator>
  <cp:lastModifiedBy>Angus Keatinge</cp:lastModifiedBy>
  <cp:lastPrinted>2020-07-14T06:48:36Z</cp:lastPrinted>
  <dcterms:created xsi:type="dcterms:W3CDTF">2003-08-26T01:36:55Z</dcterms:created>
  <dcterms:modified xsi:type="dcterms:W3CDTF">2021-02-22T13:33:21Z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7a41e45d-23b2-4b9b-8824-4250be488857_Enabled">
    <vt:lpwstr>True</vt:lpwstr>
  </property>
  <property fmtid="{D5CDD505-2E9C-101B-9397-08002B2CF9AE}" pid="3" name="MSIP_Label_7a41e45d-23b2-4b9b-8824-4250be488857_SiteId">
    <vt:lpwstr>dddffba0-6c17-4f34-9748-3fa5e08cc366</vt:lpwstr>
  </property>
  <property fmtid="{D5CDD505-2E9C-101B-9397-08002B2CF9AE}" pid="4" name="MSIP_Label_7a41e45d-23b2-4b9b-8824-4250be488857_Owner">
    <vt:lpwstr>maria.pisu@cba.com.au</vt:lpwstr>
  </property>
  <property fmtid="{D5CDD505-2E9C-101B-9397-08002B2CF9AE}" pid="5" name="MSIP_Label_7a41e45d-23b2-4b9b-8824-4250be488857_SetDate">
    <vt:lpwstr>2019-10-03T02:15:15.2876792Z</vt:lpwstr>
  </property>
  <property fmtid="{D5CDD505-2E9C-101B-9397-08002B2CF9AE}" pid="6" name="MSIP_Label_7a41e45d-23b2-4b9b-8824-4250be488857_Name">
    <vt:lpwstr>Confidential</vt:lpwstr>
  </property>
  <property fmtid="{D5CDD505-2E9C-101B-9397-08002B2CF9AE}" pid="7" name="MSIP_Label_7a41e45d-23b2-4b9b-8824-4250be488857_Application">
    <vt:lpwstr>Microsoft Azure Information Protection</vt:lpwstr>
  </property>
  <property fmtid="{D5CDD505-2E9C-101B-9397-08002B2CF9AE}" pid="8" name="MSIP_Label_7a41e45d-23b2-4b9b-8824-4250be488857_ActionId">
    <vt:lpwstr>cf8aa672-364c-43b4-b178-dcd8653ae442</vt:lpwstr>
  </property>
  <property fmtid="{D5CDD505-2E9C-101B-9397-08002B2CF9AE}" pid="9" name="MSIP_Label_7a41e45d-23b2-4b9b-8824-4250be488857_Extended_MSFT_Method">
    <vt:lpwstr>Manual</vt:lpwstr>
  </property>
  <property fmtid="{D5CDD505-2E9C-101B-9397-08002B2CF9AE}" pid="10" name="Sensitivity">
    <vt:lpwstr>Confidential</vt:lpwstr>
  </property>
</Properties>
</file>